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XS" sheetId="1" r:id="rId5"/>
    <sheet state="visible" name="Sheet1" sheetId="2" r:id="rId6"/>
    <sheet state="visible" name="PRIORIDAD COMPRA" sheetId="3" r:id="rId7"/>
    <sheet state="visible" name="Ventas" sheetId="4" r:id="rId8"/>
  </sheets>
  <definedNames>
    <definedName hidden="1" localSheetId="0" name="_xlnm._FilterDatabase">SAXS!$A$7:$AH$670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7">
      <text>
        <t xml:space="preserve">Encabezado agregado 12/10: la nota de X6 dice que el disponible suma pedidos G:N, pero la fórmula de TOTAL sólo sumaba G:M y dejaba afuera los pedidos de ARNO cargados acá (24.500 m). Se agregó un selector en AD3 (SI/NO) para incluirla o no.</t>
      </text>
    </comment>
    <comment authorId="0" ref="AD3">
      <text>
        <t xml:space="preserve">SI = la columna N es un pedido adicional (como dice la nota de X6). NO = N es la misma mercadería que ya figura en G (factura 17106) → evitar doble conteo. CONFIRMAR: ARNO negro/suela/beige/chocolate tienen cantidad en G y en N.</t>
      </text>
    </comment>
  </commentList>
</comments>
</file>

<file path=xl/sharedStrings.xml><?xml version="1.0" encoding="utf-8"?>
<sst xmlns="http://schemas.openxmlformats.org/spreadsheetml/2006/main" count="6270" uniqueCount="4003">
  <si>
    <t>PRIORIDAD DE COMPRA — análisis 12/10/2026 (ventas Feb-Sep 2026, horizonte 4 meses)</t>
  </si>
  <si>
    <t>SKU</t>
  </si>
  <si>
    <t>Números vivos: se recalculan si cambiás stock, pedidos o ventas en SAXS/Ventas. La lista de artículos y la prioridad (A/B/C) se armaron con los datos al 12/10.</t>
  </si>
  <si>
    <t>DETALLE PEDIDOS CHINA (PROGRAMACION GENERAL 9-10)</t>
  </si>
  <si>
    <t>Resumen</t>
  </si>
  <si>
    <t>Descripción</t>
  </si>
  <si>
    <t>Feb</t>
  </si>
  <si>
    <t>Mar</t>
  </si>
  <si>
    <t>Abr</t>
  </si>
  <si>
    <t>Artículos</t>
  </si>
  <si>
    <t>May</t>
  </si>
  <si>
    <t>Jun</t>
  </si>
  <si>
    <t>Metros</t>
  </si>
  <si>
    <t>Jul</t>
  </si>
  <si>
    <t>Ago</t>
  </si>
  <si>
    <t>Artículos a COMPRAR</t>
  </si>
  <si>
    <t>Sep</t>
  </si>
  <si>
    <t>TOTAL</t>
  </si>
  <si>
    <t>Prom. Jun-Sep</t>
  </si>
  <si>
    <t>5202072-2222</t>
  </si>
  <si>
    <t>100 -</t>
  </si>
  <si>
    <t>SALIDA</t>
  </si>
  <si>
    <t>Artículos PEDIR MENOS</t>
  </si>
  <si>
    <t>5212072-2222</t>
  </si>
  <si>
    <t>100 dura -</t>
  </si>
  <si>
    <t>5252072-2222</t>
  </si>
  <si>
    <t>150 -</t>
  </si>
  <si>
    <t>5262072-2222</t>
  </si>
  <si>
    <t>150 dura -</t>
  </si>
  <si>
    <t>Recortable en pedidos sin facturar (m)</t>
  </si>
  <si>
    <t>ENTRADA</t>
  </si>
  <si>
    <t>5162072-2222</t>
  </si>
  <si>
    <t>65 -</t>
  </si>
  <si>
    <t>5172072-2222</t>
  </si>
  <si>
    <t>65 dura -</t>
  </si>
  <si>
    <t>¿Columna N (pedidos ARNO) suma al disponible?</t>
  </si>
  <si>
    <t>5182072-2222</t>
  </si>
  <si>
    <t>75 -</t>
  </si>
  <si>
    <t>Artículos SOBRESTOCK (&gt;8 meses)</t>
  </si>
  <si>
    <t>5192072-2222</t>
  </si>
  <si>
    <t>75 dura -</t>
  </si>
  <si>
    <t>Artículos SIN VENTAS (8 meses)</t>
  </si>
  <si>
    <t>487923-0051</t>
  </si>
  <si>
    <t>Selector columna N (ARNO) en SAXS!AD3</t>
  </si>
  <si>
    <t>85 platino</t>
  </si>
  <si>
    <t>Prioridad: A = venta sostenida (≥3 de 4 meses) o quiebre comprobado, y falta incluso al ritmo bajo de Feb-May · B = falta al ritmo actual pero no al de Feb-May (comprar ajustado) · C = venta concentrada en 1 mes o necesidad &lt; 200 m → validar con vendedores antes de pedir.</t>
  </si>
  <si>
    <t>0262071-2222</t>
  </si>
  <si>
    <t>Activador 14kg .</t>
  </si>
  <si>
    <t>1) COMPRAR — faltantes con todo lo pedido ya contado</t>
  </si>
  <si>
    <t>0252071-2222</t>
  </si>
  <si>
    <t>Activador 2.8kg .</t>
  </si>
  <si>
    <t>Prior.</t>
  </si>
  <si>
    <t>Fila SAXS</t>
  </si>
  <si>
    <t>0312077-2222</t>
  </si>
  <si>
    <t>Adhesivo Neo feno 14kg .</t>
  </si>
  <si>
    <t>Artículo</t>
  </si>
  <si>
    <t>Color</t>
  </si>
  <si>
    <t>Stock</t>
  </si>
  <si>
    <t>En tránsito (F+G+H)</t>
  </si>
  <si>
    <t>Pedidos sin facturar (I:N)</t>
  </si>
  <si>
    <t>Disponible total</t>
  </si>
  <si>
    <t>Venta prom. Jun-Sep</t>
  </si>
  <si>
    <t>0312078 2222</t>
  </si>
  <si>
    <t>Venta prom. ajustada</t>
  </si>
  <si>
    <t>Adhesivo Neo feno 4litros .</t>
  </si>
  <si>
    <t>Venta prom. Feb-May</t>
  </si>
  <si>
    <t>Necesidad 4m (ajust.)</t>
  </si>
  <si>
    <t>FALTANTE (ajust.)</t>
  </si>
  <si>
    <t>Faltante a ritmo Feb-May</t>
  </si>
  <si>
    <t>Cobertura actual (meses)</t>
  </si>
  <si>
    <t>0182024-2222</t>
  </si>
  <si>
    <t>Alertas</t>
  </si>
  <si>
    <t>Adhesivo Neo tapper 149 14kg .</t>
  </si>
  <si>
    <t>A PEDIR (decisión)</t>
  </si>
  <si>
    <t>A</t>
  </si>
  <si>
    <t>0202071-2222</t>
  </si>
  <si>
    <t>Adhesivo Neopreno 180 14kg .</t>
  </si>
  <si>
    <t>SI</t>
  </si>
  <si>
    <t>0312073-2222</t>
  </si>
  <si>
    <t>Adhesivo Neopreno killing 14kg .</t>
  </si>
  <si>
    <t>FACTURA</t>
  </si>
  <si>
    <t>0192071-2222</t>
  </si>
  <si>
    <t>Adhesivo Pu 24 14kg .</t>
  </si>
  <si>
    <t>PEDIDO</t>
  </si>
  <si>
    <t>0302077-2222</t>
  </si>
  <si>
    <t>Adhesivo PU feno 14kg .</t>
  </si>
  <si>
    <t>0302078-2222</t>
  </si>
  <si>
    <t>Adhesivo PU feno 4litros .</t>
  </si>
  <si>
    <t>0302073-2222</t>
  </si>
  <si>
    <t>Adhesivo Pu killing 14kg .</t>
  </si>
  <si>
    <t>Meses hasta arribo G/H:</t>
  </si>
  <si>
    <t>ORIGEN</t>
  </si>
  <si>
    <t>0172024-2222</t>
  </si>
  <si>
    <t>Adhesivo Pu tapper 1057 14kg .</t>
  </si>
  <si>
    <t>518319-0003</t>
  </si>
  <si>
    <t>Ajax beige</t>
  </si>
  <si>
    <t>CHINA</t>
  </si>
  <si>
    <t>518319-0148</t>
  </si>
  <si>
    <t>Ajax pistacho</t>
  </si>
  <si>
    <t>525319-9999</t>
  </si>
  <si>
    <t>Aldo negro</t>
  </si>
  <si>
    <t>004319-0000</t>
  </si>
  <si>
    <t>Alto brillo blanco</t>
  </si>
  <si>
    <t>004319-0004</t>
  </si>
  <si>
    <t>Alto brillo bordo</t>
  </si>
  <si>
    <t>(se recalcula con la fecha de hoy)</t>
  </si>
  <si>
    <t>004319-9999</t>
  </si>
  <si>
    <t>Alto brillo negro</t>
  </si>
  <si>
    <t>004319-0156</t>
  </si>
  <si>
    <t>Alto brillo oliva</t>
  </si>
  <si>
    <t>587923-9999</t>
  </si>
  <si>
    <t>Andorra negro</t>
  </si>
  <si>
    <t>01622923-2222</t>
  </si>
  <si>
    <t>Aplique candado strass -</t>
  </si>
  <si>
    <t>01625923-2222</t>
  </si>
  <si>
    <t>Aplique corazon -</t>
  </si>
  <si>
    <t>01620923-2222</t>
  </si>
  <si>
    <t>Aplique corazon strass -</t>
  </si>
  <si>
    <t>01621923-2222</t>
  </si>
  <si>
    <t>Aplique estrella strass -</t>
  </si>
  <si>
    <t>01623923-2222</t>
  </si>
  <si>
    <t>Aplique flor strass -</t>
  </si>
  <si>
    <t>01624923-2222</t>
  </si>
  <si>
    <t>Aplique llave -</t>
  </si>
  <si>
    <t>01626923-0039-0001</t>
  </si>
  <si>
    <t>Aplique/Hebilla helios(P) peltre .</t>
  </si>
  <si>
    <t>01626923-0030-0001</t>
  </si>
  <si>
    <t>Aplique/Hebilla helios(P) plata .</t>
  </si>
  <si>
    <t>01627923-0039-0001</t>
  </si>
  <si>
    <t>Aplique/Hebilla kronos(P) peltre .</t>
  </si>
  <si>
    <t>01627923-0030-0001</t>
  </si>
  <si>
    <t>Aplique/Hebilla kronos(P) plata .</t>
  </si>
  <si>
    <t>588923-9999</t>
  </si>
  <si>
    <t>Armani negro</t>
  </si>
  <si>
    <t>007319-0251</t>
  </si>
  <si>
    <t>Arno azul electrico</t>
  </si>
  <si>
    <t>007122-0273</t>
  </si>
  <si>
    <t>Arno azul marino</t>
  </si>
  <si>
    <t>007319-0003</t>
  </si>
  <si>
    <t>Arno beige</t>
  </si>
  <si>
    <t>Cálculo automático — Disponible (TOTAL) = STOCK + 17035 (F) + pedidos China G:M + N (si AD3=SI). Revisado 12/10.</t>
  </si>
  <si>
    <t>007319-0004</t>
  </si>
  <si>
    <t>Arno bordo</t>
  </si>
  <si>
    <t>007319-0009</t>
  </si>
  <si>
    <t>Arno celeste</t>
  </si>
  <si>
    <t>CATEGORIA</t>
  </si>
  <si>
    <t>ARTICULO</t>
  </si>
  <si>
    <t>COLOR</t>
  </si>
  <si>
    <t>STOCK</t>
  </si>
  <si>
    <t>CANTIDAD</t>
  </si>
  <si>
    <t>007319-0010</t>
  </si>
  <si>
    <t>Arno chocolate</t>
  </si>
  <si>
    <t>007319-0008</t>
  </si>
  <si>
    <t>Arno coral</t>
  </si>
  <si>
    <t>007319-0013</t>
  </si>
  <si>
    <t>Arno fucsia</t>
  </si>
  <si>
    <t>007319-0045</t>
  </si>
  <si>
    <t>Arno gris</t>
  </si>
  <si>
    <t>007319-0172</t>
  </si>
  <si>
    <t>Arno hueso</t>
  </si>
  <si>
    <t>007319-0099</t>
  </si>
  <si>
    <t>Arno lavanda</t>
  </si>
  <si>
    <t>ANALISIS COMPRA (vs 4 meses, automático)</t>
  </si>
  <si>
    <t>VENTA PROM. m/mes (Jun-Sep)</t>
  </si>
  <si>
    <t>007319-0147</t>
  </si>
  <si>
    <t>Arno maiz</t>
  </si>
  <si>
    <t>NECESIDAD 4 MESES (m)</t>
  </si>
  <si>
    <t>COBERTURA (meses)</t>
  </si>
  <si>
    <t>FALTANTE (+) / SOBRANTE (−) m</t>
  </si>
  <si>
    <t>SKU DUPLICADO</t>
  </si>
  <si>
    <t>007319-0044</t>
  </si>
  <si>
    <t>VENTA CONCENTRADA (1 mes &gt;50% del período)</t>
  </si>
  <si>
    <t>Arno moca</t>
  </si>
  <si>
    <t>RIESGO QUIEBRE antes del 06/11 (stock+F17035 &lt; venta hasta esa fecha)</t>
  </si>
  <si>
    <t>VENTA SUBESTIMADA (stock 0 y Sep &lt; 50% del prom. Feb-Ago)</t>
  </si>
  <si>
    <t>VENTA PROM. AJUSTADA m/mes (si hubo quiebre: mayor entre Jun-Sep y Feb-Ago)</t>
  </si>
  <si>
    <t>FALTANTE (+)/SOBRANTE (−) AJUSTADO m</t>
  </si>
  <si>
    <t>SEÑAL AJUSTADA</t>
  </si>
  <si>
    <t>007319-0032</t>
  </si>
  <si>
    <t>4931098-9999</t>
  </si>
  <si>
    <t>Arno natural</t>
  </si>
  <si>
    <t>007319-9999</t>
  </si>
  <si>
    <t>Arno negro</t>
  </si>
  <si>
    <t>CAPELLADA</t>
  </si>
  <si>
    <t>CALI</t>
  </si>
  <si>
    <t xml:space="preserve">NEGRO </t>
  </si>
  <si>
    <t>007999-0053</t>
  </si>
  <si>
    <t>Arno negro lince met 1000</t>
  </si>
  <si>
    <t>007999-0058</t>
  </si>
  <si>
    <t>Arno negro serpico 1000</t>
  </si>
  <si>
    <t>007319-0159</t>
  </si>
  <si>
    <t>Arno nude</t>
  </si>
  <si>
    <t>007319-0213</t>
  </si>
  <si>
    <t>Arno nude claro</t>
  </si>
  <si>
    <t>007319-0156</t>
  </si>
  <si>
    <t>Arno oliva</t>
  </si>
  <si>
    <t>007319-0260</t>
  </si>
  <si>
    <t>Arno print negro</t>
  </si>
  <si>
    <t>007319-0256</t>
  </si>
  <si>
    <t>Arno print suela</t>
  </si>
  <si>
    <t>007319-0021</t>
  </si>
  <si>
    <t>Arno rojo</t>
  </si>
  <si>
    <t>007319-0297</t>
  </si>
  <si>
    <t>Arno suela</t>
  </si>
  <si>
    <t>007319-0111</t>
  </si>
  <si>
    <t>Arno terra</t>
  </si>
  <si>
    <t>007319-0250</t>
  </si>
  <si>
    <t>Arno tomate</t>
  </si>
  <si>
    <t>007319-0055</t>
  </si>
  <si>
    <t>Arno topo</t>
  </si>
  <si>
    <t>007319-0025</t>
  </si>
  <si>
    <t>Arno turquesa</t>
  </si>
  <si>
    <t>007319-0193</t>
  </si>
  <si>
    <t>Arno verde benetton</t>
  </si>
  <si>
    <t>007319-0253</t>
  </si>
  <si>
    <t>Arno verde ingles</t>
  </si>
  <si>
    <t>007319-0047</t>
  </si>
  <si>
    <t>Arno vison</t>
  </si>
  <si>
    <t>003999-0120</t>
  </si>
  <si>
    <t>Bari almendra</t>
  </si>
  <si>
    <t>003999-0000</t>
  </si>
  <si>
    <t>Bari blanco</t>
  </si>
  <si>
    <t>003999-0010</t>
  </si>
  <si>
    <t>Bari chocolate</t>
  </si>
  <si>
    <t>050923-0039</t>
  </si>
  <si>
    <t>Bari met peltre</t>
  </si>
  <si>
    <t>050923-0030</t>
  </si>
  <si>
    <t>Bari met plata</t>
  </si>
  <si>
    <t>050923-0051</t>
  </si>
  <si>
    <t>Bari met platino</t>
  </si>
  <si>
    <t>003999-0069</t>
  </si>
  <si>
    <t>Bari miel</t>
  </si>
  <si>
    <t>003999-0032</t>
  </si>
  <si>
    <t>Bari natural</t>
  </si>
  <si>
    <t>003999-9999</t>
  </si>
  <si>
    <t>Bari negro</t>
  </si>
  <si>
    <t>003999-0159</t>
  </si>
  <si>
    <t>Bari nude</t>
  </si>
  <si>
    <t>0462233-0003-3640</t>
  </si>
  <si>
    <t>Base 01 c/folia (T) beige 36-40</t>
  </si>
  <si>
    <t>0462233-0010-3640</t>
  </si>
  <si>
    <t>Base 01 c/folia (T) chocolate 36-40</t>
  </si>
  <si>
    <t>0462233-9999-3640</t>
  </si>
  <si>
    <t>Base 01 c/folia (T) negro 36-40</t>
  </si>
  <si>
    <t>0452233-0003-3640</t>
  </si>
  <si>
    <t>Base 01 c/folia y vira (T) beige 36-40</t>
  </si>
  <si>
    <t>0452233-0010-3640</t>
  </si>
  <si>
    <t>Base 01 c/folia y vira (T) chocolate 36-40</t>
  </si>
  <si>
    <t>0452233-9999-3640</t>
  </si>
  <si>
    <t>Base 01 c/folia y vira (T) negro 36-40</t>
  </si>
  <si>
    <t>0472233-0003-3640</t>
  </si>
  <si>
    <t>Base 01 c/pintura (T) beige 36-40</t>
  </si>
  <si>
    <t>0472233-0010-3640</t>
  </si>
  <si>
    <t>Base 01 c/pintura (T) chocolate 36-40</t>
  </si>
  <si>
    <t>0472233-9999-3640</t>
  </si>
  <si>
    <t>Base 01 c/pintura (T) negro 36-40</t>
  </si>
  <si>
    <t>0482233-0003-3640</t>
  </si>
  <si>
    <t>Base 01 sola (T) beige 36-40</t>
  </si>
  <si>
    <t>0482233-0010-3640</t>
  </si>
  <si>
    <t>Base 01 sola (T) chocolate 36-40</t>
  </si>
  <si>
    <t>0482233-9999-3640</t>
  </si>
  <si>
    <t>Base 01 sola (T) negro 36-40</t>
  </si>
  <si>
    <t>0422233-0003-3640</t>
  </si>
  <si>
    <t>Base 03 c/folia (T) beige 36-40</t>
  </si>
  <si>
    <t>0422233-0010-3640</t>
  </si>
  <si>
    <t>Base 03 c/folia (T) chocolate 36-40</t>
  </si>
  <si>
    <t>0422233-9999-3640</t>
  </si>
  <si>
    <t>Base 03 c/folia (T) negro 36-40</t>
  </si>
  <si>
    <t>0412233-0003-3640</t>
  </si>
  <si>
    <t>Base 03 c/folia y vira (T) beige 36-40</t>
  </si>
  <si>
    <t>0412233-0010-3640</t>
  </si>
  <si>
    <t>Base 03 c/folia y vira (T) chocolate 36-40</t>
  </si>
  <si>
    <t>0412233-9999-3640</t>
  </si>
  <si>
    <t>Base 03 c/folia y vira (T) negro 36-40</t>
  </si>
  <si>
    <t>0432233-0003-3640</t>
  </si>
  <si>
    <t>Base 03 c/pintura (T) beige 36-40</t>
  </si>
  <si>
    <t>0432233-0010-3640</t>
  </si>
  <si>
    <t>Base 03 c/pintura (T) chocolate 36-40</t>
  </si>
  <si>
    <t>0432233-9999-3640</t>
  </si>
  <si>
    <t>Base 03 c/pintura (T) negro 36-40</t>
  </si>
  <si>
    <t>0442233-0003-3640</t>
  </si>
  <si>
    <t>Base 03 sola (T) beige 36-40</t>
  </si>
  <si>
    <t>0442233-0010-3640</t>
  </si>
  <si>
    <t>Base 03 sola (T) chocolate 36-40</t>
  </si>
  <si>
    <t>0442233-9999-3640</t>
  </si>
  <si>
    <t>Base 03 sola (T) negro 36-40</t>
  </si>
  <si>
    <t>0542233-0003-3640</t>
  </si>
  <si>
    <t>Base 07 c/folia (T) beige 36-40</t>
  </si>
  <si>
    <t>0542233-0010-3640</t>
  </si>
  <si>
    <t>Base 07 c/folia (T) chocolate 36-40</t>
  </si>
  <si>
    <t>0542233-9999-3640</t>
  </si>
  <si>
    <t>Base 07 c/folia (T) negro 36-40</t>
  </si>
  <si>
    <t>0532233-0003-3640</t>
  </si>
  <si>
    <t>Base 07 c/folia y vira (T) beige 36-40</t>
  </si>
  <si>
    <t>0532233-0010-3640</t>
  </si>
  <si>
    <t>Base 07 c/folia y vira (T) chocolate 36-40</t>
  </si>
  <si>
    <t>0532233-9999-3640</t>
  </si>
  <si>
    <t>Base 07 c/folia y vira (T) negro 36-40</t>
  </si>
  <si>
    <t>0552233-0003-3640</t>
  </si>
  <si>
    <t>Base 07 c/pintura (T) beige 36-40</t>
  </si>
  <si>
    <t>0552233-0010-3640</t>
  </si>
  <si>
    <t>Base 07 c/pintura (T) chocolate 36-40</t>
  </si>
  <si>
    <t>0552233-9999-3640</t>
  </si>
  <si>
    <t>Base 07 c/pintura (T) negro 36-40</t>
  </si>
  <si>
    <t>0562233-0003-3640</t>
  </si>
  <si>
    <t>Base 07 sola (T) beige 36-40</t>
  </si>
  <si>
    <t>0562233-0010-3640</t>
  </si>
  <si>
    <t>Base 07 sola (T) chocolate 36-40</t>
  </si>
  <si>
    <t>0562233-9999-3640</t>
  </si>
  <si>
    <t>Base 07 sola (T) negro 36-40</t>
  </si>
  <si>
    <t>1062233-0003-3640</t>
  </si>
  <si>
    <t>Base 2001 sola (T) beige 36-40</t>
  </si>
  <si>
    <t>1062233-0010-3640</t>
  </si>
  <si>
    <t>Base 2001 sola (T) chocolate 36-40</t>
  </si>
  <si>
    <t>1062233-9999-3640</t>
  </si>
  <si>
    <t>Base 2001 sola (T) negro 36-40</t>
  </si>
  <si>
    <t>0982233-0003-3640</t>
  </si>
  <si>
    <t>Base agustina c/folia (T) beige 36-40</t>
  </si>
  <si>
    <t>0982233-0010-3640</t>
  </si>
  <si>
    <t>Base agustina c/folia (T) chocolate 36-40</t>
  </si>
  <si>
    <t>0982233-9999-3640</t>
  </si>
  <si>
    <t>Base agustina c/folia (T) negro 36-40</t>
  </si>
  <si>
    <t>0972233-0003-3640</t>
  </si>
  <si>
    <t>Base agustina c/folia y vira (T) beige 36-40</t>
  </si>
  <si>
    <t>0972233-0010-3640</t>
  </si>
  <si>
    <t>Base agustina c/folia y vira (T) chocolate 36-40</t>
  </si>
  <si>
    <t>0972233-9999-3640</t>
  </si>
  <si>
    <t>Base agustina c/folia y vira (T) negro 36-40</t>
  </si>
  <si>
    <t>1002233-0003-3640</t>
  </si>
  <si>
    <t>Base agustina c/pintura (T) beige 36-40</t>
  </si>
  <si>
    <t>1002233-0010-3640</t>
  </si>
  <si>
    <t>Base agustina c/pintura (T) chocolate 36-40</t>
  </si>
  <si>
    <t>4931098-0000</t>
  </si>
  <si>
    <t>1002233-9999-3640</t>
  </si>
  <si>
    <t>Base agustina c/pintura (T) negro 36-40</t>
  </si>
  <si>
    <t>0992233-0003-3640</t>
  </si>
  <si>
    <t>BLANCO</t>
  </si>
  <si>
    <t>Base agustina c/vira (T) beige 36-40</t>
  </si>
  <si>
    <t>0992233-0010-3640</t>
  </si>
  <si>
    <t>Base agustina c/vira (T) chocolate 36-40</t>
  </si>
  <si>
    <t>0992233-9999-3640</t>
  </si>
  <si>
    <t>Base agustina c/vira (T) negro 36-40</t>
  </si>
  <si>
    <t>1012233-0003-3640</t>
  </si>
  <si>
    <t>Base agustina sola (T) beige 36-40</t>
  </si>
  <si>
    <t>1012233-0010-3640</t>
  </si>
  <si>
    <t>Base agustina sola (T) chocolate 36-40</t>
  </si>
  <si>
    <t>1012233-9999-3640</t>
  </si>
  <si>
    <t>Base agustina sola (T) negro 36-40</t>
  </si>
  <si>
    <t>0832233-0003-3640</t>
  </si>
  <si>
    <t>Base allen c/folia (T) beige 36-40</t>
  </si>
  <si>
    <t>0832233-0010-3640</t>
  </si>
  <si>
    <t>Base allen c/folia (T) chocolate 36-40</t>
  </si>
  <si>
    <t>0832233-9999-3640</t>
  </si>
  <si>
    <t>Base allen c/folia (T) negro 36-40</t>
  </si>
  <si>
    <t>0822233-0003-3640</t>
  </si>
  <si>
    <t>Base allen c/folia y vira (T) beige 36-40</t>
  </si>
  <si>
    <t>0822233-0010-3640</t>
  </si>
  <si>
    <t>Base allen c/folia y vira (T) chocolate 36-40</t>
  </si>
  <si>
    <t>0822233-9999-3640</t>
  </si>
  <si>
    <t>Base allen c/folia y vira (T) negro 36-40</t>
  </si>
  <si>
    <t>0852233-0003-3640</t>
  </si>
  <si>
    <t>Base allen c/pintura (T) beige 36-40</t>
  </si>
  <si>
    <t>0852233-0010-3640</t>
  </si>
  <si>
    <t>Base allen c/pintura (T) chocolate 36-40</t>
  </si>
  <si>
    <t>0852233-9999-3640</t>
  </si>
  <si>
    <t>Base allen c/pintura (T) negro 36-40</t>
  </si>
  <si>
    <t>0842233-0003-3640</t>
  </si>
  <si>
    <t>Base allen c/vira (T) beige 36-40</t>
  </si>
  <si>
    <t>0842233-0010-3640</t>
  </si>
  <si>
    <t>Base allen c/vira (T) chocolate 36-40</t>
  </si>
  <si>
    <t>0842233-9999-3640</t>
  </si>
  <si>
    <t>Base allen c/vira (T) negro 36-40</t>
  </si>
  <si>
    <t>0862233-0003-3640</t>
  </si>
  <si>
    <t>Base allen sola (T) beige 36-40</t>
  </si>
  <si>
    <t>0862233-0010-3640</t>
  </si>
  <si>
    <t>Base allen sola (T) chocolate 36-40</t>
  </si>
  <si>
    <t>0862233-9999-3640</t>
  </si>
  <si>
    <t>Base allen sola (T) negro 36-40</t>
  </si>
  <si>
    <t>0962923-0010-0036</t>
  </si>
  <si>
    <t>Base birk alta c/suelin(P) chocolate 36</t>
  </si>
  <si>
    <t>1072233-0003-3640</t>
  </si>
  <si>
    <t>Base birk sola (T) beige 36-40</t>
  </si>
  <si>
    <t>1072233-0010-3640</t>
  </si>
  <si>
    <t>Base birk sola (T) chocolate 36-40</t>
  </si>
  <si>
    <t>1072233-9999-3640</t>
  </si>
  <si>
    <t>Base birk sola (T) negro 36-40</t>
  </si>
  <si>
    <t>0742233-0003-3640</t>
  </si>
  <si>
    <t>Base bruma c/pintura (T) beige 36-40</t>
  </si>
  <si>
    <t>0742233-0010-3640</t>
  </si>
  <si>
    <t>Base bruma c/pintura (T) chocolate 36-40</t>
  </si>
  <si>
    <t>0742233-9999-3640</t>
  </si>
  <si>
    <t>Base bruma c/pintura (T) negro 36-40</t>
  </si>
  <si>
    <t>0752233-0003-3640</t>
  </si>
  <si>
    <t>Base bruma sola (T) beige 36-40</t>
  </si>
  <si>
    <t>0752233-0010-3640</t>
  </si>
  <si>
    <t>Base bruma sola (T) chocolate 36-40</t>
  </si>
  <si>
    <t>0752233-9999-3640</t>
  </si>
  <si>
    <t>Base bruma sola (T) negro 36-40</t>
  </si>
  <si>
    <t>0932233-0003-3640</t>
  </si>
  <si>
    <t>Base caramelo c/folia (T) beige 36-40</t>
  </si>
  <si>
    <t>0932233-0010-3640</t>
  </si>
  <si>
    <t>Base caramelo c/folia (T) chocolate 36-40</t>
  </si>
  <si>
    <t>0932233-9999-3640</t>
  </si>
  <si>
    <t>Base caramelo c/folia (T) negro 36-40</t>
  </si>
  <si>
    <t>4931098-0697</t>
  </si>
  <si>
    <t>SUELA OSCURO D/T</t>
  </si>
  <si>
    <t>0922233-0003-3640</t>
  </si>
  <si>
    <t>Base caramelo c/folia y vira (T) beige 36-40</t>
  </si>
  <si>
    <t>0922233-0010-3640</t>
  </si>
  <si>
    <t>Base caramelo c/folia y vira (T) chocolate 36-40</t>
  </si>
  <si>
    <t>0922233-9999-3640</t>
  </si>
  <si>
    <t>Base caramelo c/folia y vira (T) negro 36-40</t>
  </si>
  <si>
    <t>0952233-0003-3640</t>
  </si>
  <si>
    <t>Base caramelo c/pintura (T) beige 36-40</t>
  </si>
  <si>
    <t>0952233-0010-3640</t>
  </si>
  <si>
    <t>Base caramelo c/pintura (T) chocolate 36-40</t>
  </si>
  <si>
    <t>0952233-9999-3640</t>
  </si>
  <si>
    <t>Base caramelo c/pintura (T) negro 36-40</t>
  </si>
  <si>
    <t>0942233-0003-3640</t>
  </si>
  <si>
    <t>Base caramelo c/vira (T) beige 36-40</t>
  </si>
  <si>
    <t>0942233-0010-3640</t>
  </si>
  <si>
    <t>Base caramelo c/vira (T) chocolate 36-40</t>
  </si>
  <si>
    <t>0942233-9999-3640</t>
  </si>
  <si>
    <t>Base caramelo c/vira (T) negro 36-40</t>
  </si>
  <si>
    <t>0962233-0003-3640</t>
  </si>
  <si>
    <t>Base caramelo sola (T) beige 36-40</t>
  </si>
  <si>
    <t>0962233-0010-3640</t>
  </si>
  <si>
    <t>Base caramelo sola (T) chocolate 36-40</t>
  </si>
  <si>
    <t>0962233-9999-3640</t>
  </si>
  <si>
    <t>Base caramelo sola (T) negro 36-40</t>
  </si>
  <si>
    <t>0622233-0003-3640</t>
  </si>
  <si>
    <t>Base carol c/folia (T) beige 36-40</t>
  </si>
  <si>
    <t>0622233-0010-3640</t>
  </si>
  <si>
    <t>Base carol c/folia (T) chocolate 36-40</t>
  </si>
  <si>
    <t>0622233-9999-3640</t>
  </si>
  <si>
    <t>Base carol c/folia (T) negro 36-40</t>
  </si>
  <si>
    <t>0632233-0003-3640</t>
  </si>
  <si>
    <t>Base carol c/pintura (T) beige 36-40</t>
  </si>
  <si>
    <t>0632233-0010-3640</t>
  </si>
  <si>
    <t>Base carol c/pintura (T) chocolate 36-40</t>
  </si>
  <si>
    <t>0632233-9999-3640</t>
  </si>
  <si>
    <t>Base carol c/pintura (T) negro 36-40</t>
  </si>
  <si>
    <t>0642233-0003-3640</t>
  </si>
  <si>
    <t>Base carol sola (T) beige 36-40</t>
  </si>
  <si>
    <t>0642233-0010-3640</t>
  </si>
  <si>
    <t>Base carol sola (T) chocolate 36-40</t>
  </si>
  <si>
    <t>0642233-9999-3640</t>
  </si>
  <si>
    <t>Base carol sola (T) negro 36-40</t>
  </si>
  <si>
    <t>0702233-0003-3640</t>
  </si>
  <si>
    <t>Base carolina c/pintura (T) beige 36-40</t>
  </si>
  <si>
    <t>0702233-0010-3640</t>
  </si>
  <si>
    <t>Base carolina c/pintura (T) chocolate 36-40</t>
  </si>
  <si>
    <t>0702233-9999-3640</t>
  </si>
  <si>
    <t>Base carolina c/pintura (T) negro 36-40</t>
  </si>
  <si>
    <t>0692233-0003-3640</t>
  </si>
  <si>
    <t>Base carolina sola (T) beige 36-40</t>
  </si>
  <si>
    <t>0692233-0010-3640</t>
  </si>
  <si>
    <t>Base carolina sola (T) chocolate 36-40</t>
  </si>
  <si>
    <t>4931098-0597</t>
  </si>
  <si>
    <t>SUELA D/T</t>
  </si>
  <si>
    <t>0692233-9999-3640</t>
  </si>
  <si>
    <t>Base carolina sola (T) negro 36-40</t>
  </si>
  <si>
    <t>0602233-0003-3640</t>
  </si>
  <si>
    <t>Base frida c/pintura (T) beige 36-40</t>
  </si>
  <si>
    <t>0602233-0010-3640</t>
  </si>
  <si>
    <t>Base frida c/pintura (T) chocolate 36-40</t>
  </si>
  <si>
    <t>0602233-9999-3640</t>
  </si>
  <si>
    <t>Base frida c/pintura (T) negro 36-40</t>
  </si>
  <si>
    <t>0612233-0003-3640</t>
  </si>
  <si>
    <t>Base frida sola (T) beige 36-40</t>
  </si>
  <si>
    <t>0612233-0010-3640</t>
  </si>
  <si>
    <t>Base frida sola (T) chocolate 36-40</t>
  </si>
  <si>
    <t>0612233-9999-3640</t>
  </si>
  <si>
    <t>Base frida sola (T) negro 36-40</t>
  </si>
  <si>
    <t>0592233-0003-3640</t>
  </si>
  <si>
    <t>Base ibiza c/folia (T) beige 36-40</t>
  </si>
  <si>
    <t>0592233-0010-3640</t>
  </si>
  <si>
    <t>Base ibiza c/folia (T) chocolate 36-40</t>
  </si>
  <si>
    <t>0592233-9999-3640</t>
  </si>
  <si>
    <t>Base ibiza c/folia (T) negro 36-40</t>
  </si>
  <si>
    <t>0572233-0003-3640</t>
  </si>
  <si>
    <t>Base ibiza c/pintura (T) beige 36-40</t>
  </si>
  <si>
    <t>0572233-0010-3640</t>
  </si>
  <si>
    <t>Base ibiza c/pintura (T) chocolate 36-40</t>
  </si>
  <si>
    <t>0572233-9999-3640</t>
  </si>
  <si>
    <t>Base ibiza c/pintura (T) negro 36-40</t>
  </si>
  <si>
    <t>0582233-0003-3640</t>
  </si>
  <si>
    <t>Base ibiza sola (T) beige 36-40</t>
  </si>
  <si>
    <t>0582233-0010-3640</t>
  </si>
  <si>
    <t>Base ibiza sola (T) chocolate 36-40</t>
  </si>
  <si>
    <t>0582233-9999-3640</t>
  </si>
  <si>
    <t>Base ibiza sola (T) negro 36-40</t>
  </si>
  <si>
    <t>0722233-0003-3640</t>
  </si>
  <si>
    <t>Base janet c/pintura (T) beige 36-40</t>
  </si>
  <si>
    <t>0722233-0010-3640</t>
  </si>
  <si>
    <t>Base janet c/pintura (T) chocolate 36-40</t>
  </si>
  <si>
    <t>0722233-9999-3640</t>
  </si>
  <si>
    <t>Base janet c/pintura (T) negro 36-40</t>
  </si>
  <si>
    <t>0712233-0003-3640</t>
  </si>
  <si>
    <t>Base janet sola (T) beige 36-40</t>
  </si>
  <si>
    <t>0712233-0010-3640</t>
  </si>
  <si>
    <t>Base janet sola (T) chocolate 36-40</t>
  </si>
  <si>
    <t>0712233-9999-3640</t>
  </si>
  <si>
    <t>Base janet sola (T) negro 36-40</t>
  </si>
  <si>
    <t>0502233-0003-3640</t>
  </si>
  <si>
    <t>Base julia c/folia (T) beige 36-40</t>
  </si>
  <si>
    <t>0502233-0010-3640</t>
  </si>
  <si>
    <t>Base julia c/folia (T) chocolate 36-40</t>
  </si>
  <si>
    <t>0502233-9999-3640</t>
  </si>
  <si>
    <t>Base julia c/folia (T) negro 36-40</t>
  </si>
  <si>
    <t>0492233-0003-3640</t>
  </si>
  <si>
    <t>Base julia c/folia y vira (T) beige 36-40</t>
  </si>
  <si>
    <t>0492233-0010-3640</t>
  </si>
  <si>
    <t>Base julia c/folia y vira (T) chocolate 36-40</t>
  </si>
  <si>
    <t>0492233-9999-3640</t>
  </si>
  <si>
    <t>Base julia c/folia y vira (T) negro 36-40</t>
  </si>
  <si>
    <t>0512233-0003-3640</t>
  </si>
  <si>
    <t>Base julia c/pintura (T) beige 36-40</t>
  </si>
  <si>
    <t>0512233-0010-3640</t>
  </si>
  <si>
    <t>Base julia c/pintura (T) chocolate 36-40</t>
  </si>
  <si>
    <t>0512233-9999-3640</t>
  </si>
  <si>
    <t>Base julia c/pintura (T) negro 36-40</t>
  </si>
  <si>
    <t>4931098-0047</t>
  </si>
  <si>
    <t>0522233-0003-3640</t>
  </si>
  <si>
    <t>VISON</t>
  </si>
  <si>
    <t>Base julia sola (T) beige 36-40</t>
  </si>
  <si>
    <t>0522233-0010-3640</t>
  </si>
  <si>
    <t>Base julia sola (T) chocolate 36-40</t>
  </si>
  <si>
    <t>0522233-9999-3640</t>
  </si>
  <si>
    <t>Base julia sola (T) negro 36-40</t>
  </si>
  <si>
    <t>0792233-0003-3640</t>
  </si>
  <si>
    <t>Base lila c/pintura (T) beige 36-40</t>
  </si>
  <si>
    <t>0792233-0010-3640</t>
  </si>
  <si>
    <t>Base lila c/pintura (T) chocolate 36-40</t>
  </si>
  <si>
    <t>0792233-9999-3640</t>
  </si>
  <si>
    <t>Base lila c/pintura (T) negro 36-40</t>
  </si>
  <si>
    <t>0782233-0003-3640</t>
  </si>
  <si>
    <t>Base lila sola (T) beige 36-40</t>
  </si>
  <si>
    <t>0782233-0010-3640</t>
  </si>
  <si>
    <t>Base lila sola (T) chocolate 36-40</t>
  </si>
  <si>
    <t>0782233-9999-3640</t>
  </si>
  <si>
    <t>Base lila sola (T) negro 36-40</t>
  </si>
  <si>
    <t>1022233-0003-3640</t>
  </si>
  <si>
    <t>Base margarita c/pintura (T) beige 36-40</t>
  </si>
  <si>
    <t>1022233-0010-3640</t>
  </si>
  <si>
    <t>Base margarita c/pintura (T) chocolate 36-40</t>
  </si>
  <si>
    <t>1022233-9999-3640</t>
  </si>
  <si>
    <t>Base margarita c/pintura (T) negro 36-40</t>
  </si>
  <si>
    <t>1032233-0003-3640</t>
  </si>
  <si>
    <t>Base margarita sola (T) beige 36-40</t>
  </si>
  <si>
    <t>1032233-0010-3640</t>
  </si>
  <si>
    <t>Base margarita sola (T) chocolate 36-40</t>
  </si>
  <si>
    <t>1032233-9999-3640</t>
  </si>
  <si>
    <t>Base margarita sola (T) negro 36-40</t>
  </si>
  <si>
    <t>0882233-0003-3640</t>
  </si>
  <si>
    <t>Base mary c/folia (T) beige 36-40</t>
  </si>
  <si>
    <t>0882233-0010-3640</t>
  </si>
  <si>
    <t>Base mary c/folia (T) chocolate 36-40</t>
  </si>
  <si>
    <t>0882233-9999-3640</t>
  </si>
  <si>
    <t>Base mary c/folia (T) negro 36-40</t>
  </si>
  <si>
    <t>0872233-0003-3640</t>
  </si>
  <si>
    <t>Base mary c/folia y vira (T) beige 36-40</t>
  </si>
  <si>
    <t>0872233-0010-3640</t>
  </si>
  <si>
    <t>Base mary c/folia y vira (T) chocolate 36-40</t>
  </si>
  <si>
    <t>0872233-9999-3640</t>
  </si>
  <si>
    <t>Base mary c/folia y vira (T) negro 36-40</t>
  </si>
  <si>
    <t>0902233-0003-3640</t>
  </si>
  <si>
    <t>Base mary c/pintura (T) beige 36-40</t>
  </si>
  <si>
    <t>0902233-0010-3640</t>
  </si>
  <si>
    <t>Base mary c/pintura (T) chocolate 36-40</t>
  </si>
  <si>
    <t>0902233-9999-3640</t>
  </si>
  <si>
    <t>Base mary c/pintura (T) negro 36-40</t>
  </si>
  <si>
    <t>0892233-0003-3640</t>
  </si>
  <si>
    <t>Base mary c/vira (T) beige 36-40</t>
  </si>
  <si>
    <t>0892233-0010-3640</t>
  </si>
  <si>
    <t>Base mary c/vira (T) chocolate 36-40</t>
  </si>
  <si>
    <t>0892233-9999-3640</t>
  </si>
  <si>
    <t>Base mary c/vira (T) negro 36-40</t>
  </si>
  <si>
    <t>0912233-0003-3640</t>
  </si>
  <si>
    <t>Base mary sola (T) beige 36-40</t>
  </si>
  <si>
    <t>0912233-0010-3640</t>
  </si>
  <si>
    <t>Base mary sola (T) chocolate 36-40</t>
  </si>
  <si>
    <t>0912233-9999-3640</t>
  </si>
  <si>
    <t>Base mary sola (T) negro 36-40</t>
  </si>
  <si>
    <t>1042233-0003-3640</t>
  </si>
  <si>
    <t>Base salome c/pintura (T) beige 36-40</t>
  </si>
  <si>
    <t>1042233-0010-3640</t>
  </si>
  <si>
    <t>Base salome c/pintura (T) chocolate 36-40</t>
  </si>
  <si>
    <t>1042233-9999-3640</t>
  </si>
  <si>
    <t>Base salome c/pintura (T) negro 36-40</t>
  </si>
  <si>
    <t>BORDO</t>
  </si>
  <si>
    <t>1052233-0003-3640</t>
  </si>
  <si>
    <t>Base salome sola (T) beige 36-40</t>
  </si>
  <si>
    <t>1052233-0010-3640</t>
  </si>
  <si>
    <t>Base salome sola (T) chocolate 36-40</t>
  </si>
  <si>
    <t>1052233-9999-3640</t>
  </si>
  <si>
    <t>Base salome sola (T) negro 36-40</t>
  </si>
  <si>
    <t>0772233-0003-3640</t>
  </si>
  <si>
    <t>Base veronica c/pintura (T) beige 36-40</t>
  </si>
  <si>
    <t>0772233-0010-3640</t>
  </si>
  <si>
    <t>Base veronica c/pintura (T) chocolate 36-40</t>
  </si>
  <si>
    <t>0772233-9999-3640</t>
  </si>
  <si>
    <t>Base veronica c/pintura (T) negro 36-40</t>
  </si>
  <si>
    <t>0762233-0003-3640</t>
  </si>
  <si>
    <t>Base veronica sola (T) beige 36-40</t>
  </si>
  <si>
    <t>0762233-0010-3640</t>
  </si>
  <si>
    <t>Base veronica sola (T) chocolate 36-40</t>
  </si>
  <si>
    <t>0762233-9999-3640</t>
  </si>
  <si>
    <t>Base veronica sola (T) negro 36-40</t>
  </si>
  <si>
    <t>0662233-0003-3640</t>
  </si>
  <si>
    <t>Base victoria c/folia (T) beige 36-40</t>
  </si>
  <si>
    <t>0662233-0010-3640</t>
  </si>
  <si>
    <t>Base victoria c/folia (T) chocolate 36-40</t>
  </si>
  <si>
    <t>0662233-9999-3640</t>
  </si>
  <si>
    <t>Base victoria c/folia (T) negro 36-40</t>
  </si>
  <si>
    <t>0652233-0003-3640</t>
  </si>
  <si>
    <t>Base victoria c/folia y vira (T) beige 36-40</t>
  </si>
  <si>
    <t>0652233-0010-3640</t>
  </si>
  <si>
    <t>Base victoria c/folia y vira (T) chocolate 36-40</t>
  </si>
  <si>
    <t>0652233-9999-3640</t>
  </si>
  <si>
    <t>Base victoria c/folia y vira (T) negro 36-40</t>
  </si>
  <si>
    <t>0672233-0003-3640</t>
  </si>
  <si>
    <t>Base victoria c/pintura (T) beige 36-40</t>
  </si>
  <si>
    <t>0672233-0010-3640</t>
  </si>
  <si>
    <t>Base victoria c/pintura (T) chocolate 36-40</t>
  </si>
  <si>
    <t>0672233-9999-3640</t>
  </si>
  <si>
    <t>Base victoria c/pintura (T) negro 36-40</t>
  </si>
  <si>
    <t>0682233-0003-3640</t>
  </si>
  <si>
    <t>Base victoria sola (T) beige 36-40</t>
  </si>
  <si>
    <t>0682233-0010-3640</t>
  </si>
  <si>
    <t>Base victoria sola (T) chocolate 36-40</t>
  </si>
  <si>
    <t>0682233-9999-3640</t>
  </si>
  <si>
    <t>Base victoria sola (T) negro 36-40</t>
  </si>
  <si>
    <t>0812233-0003-3640</t>
  </si>
  <si>
    <t>Base yoli c/pintura (T) beige 36-40</t>
  </si>
  <si>
    <t>0812233-0010-3640</t>
  </si>
  <si>
    <t>Base yoli c/pintura (T) chocolate 36-40</t>
  </si>
  <si>
    <t>0812233-9999-3640</t>
  </si>
  <si>
    <t>Base yoli c/pintura (T) negro 36-40</t>
  </si>
  <si>
    <t>0802233-0003-3640</t>
  </si>
  <si>
    <t>Base yoli sola (T) beige 36-40</t>
  </si>
  <si>
    <t>0802233-0010-3640</t>
  </si>
  <si>
    <t>Base yoli sola (T) chocolate 36-40</t>
  </si>
  <si>
    <t>4931098-0159</t>
  </si>
  <si>
    <t>0802233-9999-3640</t>
  </si>
  <si>
    <t>Base yoli sola (T) negro 36-40</t>
  </si>
  <si>
    <t>NUDE</t>
  </si>
  <si>
    <t>0322923-9999</t>
  </si>
  <si>
    <t>Berlin negro</t>
  </si>
  <si>
    <t>0322923-0165</t>
  </si>
  <si>
    <t>Berlin perla</t>
  </si>
  <si>
    <t>0322923-0030</t>
  </si>
  <si>
    <t>Berlin plata</t>
  </si>
  <si>
    <t>0322923-0051</t>
  </si>
  <si>
    <t>Berlin platino</t>
  </si>
  <si>
    <t>0322923-0149</t>
  </si>
  <si>
    <t>Berlin rose gold</t>
  </si>
  <si>
    <t>0322022-0165</t>
  </si>
  <si>
    <t>Berlin* perla</t>
  </si>
  <si>
    <t>4791249-0120</t>
  </si>
  <si>
    <t>Betanzos almendra</t>
  </si>
  <si>
    <t>4791249-0000</t>
  </si>
  <si>
    <t>Betanzos blanco</t>
  </si>
  <si>
    <t>4791249-0069</t>
  </si>
  <si>
    <t>Betanzos miel</t>
  </si>
  <si>
    <t>4791249-0032</t>
  </si>
  <si>
    <t>Betanzos natural</t>
  </si>
  <si>
    <t>4791249-9999</t>
  </si>
  <si>
    <t>Betanzos negro</t>
  </si>
  <si>
    <t>4791249-0159</t>
  </si>
  <si>
    <t>Betanzos nude</t>
  </si>
  <si>
    <t>479002-0033</t>
  </si>
  <si>
    <t>Betanzos verde</t>
  </si>
  <si>
    <t>638923-0010-0051</t>
  </si>
  <si>
    <t>Birk 01(P) chocolate L(8,9,0)</t>
  </si>
  <si>
    <t>638923-0010-0050</t>
  </si>
  <si>
    <t>Birk 01(P) chocolate S(5,6,7)</t>
  </si>
  <si>
    <t>638923-9999-0051</t>
  </si>
  <si>
    <t>Birk 01(P) negro L(8,9,0)</t>
  </si>
  <si>
    <t>638923-9999-0050</t>
  </si>
  <si>
    <t>Birk 01(P) negro S(5,6,7)</t>
  </si>
  <si>
    <t>638923-0030-0051</t>
  </si>
  <si>
    <t>Birk 01(P) plata L(8,9,0)</t>
  </si>
  <si>
    <t>638923-0030-0050</t>
  </si>
  <si>
    <t>Birk 01(P) plata S(5,6,7)</t>
  </si>
  <si>
    <t>639923-0278-0051</t>
  </si>
  <si>
    <t>Birk 02(P) manteca/plata L(8,9,0)</t>
  </si>
  <si>
    <t>639923-0278-0050</t>
  </si>
  <si>
    <t>Birk 02(P) manteca/plata S(5,6,7)</t>
  </si>
  <si>
    <t>639923-0262-0051</t>
  </si>
  <si>
    <t>Birk 02(P) negro/negro L(8,9,0)</t>
  </si>
  <si>
    <t>639923-0262-0050</t>
  </si>
  <si>
    <t>4931098-0198</t>
  </si>
  <si>
    <t>Birk 02(P) negro/negro S(5,6,7)</t>
  </si>
  <si>
    <t>MANTECA</t>
  </si>
  <si>
    <t>639923-0168-0051</t>
  </si>
  <si>
    <t>Birk 02(P) negro/plata L(8,9,0)</t>
  </si>
  <si>
    <t>639923-0168-0050</t>
  </si>
  <si>
    <t>Birk 02(P) negro/plata S(5,6,7)</t>
  </si>
  <si>
    <t>640923-0198-0051</t>
  </si>
  <si>
    <t>Birk 03(P) manteca L(8,9,0)</t>
  </si>
  <si>
    <t>640923-0198-0050</t>
  </si>
  <si>
    <t>Birk 03(P) manteca S(5,6,7)</t>
  </si>
  <si>
    <t>640923-0143-0051</t>
  </si>
  <si>
    <t>Birk 03(P) multi L(8,9,0)</t>
  </si>
  <si>
    <t>640923-0143-0050</t>
  </si>
  <si>
    <t>Birk 03(P) multi S(5,6,7)</t>
  </si>
  <si>
    <t>640923-9999-0051</t>
  </si>
  <si>
    <t>Birk 03(P) negro L(8,9,0)</t>
  </si>
  <si>
    <t>640923-9999-0050</t>
  </si>
  <si>
    <t>Birk 03(P) negro S(5,6,7)</t>
  </si>
  <si>
    <t>641923-9999-0051</t>
  </si>
  <si>
    <t>Birk 04(P) negro L(8,9,0)</t>
  </si>
  <si>
    <t>641923-9999-0050</t>
  </si>
  <si>
    <t>Birk 04(P) negro S(5,6,7)</t>
  </si>
  <si>
    <t>642923-0010-0051</t>
  </si>
  <si>
    <t>Birk 05(P) chocolate L(8,9,0)</t>
  </si>
  <si>
    <t>642923-0010-0050</t>
  </si>
  <si>
    <t>Birk 05(P) chocolate S(5,6,7)</t>
  </si>
  <si>
    <t>642923-9999-0051</t>
  </si>
  <si>
    <t>Birk 05(P) negro L(8,9,0)</t>
  </si>
  <si>
    <t>642923-9999-0050</t>
  </si>
  <si>
    <t>Birk 05(P) negro S(5,6,7)</t>
  </si>
  <si>
    <t>642923-0297-0051</t>
  </si>
  <si>
    <t>Birk 05(P) suela L(8,9,0)</t>
  </si>
  <si>
    <t>642923-0297-0050</t>
  </si>
  <si>
    <t>Birk 05(P) suela S(5,6,7)</t>
  </si>
  <si>
    <t>512923-0271</t>
  </si>
  <si>
    <t>Birk 17(P) suela/plata</t>
  </si>
  <si>
    <t>513923-0270</t>
  </si>
  <si>
    <t>Birk 18(P) negro/niquel</t>
  </si>
  <si>
    <t>514923-0168</t>
  </si>
  <si>
    <t>Birk 19(P) negro/plata</t>
  </si>
  <si>
    <t>514923-0271</t>
  </si>
  <si>
    <t>Birk 19(P) suela/plata</t>
  </si>
  <si>
    <t>643923-0166-0051</t>
  </si>
  <si>
    <t>Birk 26(P) blanco/plata L(8,9,0)</t>
  </si>
  <si>
    <t>643923-0166-0050</t>
  </si>
  <si>
    <t>Birk 26(P) blanco/plata S(5,6,7)</t>
  </si>
  <si>
    <t>643923-0240-0051</t>
  </si>
  <si>
    <t>Birk 26(P) chocolate/bronc L(8,9,0)</t>
  </si>
  <si>
    <t>643923-0240-0050</t>
  </si>
  <si>
    <t>Birk 26(P) chocolate/bronc S(5,6,7)</t>
  </si>
  <si>
    <t>643923-0262-0051</t>
  </si>
  <si>
    <t>Birk 26(P) negro/negro L(8,9,0)</t>
  </si>
  <si>
    <t>4931098-0156</t>
  </si>
  <si>
    <t>643923-0262-0050</t>
  </si>
  <si>
    <t>Birk 26(P) negro/negro S(5,6,7)</t>
  </si>
  <si>
    <t xml:space="preserve"> OLIVA</t>
  </si>
  <si>
    <t>643923-0168-0051</t>
  </si>
  <si>
    <t>Birk 26(P) negro/plata L(8,9,0)</t>
  </si>
  <si>
    <t>643923-0168-0050</t>
  </si>
  <si>
    <t>Birk 26(P) negro/plata S(5,6,7)</t>
  </si>
  <si>
    <t>644923-0045-0051</t>
  </si>
  <si>
    <t>Birk 28(P) gris L(8,9,0)</t>
  </si>
  <si>
    <t>644923-0045-0050</t>
  </si>
  <si>
    <t>Birk 28(P) gris S(5,6,7)</t>
  </si>
  <si>
    <t>644923-9999-0051</t>
  </si>
  <si>
    <t>Birk 28(P) negro L(8,9,0)</t>
  </si>
  <si>
    <t>644923-9999-0050</t>
  </si>
  <si>
    <t>Birk 28(P) negro S(5,6,7)</t>
  </si>
  <si>
    <t>644923-0297-0051</t>
  </si>
  <si>
    <t>Birk 28(P) suela L(8,9,0)</t>
  </si>
  <si>
    <t>644923-0297-0050</t>
  </si>
  <si>
    <t>Birk 28(P) suela S(5,6,7)</t>
  </si>
  <si>
    <t>645923-0198-0051</t>
  </si>
  <si>
    <t>Birk 34(P) manteca L(8,9,0)</t>
  </si>
  <si>
    <t>645923-0198-0050</t>
  </si>
  <si>
    <t>Birk 34(P) manteca S(5,6,7)</t>
  </si>
  <si>
    <t>645923-9999-0051</t>
  </si>
  <si>
    <t>Birk 34(P) negro L(8,9,0)</t>
  </si>
  <si>
    <t>645923-9999-0050</t>
  </si>
  <si>
    <t>Birk 34(P) negro S(5,6,7)</t>
  </si>
  <si>
    <t>396923-9999</t>
  </si>
  <si>
    <t>Birk negro</t>
  </si>
  <si>
    <t>468319-0003</t>
  </si>
  <si>
    <t>Boa beige</t>
  </si>
  <si>
    <t>468319-0000</t>
  </si>
  <si>
    <t>Boa blanco</t>
  </si>
  <si>
    <t>468319-9999</t>
  </si>
  <si>
    <t>Boa negro</t>
  </si>
  <si>
    <t>468319-0159</t>
  </si>
  <si>
    <t>Boa nude</t>
  </si>
  <si>
    <t>468319-0030</t>
  </si>
  <si>
    <t>Boa plata</t>
  </si>
  <si>
    <t>468319-0051</t>
  </si>
  <si>
    <t>Boa platino</t>
  </si>
  <si>
    <t>468319-0297</t>
  </si>
  <si>
    <t>Boa suela</t>
  </si>
  <si>
    <t>581923-0010</t>
  </si>
  <si>
    <t>Bogota chocolate</t>
  </si>
  <si>
    <t>4931098-0069</t>
  </si>
  <si>
    <t>585923-9999</t>
  </si>
  <si>
    <t>Bogota eva microf. 2.4 mm negro</t>
  </si>
  <si>
    <t>MIEL</t>
  </si>
  <si>
    <t>582923-9999</t>
  </si>
  <si>
    <t>Bogota eva pique 2.4 mm negro</t>
  </si>
  <si>
    <t>582923-0297</t>
  </si>
  <si>
    <t>Bogota eva pique 2.4 mm suela</t>
  </si>
  <si>
    <t>581923-9999</t>
  </si>
  <si>
    <t>Bogota negro</t>
  </si>
  <si>
    <t>581923-0047</t>
  </si>
  <si>
    <t>Bogota vison</t>
  </si>
  <si>
    <t>0013923-0003</t>
  </si>
  <si>
    <t>Bolso bari beige</t>
  </si>
  <si>
    <t>0013923-9999</t>
  </si>
  <si>
    <t>Bolso bari negro</t>
  </si>
  <si>
    <t>0013923-0297</t>
  </si>
  <si>
    <t>Bolso bari suela</t>
  </si>
  <si>
    <t>0015923-9999</t>
  </si>
  <si>
    <t>Bolso cali negro</t>
  </si>
  <si>
    <t>0015923-0297</t>
  </si>
  <si>
    <t>Bolso cali suela</t>
  </si>
  <si>
    <t>0014923-9999</t>
  </si>
  <si>
    <t>Bolso flow negro</t>
  </si>
  <si>
    <t>0023923-9999</t>
  </si>
  <si>
    <t>Bolso maxi negro</t>
  </si>
  <si>
    <t>0023923-0297</t>
  </si>
  <si>
    <t>Bolso maxi suela</t>
  </si>
  <si>
    <t>0012923-9999</t>
  </si>
  <si>
    <t>Bolso praga negro</t>
  </si>
  <si>
    <t>0072022-2222</t>
  </si>
  <si>
    <t>Bondeado PU/Eva 1.5mm .</t>
  </si>
  <si>
    <t>0082022-2222</t>
  </si>
  <si>
    <t>Bondeado PU/Eva 2mm .</t>
  </si>
  <si>
    <t>0102022-2222</t>
  </si>
  <si>
    <t>Bondeado PU/Forreria .</t>
  </si>
  <si>
    <t>0092022-2222</t>
  </si>
  <si>
    <t>Bondeado PU/Friselina 120g .</t>
  </si>
  <si>
    <t>0112022-2222</t>
  </si>
  <si>
    <t>Bondeado PU/No tejido 120g .</t>
  </si>
  <si>
    <t>0062022-2222</t>
  </si>
  <si>
    <t>Bondeado PU/PU .</t>
  </si>
  <si>
    <t>538744-0120</t>
  </si>
  <si>
    <t>Bora le almendra</t>
  </si>
  <si>
    <t>538744-0000</t>
  </si>
  <si>
    <t>Bora le blanco</t>
  </si>
  <si>
    <t>538744-0069</t>
  </si>
  <si>
    <t>Bora le miel</t>
  </si>
  <si>
    <t>538744-0159</t>
  </si>
  <si>
    <t>Bora le nude</t>
  </si>
  <si>
    <t>2087712-0000</t>
  </si>
  <si>
    <t>Bred big P blanco</t>
  </si>
  <si>
    <t>4931098-0019</t>
  </si>
  <si>
    <t>NARANJA</t>
  </si>
  <si>
    <t>235127-0007</t>
  </si>
  <si>
    <t>Brush Off camel</t>
  </si>
  <si>
    <t>235127-0010</t>
  </si>
  <si>
    <t>Brush Off chocolate</t>
  </si>
  <si>
    <t>235127-9999</t>
  </si>
  <si>
    <t>Brush Off negro</t>
  </si>
  <si>
    <t>235127-0297</t>
  </si>
  <si>
    <t>Brush Off suela</t>
  </si>
  <si>
    <t>0102025-2222</t>
  </si>
  <si>
    <t>Caja bota larga(U) .</t>
  </si>
  <si>
    <t>0122025-2222</t>
  </si>
  <si>
    <t>Caja botineta(U) .</t>
  </si>
  <si>
    <t>0112025-2222</t>
  </si>
  <si>
    <t>Caja señora(U) .</t>
  </si>
  <si>
    <t>Cali blanco</t>
  </si>
  <si>
    <t>4931098-0010</t>
  </si>
  <si>
    <t>Cali chocolate</t>
  </si>
  <si>
    <t>4931098-0008</t>
  </si>
  <si>
    <t>Cali coral</t>
  </si>
  <si>
    <t>5140923-0010</t>
  </si>
  <si>
    <t>Cali eva microf. 2.4mm chocolate</t>
  </si>
  <si>
    <t>5140923-9999</t>
  </si>
  <si>
    <t>Cali eva microf. 2.4mm negro</t>
  </si>
  <si>
    <t>5130923-0000</t>
  </si>
  <si>
    <t>Cali eva pique 2.4mm blanco</t>
  </si>
  <si>
    <t>5130923-0010</t>
  </si>
  <si>
    <t>Cali eva pique 2.4mm chocolate</t>
  </si>
  <si>
    <t>5130923-9999</t>
  </si>
  <si>
    <t>Cali eva pique 2.4mm negro</t>
  </si>
  <si>
    <t>5099923-0000</t>
  </si>
  <si>
    <t>Cali eva pique 3.3mm blanco</t>
  </si>
  <si>
    <t>5099923-9999</t>
  </si>
  <si>
    <t>Cali eva pique 3.3mm negro</t>
  </si>
  <si>
    <t>4931098-0013</t>
  </si>
  <si>
    <t>Cali fucsia</t>
  </si>
  <si>
    <t>Cali manteca</t>
  </si>
  <si>
    <t>Cali miel</t>
  </si>
  <si>
    <t>4931098-0044</t>
  </si>
  <si>
    <t>Cali moca</t>
  </si>
  <si>
    <t>Cali naranja</t>
  </si>
  <si>
    <t>Cali negro</t>
  </si>
  <si>
    <t>Cali nude</t>
  </si>
  <si>
    <t>Cali oliva</t>
  </si>
  <si>
    <t>4931098-0193</t>
  </si>
  <si>
    <t>Cali suela d/t</t>
  </si>
  <si>
    <t>VERDE BENETTON</t>
  </si>
  <si>
    <t>Cali suela oscuro dt</t>
  </si>
  <si>
    <t>Cali verde benetton</t>
  </si>
  <si>
    <t>Cali vison</t>
  </si>
  <si>
    <t>CAN-0001</t>
  </si>
  <si>
    <t>CANASTO</t>
  </si>
  <si>
    <t>333923-9999-3640</t>
  </si>
  <si>
    <t>Cap. birken diamante(P) negro 36-40</t>
  </si>
  <si>
    <t>333923-0297-3640</t>
  </si>
  <si>
    <t>Cap. birken diamante(P) suela 36-40</t>
  </si>
  <si>
    <t>3250923 999936400012</t>
  </si>
  <si>
    <t>Cap. birken diamante(T) negro 36-40 (23322)</t>
  </si>
  <si>
    <t>3250923 029736400012</t>
  </si>
  <si>
    <t>Cap. birken diamante(T) suela 36-40 (23322)</t>
  </si>
  <si>
    <t>3262026-9999</t>
  </si>
  <si>
    <t>Cap. borcego forte(KIT) 36-40 (23322) negro</t>
  </si>
  <si>
    <t>3272026-9999</t>
  </si>
  <si>
    <t>Cap. borcego star(KIT) 36-40 (23322) negro</t>
  </si>
  <si>
    <t>328923-9999-3640</t>
  </si>
  <si>
    <t>Cap. borcego strass(P) negro 36-40</t>
  </si>
  <si>
    <t>3209923 999936400012</t>
  </si>
  <si>
    <t>Cap. borcego strass(T) negro 36-40 (23322)</t>
  </si>
  <si>
    <t>330923-0010-3640</t>
  </si>
  <si>
    <t>Cap. bota alta(P) chocolate 36-40</t>
  </si>
  <si>
    <t>330923-9999-3640</t>
  </si>
  <si>
    <t>Cap. bota alta(P) negro 36-40</t>
  </si>
  <si>
    <t>3220923 001036400012</t>
  </si>
  <si>
    <t>Cap. bota alta(T) chocolate 36-40 (23322)</t>
  </si>
  <si>
    <t>3220923 999936400012</t>
  </si>
  <si>
    <t>Cap. bota alta(T) negro 36-40 (23322)</t>
  </si>
  <si>
    <t>319923-9999-3640</t>
  </si>
  <si>
    <t>Cap. bota classic(P) negro 36-40</t>
  </si>
  <si>
    <t>3200923 999936400012</t>
  </si>
  <si>
    <t>Cap. bota classic(T) negro 36-40 (23322)</t>
  </si>
  <si>
    <t>322923-9999-3640</t>
  </si>
  <si>
    <t>Cap. bota cuello(P) negro 36-40</t>
  </si>
  <si>
    <t>3203923 999936400012</t>
  </si>
  <si>
    <t>Cap. bota cuello(T) negro 36-40 (23322)</t>
  </si>
  <si>
    <t>321923-9999-3640</t>
  </si>
  <si>
    <t>Cap. bota glam(P) negro 36-40</t>
  </si>
  <si>
    <t>3202923 999936400012</t>
  </si>
  <si>
    <t>Cap. bota glam(T) negro 36-40 (23322)</t>
  </si>
  <si>
    <t>331923-9999-3640</t>
  </si>
  <si>
    <t>Cap. bota preski(P) negro 36-40</t>
  </si>
  <si>
    <t>3230923 999936400012</t>
  </si>
  <si>
    <t>Cap. bota preski(T) negro 36-40 (23322)</t>
  </si>
  <si>
    <t>329923-0010-3640</t>
  </si>
  <si>
    <t>Cap. bota rock(P) chocolate 36-40</t>
  </si>
  <si>
    <t>329923-9999-3640</t>
  </si>
  <si>
    <t>Cap. bota rock(P) negro 36-40</t>
  </si>
  <si>
    <t>3210923 001036400012</t>
  </si>
  <si>
    <t>Cap. bota rock(T) chocolate 36-40 (23322)</t>
  </si>
  <si>
    <t>3210923 999936400012</t>
  </si>
  <si>
    <t>Cap. bota rock(T) negro 36-40 (23322)</t>
  </si>
  <si>
    <t>320923-9999-3640</t>
  </si>
  <si>
    <t>Cap. bota tachas(P) negro 36-40</t>
  </si>
  <si>
    <t>3201923 999936400012</t>
  </si>
  <si>
    <t>Cap. bota tachas(T) negro 36-40 (23322)</t>
  </si>
  <si>
    <t>CORAL</t>
  </si>
  <si>
    <t>332923-9999-3640</t>
  </si>
  <si>
    <t>Cap. bota ugg strass(P) negro 36-40</t>
  </si>
  <si>
    <t>3240923 999936400012</t>
  </si>
  <si>
    <t>Cap. bota ugg strass(T) negro 36-40 (23322)</t>
  </si>
  <si>
    <t>311923-0262</t>
  </si>
  <si>
    <t>Cap. sandalia 27 negro/negro</t>
  </si>
  <si>
    <t>311923-0264</t>
  </si>
  <si>
    <t>Cap. sandalia 27 negro/peltre</t>
  </si>
  <si>
    <t>311923-0168</t>
  </si>
  <si>
    <t>Cap. sandalia 27 negro/plata</t>
  </si>
  <si>
    <t>312923-9999</t>
  </si>
  <si>
    <t>Cap. sandalia hilo 30 negro</t>
  </si>
  <si>
    <t>312923-0030</t>
  </si>
  <si>
    <t>Cap. sandalia hilo 30 plata</t>
  </si>
  <si>
    <t>327923-9999-3640</t>
  </si>
  <si>
    <t>Cap. texana alta(P) negro 36-40</t>
  </si>
  <si>
    <t>3208923 999936400012</t>
  </si>
  <si>
    <t>Cap. texana alta(T) negro 36-40 (23322)</t>
  </si>
  <si>
    <t>324923-0010-3640</t>
  </si>
  <si>
    <t>Cap. texana classic(P) chocolate 36-40</t>
  </si>
  <si>
    <t>324923-9999-3640</t>
  </si>
  <si>
    <t>Cap. texana classic(P) negro 36-40</t>
  </si>
  <si>
    <t>3205923 001036400012</t>
  </si>
  <si>
    <t>Cap. texana classic(T) chocolate 36-40 (23322)</t>
  </si>
  <si>
    <t>3205923 999936400012</t>
  </si>
  <si>
    <t>Cap. texana classic(T) negro 36-40 (23322)</t>
  </si>
  <si>
    <t>326923-9999-3640</t>
  </si>
  <si>
    <t>Cap. texana flecos(P) negro 36-40</t>
  </si>
  <si>
    <t>326923-0297-3640</t>
  </si>
  <si>
    <t>Cap. texana flecos(P) suela 36-40</t>
  </si>
  <si>
    <t>3207923 029736400012</t>
  </si>
  <si>
    <t>Cap. texana flecos(T) suela 36-40 (23322)</t>
  </si>
  <si>
    <t>323923-9999-3640</t>
  </si>
  <si>
    <t>Cap. texana strass(P) negro 36-40</t>
  </si>
  <si>
    <t>3204923 999936400012</t>
  </si>
  <si>
    <t>Cap. texana strass(T) negro 36-40 (23322)</t>
  </si>
  <si>
    <t>325923-9999-3640</t>
  </si>
  <si>
    <t>Cap. texana tachas(P) negro 36-40</t>
  </si>
  <si>
    <t>3206923 999936400012</t>
  </si>
  <si>
    <t>Cap. texana tachas(T) negro 36-40 (23322)</t>
  </si>
  <si>
    <t>668923-0003-0054</t>
  </si>
  <si>
    <t>Capellada 37(P) beige L(9,0)</t>
  </si>
  <si>
    <t>668923-0003-0053</t>
  </si>
  <si>
    <t>Capellada 37(P) beige M(7,8)</t>
  </si>
  <si>
    <t>668923-0003-0052</t>
  </si>
  <si>
    <t>Capellada 37(P) beige S(5,6)</t>
  </si>
  <si>
    <t>668923-0010-0054</t>
  </si>
  <si>
    <t>Capellada 37(P) chocolate L(9,0)</t>
  </si>
  <si>
    <t>668923-0010-0053</t>
  </si>
  <si>
    <t>Capellada 37(P) chocolate M(7,8)</t>
  </si>
  <si>
    <t>668923-0010-0052</t>
  </si>
  <si>
    <t>Capellada 37(P) chocolate S(5,6)</t>
  </si>
  <si>
    <t>668923-0032-0054</t>
  </si>
  <si>
    <t>Capellada 37(P) natural L(9,0)</t>
  </si>
  <si>
    <t>668923-0032-0053</t>
  </si>
  <si>
    <t>Capellada 37(P) natural M(7,8)</t>
  </si>
  <si>
    <t>668923-0032-0052</t>
  </si>
  <si>
    <t>Capellada 37(P) natural S(5,6)</t>
  </si>
  <si>
    <t>668923-9999-0054</t>
  </si>
  <si>
    <t>Capellada 37(P) negro L(9,0)</t>
  </si>
  <si>
    <t>CHOCOLATE</t>
  </si>
  <si>
    <t>668923-9999-0053</t>
  </si>
  <si>
    <t>Capellada 37(P) negro M(7,8)</t>
  </si>
  <si>
    <t>668923-9999-0052</t>
  </si>
  <si>
    <t>Capellada 37(P) negro S(5,6)</t>
  </si>
  <si>
    <t xml:space="preserve">Ingresaron 17998 mts desde agosto del año 2025 hasta junio del 2026 y no hay stock. </t>
  </si>
  <si>
    <t>669923-0010-0054</t>
  </si>
  <si>
    <t>Capellada 38(P) chocolate L(9,0)</t>
  </si>
  <si>
    <t>669923-0010-0053</t>
  </si>
  <si>
    <t>Capellada 38(P) chocolate M(7,8)</t>
  </si>
  <si>
    <t>669923-0010-0052</t>
  </si>
  <si>
    <t>Capellada 38(P) chocolate S(5,6)</t>
  </si>
  <si>
    <t>669923-0069-0054</t>
  </si>
  <si>
    <t>Capellada 38(P) miel L(9,0)</t>
  </si>
  <si>
    <t>669923-0069-0053</t>
  </si>
  <si>
    <t>Capellada 38(P) miel M(7,8)</t>
  </si>
  <si>
    <t>669923-0069-0052</t>
  </si>
  <si>
    <t>Capellada 38(P) miel S(5,6)</t>
  </si>
  <si>
    <t>669923-9999-0054</t>
  </si>
  <si>
    <t>Capellada 38(P) negro L(9,0)</t>
  </si>
  <si>
    <t>669923-9999-0053</t>
  </si>
  <si>
    <t>Capellada 38(P) negro M(7,8)</t>
  </si>
  <si>
    <t>669923-9999-0052</t>
  </si>
  <si>
    <t>Capellada 38(P) negro S(5,6)</t>
  </si>
  <si>
    <t>670923-9999-0054</t>
  </si>
  <si>
    <t>Capellada 41(P) negro L(9,0)</t>
  </si>
  <si>
    <t>670923-9999-0053</t>
  </si>
  <si>
    <t>Capellada 41(P) negro M(7,8)</t>
  </si>
  <si>
    <t>670923-9999-0052</t>
  </si>
  <si>
    <t>Capellada 41(P) negro S(5,6)</t>
  </si>
  <si>
    <t>671923-0003-0054</t>
  </si>
  <si>
    <t>Capellada 43(P) beige L(9,0)</t>
  </si>
  <si>
    <t>671923-0003-0053</t>
  </si>
  <si>
    <t>Capellada 43(P) beige M(7,8)</t>
  </si>
  <si>
    <t>671923-0003-0052</t>
  </si>
  <si>
    <t>Capellada 43(P) beige S(5,6)</t>
  </si>
  <si>
    <t>671923-0010-0054</t>
  </si>
  <si>
    <t>Capellada 43(P) chocolate L(9,0)</t>
  </si>
  <si>
    <t>671923-0010-0053</t>
  </si>
  <si>
    <t>Capellada 43(P) chocolate M(7,8)</t>
  </si>
  <si>
    <t>671923-0010-0052</t>
  </si>
  <si>
    <t>Capellada 43(P) chocolate S(5,6)</t>
  </si>
  <si>
    <t>671923-9999-0054</t>
  </si>
  <si>
    <t>Capellada 43(P) negro L(9,0)</t>
  </si>
  <si>
    <t>671923-9999-0053</t>
  </si>
  <si>
    <t>Capellada 43(P) negro M(7,8)</t>
  </si>
  <si>
    <t>671923-9999-0052</t>
  </si>
  <si>
    <t>Capellada 43(P) negro S(5,6)</t>
  </si>
  <si>
    <t>672923-0003-0054</t>
  </si>
  <si>
    <t>Capellada 45(P) beige L(9,0)</t>
  </si>
  <si>
    <t>672923-0003-0053</t>
  </si>
  <si>
    <t>Capellada 45(P) beige M(7,8)</t>
  </si>
  <si>
    <t>672923-0003-0052</t>
  </si>
  <si>
    <t>Capellada 45(P) beige S(5,6)</t>
  </si>
  <si>
    <t>672923-0010-0054</t>
  </si>
  <si>
    <t>Capellada 45(P) chocolate L(9,0)</t>
  </si>
  <si>
    <t>MOCCA</t>
  </si>
  <si>
    <t>672923-0010-0053</t>
  </si>
  <si>
    <t>Capellada 45(P) chocolate M(7,8)</t>
  </si>
  <si>
    <t>672923-0010-0052</t>
  </si>
  <si>
    <t>Capellada 45(P) chocolate S(5,6)</t>
  </si>
  <si>
    <t>672923-9999-0054</t>
  </si>
  <si>
    <t>Capellada 45(P) negro L(9,0)</t>
  </si>
  <si>
    <t>672923-9999-0053</t>
  </si>
  <si>
    <t>Capellada 45(P) negro M(7,8)</t>
  </si>
  <si>
    <t>672923-9999-0052</t>
  </si>
  <si>
    <t>Capellada 45(P) negro S(5,6)</t>
  </si>
  <si>
    <t>0102020-0000-3840</t>
  </si>
  <si>
    <t>Capellada Deportiva blanco 38 al 40</t>
  </si>
  <si>
    <t>0102035-9999</t>
  </si>
  <si>
    <t>Capellada Deportiva negro</t>
  </si>
  <si>
    <t>0142021-0000</t>
  </si>
  <si>
    <t>Capellada Ojota blanco</t>
  </si>
  <si>
    <t>0142021-9999</t>
  </si>
  <si>
    <t>Capellada Ojota negro</t>
  </si>
  <si>
    <t>0142021-0022</t>
  </si>
  <si>
    <t>Capellada Ojota rosa</t>
  </si>
  <si>
    <t>0152021-0000</t>
  </si>
  <si>
    <t>Capellada sofi blanco</t>
  </si>
  <si>
    <t>0152021-0022</t>
  </si>
  <si>
    <t>Capellada sofi rosa</t>
  </si>
  <si>
    <t>0021923-9999</t>
  </si>
  <si>
    <t>Cartera lisboa negro</t>
  </si>
  <si>
    <t>0020923-9999</t>
  </si>
  <si>
    <t>Cartera milan met negro</t>
  </si>
  <si>
    <t>0020923-0039</t>
  </si>
  <si>
    <t>Cartera milan met peltre</t>
  </si>
  <si>
    <t>00142025-0206</t>
  </si>
  <si>
    <t>Cartera rafia nido</t>
  </si>
  <si>
    <t>00142025-0029</t>
  </si>
  <si>
    <t>Cartera rafia oro</t>
  </si>
  <si>
    <t>00142025-0207</t>
  </si>
  <si>
    <t>Cartera rafia pampa</t>
  </si>
  <si>
    <t>BOGOTA</t>
  </si>
  <si>
    <t>NEGRO ( Base Tejida )</t>
  </si>
  <si>
    <t>00142025-0208</t>
  </si>
  <si>
    <t>Cartera rafia pampa beige</t>
  </si>
  <si>
    <t>00142025-0030</t>
  </si>
  <si>
    <t>Cartera rafia plata</t>
  </si>
  <si>
    <t>00142025-0205</t>
  </si>
  <si>
    <t>Cartera rafia rayas</t>
  </si>
  <si>
    <t>00142025-0210</t>
  </si>
  <si>
    <t>Cartera rafia trenza beige</t>
  </si>
  <si>
    <t>00142025-0209</t>
  </si>
  <si>
    <t>Cartera rafia trenza negro</t>
  </si>
  <si>
    <t>0022923-9999</t>
  </si>
  <si>
    <t>Cartera turin negro</t>
  </si>
  <si>
    <t>0015025-0248</t>
  </si>
  <si>
    <t>Carton 1.5 mm marron</t>
  </si>
  <si>
    <t>0015025-0022</t>
  </si>
  <si>
    <t>Carton 1.5 mm rosa</t>
  </si>
  <si>
    <t>0017525-0248</t>
  </si>
  <si>
    <t>Carton 1.75 mm marron</t>
  </si>
  <si>
    <t>0017525-0022</t>
  </si>
  <si>
    <t>Carton 1.75 mm rosa</t>
  </si>
  <si>
    <t>0021227-2222</t>
  </si>
  <si>
    <t>Carton c/eva 2mm -</t>
  </si>
  <si>
    <t>0031227-2222</t>
  </si>
  <si>
    <t>Carton c/eva 3mm -</t>
  </si>
  <si>
    <t>0041227-2222</t>
  </si>
  <si>
    <t>Carton c/eva 4mm -</t>
  </si>
  <si>
    <t>0061227-2222</t>
  </si>
  <si>
    <t>Carton c/eva pique 2mm -</t>
  </si>
  <si>
    <t>0071227-2222</t>
  </si>
  <si>
    <t>Carton confort c/pique 4mm -</t>
  </si>
  <si>
    <t>380923-2222</t>
  </si>
  <si>
    <t>Cebra -</t>
  </si>
  <si>
    <t>586923-9999</t>
  </si>
  <si>
    <t>Charol 0.6 mm negro</t>
  </si>
  <si>
    <t>004127-0003</t>
  </si>
  <si>
    <t>Charol 0.8 mm beige</t>
  </si>
  <si>
    <t>004127-0000</t>
  </si>
  <si>
    <t>Charol 0.8 mm blanco</t>
  </si>
  <si>
    <t>004127-0010</t>
  </si>
  <si>
    <t>Charol 0.8 mm chocolate</t>
  </si>
  <si>
    <t>004127-0211</t>
  </si>
  <si>
    <t>Charol 0.8 mm fluor amarillo</t>
  </si>
  <si>
    <t>004127-0174</t>
  </si>
  <si>
    <t>Charol 0.8 mm fluor fucsia</t>
  </si>
  <si>
    <t>004127-0013</t>
  </si>
  <si>
    <t>Charol 0.8 mm fucsia</t>
  </si>
  <si>
    <t>389923-2222</t>
  </si>
  <si>
    <t>Charol 0.8 mm Leopardo -</t>
  </si>
  <si>
    <t>004127-0014</t>
  </si>
  <si>
    <t>Charol 0.8 mm lila</t>
  </si>
  <si>
    <t>004127-0204</t>
  </si>
  <si>
    <t>Charol 0.8 mm lima</t>
  </si>
  <si>
    <t>004127-0044</t>
  </si>
  <si>
    <t>Charol 0.8 mm moca</t>
  </si>
  <si>
    <t>004127-0019</t>
  </si>
  <si>
    <t>Charol 0.8 mm naranja</t>
  </si>
  <si>
    <t>004127-9999</t>
  </si>
  <si>
    <t>Charol 0.8 mm negro</t>
  </si>
  <si>
    <t>004127-0159</t>
  </si>
  <si>
    <t>Charol 0.8 mm nude</t>
  </si>
  <si>
    <t>004127-0047</t>
  </si>
  <si>
    <t>Charol 0.8 mm vison</t>
  </si>
  <si>
    <t>581923-0000</t>
  </si>
  <si>
    <t>384127-0000</t>
  </si>
  <si>
    <t>Charol 1.00 mm blanco</t>
  </si>
  <si>
    <t>384127-0004</t>
  </si>
  <si>
    <t>Charol 1.00 mm bordo</t>
  </si>
  <si>
    <t>384127-9999</t>
  </si>
  <si>
    <t>Charol 1.00 mm negro</t>
  </si>
  <si>
    <t>384127-0021</t>
  </si>
  <si>
    <t>Charol 1.00 mm rojo</t>
  </si>
  <si>
    <t>384127-0022</t>
  </si>
  <si>
    <t>Charol 1.00 mm rosa</t>
  </si>
  <si>
    <t>515319-0000</t>
  </si>
  <si>
    <t>Charol croco blanco</t>
  </si>
  <si>
    <t>515319-9999</t>
  </si>
  <si>
    <t>Charol croco negro</t>
  </si>
  <si>
    <t>515319-0159</t>
  </si>
  <si>
    <t>Charol croco nude</t>
  </si>
  <si>
    <t>385127-0000</t>
  </si>
  <si>
    <t>Charol Naplack blanco</t>
  </si>
  <si>
    <t>385127-9999</t>
  </si>
  <si>
    <t>Charol Naplack negro</t>
  </si>
  <si>
    <t>2882026-0299</t>
  </si>
  <si>
    <t>Chicago chocolate</t>
  </si>
  <si>
    <t>3212022-0003</t>
  </si>
  <si>
    <t>Cierre 6 mm (12cm) beige</t>
  </si>
  <si>
    <t>3212022-9999</t>
  </si>
  <si>
    <t>Cierre 6 mm (12cm) negro</t>
  </si>
  <si>
    <t>3222022-0003</t>
  </si>
  <si>
    <t>Cierre 6 mm (14cm) beige</t>
  </si>
  <si>
    <t>3222022-0010</t>
  </si>
  <si>
    <t>Cierre 6 mm (14cm) chocolate</t>
  </si>
  <si>
    <t>3222022-9999</t>
  </si>
  <si>
    <t>Cierre 6 mm (14cm) negro</t>
  </si>
  <si>
    <t>3232022-0003</t>
  </si>
  <si>
    <t>Cierre 6 mm (16cm) beige</t>
  </si>
  <si>
    <t>3232022-0010</t>
  </si>
  <si>
    <t>Cierre 6 mm (16cm) chocolate</t>
  </si>
  <si>
    <t>3232022-9999</t>
  </si>
  <si>
    <t>Cierre 6 mm (16cm) negro</t>
  </si>
  <si>
    <t>3242022-0003</t>
  </si>
  <si>
    <t>Cierre 6 mm (18cm) beige</t>
  </si>
  <si>
    <t>3242022-0010</t>
  </si>
  <si>
    <t>Cierre 6 mm (18cm) chocolate</t>
  </si>
  <si>
    <t>3242022-9999</t>
  </si>
  <si>
    <t>Cierre 6 mm (18cm) negro</t>
  </si>
  <si>
    <t>3252022-0003</t>
  </si>
  <si>
    <t>Cierre 6 mm (20cm) beige</t>
  </si>
  <si>
    <t>3252022-0010</t>
  </si>
  <si>
    <t>Cierre 6 mm (20cm) chocolate</t>
  </si>
  <si>
    <t>3252022-9999</t>
  </si>
  <si>
    <t>Cierre 6 mm (20cm) negro</t>
  </si>
  <si>
    <t>3262022-0003</t>
  </si>
  <si>
    <t>Cierre 6 mm (25cm) beige</t>
  </si>
  <si>
    <t>3262022-0010</t>
  </si>
  <si>
    <t>Cierre 6 mm (25cm) chocolate</t>
  </si>
  <si>
    <t>3262022-9999</t>
  </si>
  <si>
    <t>Cierre 6 mm (25cm) negro</t>
  </si>
  <si>
    <t>3272022-0003</t>
  </si>
  <si>
    <t>Cierre 6 mm (45cm) beige</t>
  </si>
  <si>
    <t>En lo que va del 2026 ingresaron 7936 mts y se vendió todo.</t>
  </si>
  <si>
    <t>3272022-0010</t>
  </si>
  <si>
    <t>Cierre 6 mm (45cm) chocolate</t>
  </si>
  <si>
    <t>3272022-9999</t>
  </si>
  <si>
    <t>Cierre 6 mm (45cm) negro</t>
  </si>
  <si>
    <t>601923-0235-3700</t>
  </si>
  <si>
    <t>Cinto cadena negro (37cm)</t>
  </si>
  <si>
    <t>601923-0233-4000</t>
  </si>
  <si>
    <t>Cinto cosmo negro (40cm)</t>
  </si>
  <si>
    <t>601923-0239-3700</t>
  </si>
  <si>
    <t>Cinto esfera negro (37cm)</t>
  </si>
  <si>
    <t>601923-0236-4000</t>
  </si>
  <si>
    <t>Cinto estribo negro (40cm)</t>
  </si>
  <si>
    <t>601923-0237-3700</t>
  </si>
  <si>
    <t>Cinto gala plata (37cm)</t>
  </si>
  <si>
    <t>601923-0238-7400</t>
  </si>
  <si>
    <t>Cinto lazo negro (74cm)</t>
  </si>
  <si>
    <t>601923-0230-3700</t>
  </si>
  <si>
    <t>Cinto oval negro (37cm)</t>
  </si>
  <si>
    <t>601923-0231-4000</t>
  </si>
  <si>
    <t>Cinto rocker negro (40cm)</t>
  </si>
  <si>
    <t>601923-0234-4000</t>
  </si>
  <si>
    <t>Cinto texano negro (40cm)</t>
  </si>
  <si>
    <t>601923-0232-4000</t>
  </si>
  <si>
    <t>Cinto urbano negro (40cm)</t>
  </si>
  <si>
    <t>264271-0000</t>
  </si>
  <si>
    <t>Clona blanco</t>
  </si>
  <si>
    <t>491319-9999</t>
  </si>
  <si>
    <t>Cobra negro</t>
  </si>
  <si>
    <t>4911018-2222</t>
  </si>
  <si>
    <t>Cobra neon -</t>
  </si>
  <si>
    <t>423319-0045</t>
  </si>
  <si>
    <t>Condor Troquel gris</t>
  </si>
  <si>
    <t>423319-0022</t>
  </si>
  <si>
    <t>Condor Troquel rosa</t>
  </si>
  <si>
    <t>423319-0025</t>
  </si>
  <si>
    <t>Condor Troquel turquesa</t>
  </si>
  <si>
    <t>510923-0003</t>
  </si>
  <si>
    <t>Confort 15(P) beige</t>
  </si>
  <si>
    <t>510923-0269</t>
  </si>
  <si>
    <t>Confort 15(P) beige/oro</t>
  </si>
  <si>
    <t>510923-9999</t>
  </si>
  <si>
    <t>Confort 15(P) negro</t>
  </si>
  <si>
    <t>510923-0168</t>
  </si>
  <si>
    <t>Confort 15(P) negro/plata</t>
  </si>
  <si>
    <t>6151227-2222</t>
  </si>
  <si>
    <t>Contrafuerte -</t>
  </si>
  <si>
    <t>426319-0049</t>
  </si>
  <si>
    <t>Corcho Natural madera</t>
  </si>
  <si>
    <t>2021492-0028</t>
  </si>
  <si>
    <t>Cordelina P 28</t>
  </si>
  <si>
    <t>2021492-0033</t>
  </si>
  <si>
    <t>Cordelina P verde</t>
  </si>
  <si>
    <t>503923-0000</t>
  </si>
  <si>
    <t>Corderito blanco</t>
  </si>
  <si>
    <t>503923-9999</t>
  </si>
  <si>
    <t>Corderito negro</t>
  </si>
  <si>
    <t>0122024-0000</t>
  </si>
  <si>
    <t>Cordon buzo campus 120cm blanco</t>
  </si>
  <si>
    <t>0122024-9999</t>
  </si>
  <si>
    <t>Cordon buzo campus 120cm negro</t>
  </si>
  <si>
    <t>0022024-0000</t>
  </si>
  <si>
    <t>Cordon chato telar 120cm blanco</t>
  </si>
  <si>
    <t>0022024-9999</t>
  </si>
  <si>
    <t>Cordon chato telar 120cm negro</t>
  </si>
  <si>
    <t>0012024-0000</t>
  </si>
  <si>
    <t>Cordon chato telar 90cm blanco</t>
  </si>
  <si>
    <t>0012024-9999</t>
  </si>
  <si>
    <t>Cordon chato telar 90cm negro</t>
  </si>
  <si>
    <t>0092024-0000</t>
  </si>
  <si>
    <t>Cordon chato tubular 120cm blanco</t>
  </si>
  <si>
    <t>0092024-9999</t>
  </si>
  <si>
    <t>Cordon chato tubular 120cm negro</t>
  </si>
  <si>
    <t>0072024-9999</t>
  </si>
  <si>
    <t>Cordon chato tubular 90cm negro</t>
  </si>
  <si>
    <t>0112024-0000</t>
  </si>
  <si>
    <t>Cordon libreto 120cm blanco</t>
  </si>
  <si>
    <t>0112024-9999</t>
  </si>
  <si>
    <t>Cordon libreto 120cm negro</t>
  </si>
  <si>
    <t>0102024-0000</t>
  </si>
  <si>
    <t>Cordon libreto 90cm blanco</t>
  </si>
  <si>
    <t>0102024-9999</t>
  </si>
  <si>
    <t>Cordon libreto 90cm negro</t>
  </si>
  <si>
    <t>0032024-0000</t>
  </si>
  <si>
    <t>Cordon oval 120cm blanco</t>
  </si>
  <si>
    <t>0032024-9999</t>
  </si>
  <si>
    <t>Cordon oval 120cm negro</t>
  </si>
  <si>
    <t>0132025-9999</t>
  </si>
  <si>
    <t>Cordon redondo 1.20cm negro</t>
  </si>
  <si>
    <t>0142025-9999</t>
  </si>
  <si>
    <t>Cordon redondo grueso negro</t>
  </si>
  <si>
    <t>416923-9999</t>
  </si>
  <si>
    <t>Cordon strass negro</t>
  </si>
  <si>
    <t>416923-0030</t>
  </si>
  <si>
    <t>Cordon strass plata</t>
  </si>
  <si>
    <t>546923-9999</t>
  </si>
  <si>
    <t>Cordura negro</t>
  </si>
  <si>
    <t>546923-0156</t>
  </si>
  <si>
    <t>Cordura oliva</t>
  </si>
  <si>
    <t>00001511-2222</t>
  </si>
  <si>
    <t>Corta hilos -</t>
  </si>
  <si>
    <t>5081098-9999</t>
  </si>
  <si>
    <t>PU BONDEADO</t>
  </si>
  <si>
    <t xml:space="preserve">MILAN </t>
  </si>
  <si>
    <t>NEGRO</t>
  </si>
  <si>
    <t>4062022-0002</t>
  </si>
  <si>
    <t>Costurado azul</t>
  </si>
  <si>
    <t>406923-0223</t>
  </si>
  <si>
    <t>Costurado azul oscuro</t>
  </si>
  <si>
    <t>406923-0000</t>
  </si>
  <si>
    <t>Costurado blanco</t>
  </si>
  <si>
    <t>406923-0191</t>
  </si>
  <si>
    <t>Costurado blanco optico</t>
  </si>
  <si>
    <t>406923-0010</t>
  </si>
  <si>
    <t>Costurado chocolate</t>
  </si>
  <si>
    <t>406923-0032</t>
  </si>
  <si>
    <t>Costurado natural</t>
  </si>
  <si>
    <t>406923-9999</t>
  </si>
  <si>
    <t>Costurado negro</t>
  </si>
  <si>
    <t>038023-0010</t>
  </si>
  <si>
    <t>Cowboy chocolate</t>
  </si>
  <si>
    <t>001319-0070</t>
  </si>
  <si>
    <t>Crack zinc</t>
  </si>
  <si>
    <t>178319-0176</t>
  </si>
  <si>
    <t>Cristal 1mm transparente</t>
  </si>
  <si>
    <t>391923-0000</t>
  </si>
  <si>
    <t>Croco blanco</t>
  </si>
  <si>
    <t>382923-0000</t>
  </si>
  <si>
    <t>Croco chico blanco</t>
  </si>
  <si>
    <t>382923-0013</t>
  </si>
  <si>
    <t>Croco chico fucsia</t>
  </si>
  <si>
    <t>382923-0198</t>
  </si>
  <si>
    <t>Croco chico manteca</t>
  </si>
  <si>
    <t>382923-0019</t>
  </si>
  <si>
    <t>Croco chico naranja</t>
  </si>
  <si>
    <t>382923-9999</t>
  </si>
  <si>
    <t>Croco chico negro</t>
  </si>
  <si>
    <t>382923-0159</t>
  </si>
  <si>
    <t>Croco chico nude</t>
  </si>
  <si>
    <t>382923-0193</t>
  </si>
  <si>
    <t>Croco chico verde benetton</t>
  </si>
  <si>
    <t>391923-0010</t>
  </si>
  <si>
    <t>Croco chocolate</t>
  </si>
  <si>
    <t>392744-0000</t>
  </si>
  <si>
    <t>Croco le blanco</t>
  </si>
  <si>
    <t>392744-9999</t>
  </si>
  <si>
    <t>Croco le negro</t>
  </si>
  <si>
    <t>5089923-0000</t>
  </si>
  <si>
    <t>391923-9999</t>
  </si>
  <si>
    <t>TURIN EVA PIQUE</t>
  </si>
  <si>
    <t>Croco negro</t>
  </si>
  <si>
    <t>391923-0297</t>
  </si>
  <si>
    <t>Croco suela</t>
  </si>
  <si>
    <t>1004492-0008</t>
  </si>
  <si>
    <t>Crudo P beige</t>
  </si>
  <si>
    <t>0351923-9999</t>
  </si>
  <si>
    <t>Dallas negro</t>
  </si>
  <si>
    <t>0351923-0039</t>
  </si>
  <si>
    <t>Dallas peltre</t>
  </si>
  <si>
    <t>0351923-0165</t>
  </si>
  <si>
    <t>Dallas perla</t>
  </si>
  <si>
    <t>0351923-0030</t>
  </si>
  <si>
    <t>Dallas plata</t>
  </si>
  <si>
    <t>0351923-0051</t>
  </si>
  <si>
    <t>Dallas platino</t>
  </si>
  <si>
    <t>0351923-0149</t>
  </si>
  <si>
    <t>Dallas rose gold</t>
  </si>
  <si>
    <t>00112923-0010</t>
  </si>
  <si>
    <t>Deneb(0.9mm) chocolate</t>
  </si>
  <si>
    <t>00112923-9999</t>
  </si>
  <si>
    <t>Deneb(0.9mm) negro</t>
  </si>
  <si>
    <t>017923-2222</t>
  </si>
  <si>
    <t>Diamantes -</t>
  </si>
  <si>
    <t>407923-0002</t>
  </si>
  <si>
    <t>Doble frontura azul</t>
  </si>
  <si>
    <t>407923-0003</t>
  </si>
  <si>
    <t>Doble frontura beige</t>
  </si>
  <si>
    <t>407923-0000</t>
  </si>
  <si>
    <t>Doble frontura blanco</t>
  </si>
  <si>
    <t>407923-0045</t>
  </si>
  <si>
    <t>Doble frontura gris</t>
  </si>
  <si>
    <t>407923-9999</t>
  </si>
  <si>
    <t>Doble frontura negro</t>
  </si>
  <si>
    <t>407923-0159</t>
  </si>
  <si>
    <t>Doble frontura nude</t>
  </si>
  <si>
    <t>407923-0156</t>
  </si>
  <si>
    <t>Doble frontura oliva</t>
  </si>
  <si>
    <t>407923-0055</t>
  </si>
  <si>
    <t>Doble frontura topo</t>
  </si>
  <si>
    <t>506923-0003</t>
  </si>
  <si>
    <t>Dos fajas 13(P) beige</t>
  </si>
  <si>
    <t>506923-0010</t>
  </si>
  <si>
    <t>Dos fajas 13(P) chocolate</t>
  </si>
  <si>
    <t>506923-0168</t>
  </si>
  <si>
    <t>Dos fajas 13(P) negro/plata</t>
  </si>
  <si>
    <t>515923-0000</t>
  </si>
  <si>
    <t>Dos fajas 20(P) blanco</t>
  </si>
  <si>
    <t>515923-9999</t>
  </si>
  <si>
    <t>Dos fajas 20(P) negro</t>
  </si>
  <si>
    <t>2851249-0000</t>
  </si>
  <si>
    <t>Dubai blanco</t>
  </si>
  <si>
    <t>2851249-9999</t>
  </si>
  <si>
    <t>Dubai negro</t>
  </si>
  <si>
    <t>2851249-0097</t>
  </si>
  <si>
    <t>Dubai suela</t>
  </si>
  <si>
    <t>030923-0000</t>
  </si>
  <si>
    <t>Engomado blanco</t>
  </si>
  <si>
    <t>030923-0009</t>
  </si>
  <si>
    <t>Engomado celeste</t>
  </si>
  <si>
    <t>031744-0000</t>
  </si>
  <si>
    <t>Engomado le blanco</t>
  </si>
  <si>
    <t>031744-9999</t>
  </si>
  <si>
    <t>Engomado le negro</t>
  </si>
  <si>
    <t>CALI EVA PIQUE 3.3mm</t>
  </si>
  <si>
    <t>031744-0156</t>
  </si>
  <si>
    <t>Engomado le oliva</t>
  </si>
  <si>
    <t>030923-0198</t>
  </si>
  <si>
    <t>Engomado manteca</t>
  </si>
  <si>
    <t>En los materiales bondeados quizá se deba tomar en cuenta el cierre de fábrica.</t>
  </si>
  <si>
    <t>030923-9999</t>
  </si>
  <si>
    <t>Engomado negro</t>
  </si>
  <si>
    <t>0282021-0000</t>
  </si>
  <si>
    <t>Eslabon chico blanco</t>
  </si>
  <si>
    <t>0282021-0190</t>
  </si>
  <si>
    <t>Eslabon chico carey</t>
  </si>
  <si>
    <t>0282021-0009</t>
  </si>
  <si>
    <t>Eslabon chico celeste</t>
  </si>
  <si>
    <t>0282021-9999</t>
  </si>
  <si>
    <t>Eslabon chico negro</t>
  </si>
  <si>
    <t>0282021-0159</t>
  </si>
  <si>
    <t>Eslabon chico nude</t>
  </si>
  <si>
    <t>0282021-0176</t>
  </si>
  <si>
    <t>Eslabon chico transparente</t>
  </si>
  <si>
    <t>0272021-9999</t>
  </si>
  <si>
    <t>Eslabon grande negro</t>
  </si>
  <si>
    <t>0162022-0000</t>
  </si>
  <si>
    <t>Eslabon mediano blanco</t>
  </si>
  <si>
    <t>0302021-0030</t>
  </si>
  <si>
    <t>Eslabon mediano met plata</t>
  </si>
  <si>
    <t>0162022-9999</t>
  </si>
  <si>
    <t>Eslabon mediano negro</t>
  </si>
  <si>
    <t>0162022-0159</t>
  </si>
  <si>
    <t>Eslabon mediano nude</t>
  </si>
  <si>
    <t>535319-0039</t>
  </si>
  <si>
    <t>Espejo peltre</t>
  </si>
  <si>
    <t>535319-0030</t>
  </si>
  <si>
    <t>Espejo plata</t>
  </si>
  <si>
    <t>535319-0051</t>
  </si>
  <si>
    <t>Espejo platino</t>
  </si>
  <si>
    <t>535319-0149</t>
  </si>
  <si>
    <t>Espejo rose gold</t>
  </si>
  <si>
    <t>0061126-0000</t>
  </si>
  <si>
    <t>Eva 1.8 mm blanco</t>
  </si>
  <si>
    <t>0061126-9999</t>
  </si>
  <si>
    <t>Eva 1.8 mm negro</t>
  </si>
  <si>
    <t>0051126-9999</t>
  </si>
  <si>
    <t>Eva c/friselina 2mm negro</t>
  </si>
  <si>
    <t>0021126-0003</t>
  </si>
  <si>
    <t>Eva c/pique 2mm beige</t>
  </si>
  <si>
    <t>0021126-0000</t>
  </si>
  <si>
    <t>Eva c/pique 2mm blanco</t>
  </si>
  <si>
    <t>0021126-0013</t>
  </si>
  <si>
    <t>Eva c/pique 2mm fucsia</t>
  </si>
  <si>
    <t>0021126-9999</t>
  </si>
  <si>
    <t>Eva c/pique 2mm negro</t>
  </si>
  <si>
    <t>0031126-0003</t>
  </si>
  <si>
    <t>Eva c/pique 3.5mm beige</t>
  </si>
  <si>
    <t>0031126-0000</t>
  </si>
  <si>
    <t>Eva c/pique 3.5mm blanco</t>
  </si>
  <si>
    <t>0031126-9999</t>
  </si>
  <si>
    <t>Eva c/pique 3.5mm negro</t>
  </si>
  <si>
    <t>00362024-9999</t>
  </si>
  <si>
    <t>Eva c/towel 2.3mm negro</t>
  </si>
  <si>
    <t>5100923-9999</t>
  </si>
  <si>
    <t>TOKIO EVA PIQUE 3.3mm</t>
  </si>
  <si>
    <t>500923-0262</t>
  </si>
  <si>
    <t>Faja 08(P) negro/negro</t>
  </si>
  <si>
    <t>500923-0168</t>
  </si>
  <si>
    <t>Faja 08(P) negro/plata</t>
  </si>
  <si>
    <t>502923-9999</t>
  </si>
  <si>
    <t>Faja 10(P) negro</t>
  </si>
  <si>
    <t>502923-0297</t>
  </si>
  <si>
    <t>Faja 10(P) suela</t>
  </si>
  <si>
    <t>504923-9999</t>
  </si>
  <si>
    <t>Faja 11(P) negro</t>
  </si>
  <si>
    <t>504923-0030</t>
  </si>
  <si>
    <t>Faja 11(P) plata</t>
  </si>
  <si>
    <t>505923-9999</t>
  </si>
  <si>
    <t>Faja 12(P) negro</t>
  </si>
  <si>
    <t>505923-0268</t>
  </si>
  <si>
    <t>Faja 12(P) negro pleno</t>
  </si>
  <si>
    <t>661923-0003-0054</t>
  </si>
  <si>
    <t>Faja 13(P) beige L(9,0)</t>
  </si>
  <si>
    <t>661923-0003-0053</t>
  </si>
  <si>
    <t>Faja 13(P) beige M(7,8)</t>
  </si>
  <si>
    <t>661923-0003-0052</t>
  </si>
  <si>
    <t>Faja 13(P) beige S(5,6)</t>
  </si>
  <si>
    <t>661923-0010-0054</t>
  </si>
  <si>
    <t>Faja 13(P) chocolate L(9,0)</t>
  </si>
  <si>
    <t>661923-0010-0053</t>
  </si>
  <si>
    <t>Faja 13(P) chocolate M(7,8)</t>
  </si>
  <si>
    <t>661923-0010-0052</t>
  </si>
  <si>
    <t>Faja 13(P) chocolate S(5,6)</t>
  </si>
  <si>
    <t>661923-0032-0054</t>
  </si>
  <si>
    <t>Faja 13(P) natural L(9,0)</t>
  </si>
  <si>
    <t>661923-0032-0053</t>
  </si>
  <si>
    <t>Faja 13(P) natural M(7,8)</t>
  </si>
  <si>
    <t>661923-0032-0052</t>
  </si>
  <si>
    <t>Faja 13(P) natural S(5,6)</t>
  </si>
  <si>
    <t>661923-9999-0054</t>
  </si>
  <si>
    <t>Faja 13(P) negro L(9,0)</t>
  </si>
  <si>
    <t>661923-9999-0053</t>
  </si>
  <si>
    <t>Faja 13(P) negro M(7,8)</t>
  </si>
  <si>
    <t>661923-9999-0052</t>
  </si>
  <si>
    <t>Faja 13(P) negro S(5,6)</t>
  </si>
  <si>
    <t>508923-0000</t>
  </si>
  <si>
    <t>Faja 14(P) blanco</t>
  </si>
  <si>
    <t>508923-9999</t>
  </si>
  <si>
    <t>Faja 14(P) negro</t>
  </si>
  <si>
    <t>662923-9999-0051</t>
  </si>
  <si>
    <t>Faja 22(P) negro L(8,9,0)</t>
  </si>
  <si>
    <t>5110923-9999</t>
  </si>
  <si>
    <t>NAPA EVA PIQUE 3.3mm</t>
  </si>
  <si>
    <t>662923-9999-0050</t>
  </si>
  <si>
    <t>Faja 22(P) negro S(5,6,7)</t>
  </si>
  <si>
    <t>664923-0010-0051</t>
  </si>
  <si>
    <t>Faja 23(P) chocolate L(8,9,0)</t>
  </si>
  <si>
    <t>664923-0010-0050</t>
  </si>
  <si>
    <t>Faja 23(P) chocolate S(5,6,7)</t>
  </si>
  <si>
    <t>664923-9999-0051</t>
  </si>
  <si>
    <t>Faja 23(P) negro L(8,9,0)</t>
  </si>
  <si>
    <t>664923-9999-0050</t>
  </si>
  <si>
    <t>Faja 23(P) negro S(5,6,7)</t>
  </si>
  <si>
    <t>664923-0297-0051</t>
  </si>
  <si>
    <t>Faja 23(P) suela L(8,9,0)</t>
  </si>
  <si>
    <t>664923-0297-0050</t>
  </si>
  <si>
    <t>Faja 23(P) suela S(5,6,7)</t>
  </si>
  <si>
    <t>663923-0262-0051</t>
  </si>
  <si>
    <t>Faja 24(P) negro/negro L(8,9,0)</t>
  </si>
  <si>
    <t>663923-0262-0050</t>
  </si>
  <si>
    <t>Faja 24(P) negro/negro S(5,6,7)</t>
  </si>
  <si>
    <t>663923-0264-0051</t>
  </si>
  <si>
    <t>Faja 24(P) negro/peltre L(8,9,0)</t>
  </si>
  <si>
    <t>663923-0264-0050</t>
  </si>
  <si>
    <t>Faja 24(P) negro/peltre S(5,6,7)</t>
  </si>
  <si>
    <t>516923-9999</t>
  </si>
  <si>
    <t>Faja 26(P) negro</t>
  </si>
  <si>
    <t>516923-0297</t>
  </si>
  <si>
    <t>Faja 26(P) suela</t>
  </si>
  <si>
    <t>520923-0003</t>
  </si>
  <si>
    <t>Faja 31(P) beige</t>
  </si>
  <si>
    <t>520923-9999</t>
  </si>
  <si>
    <t>Faja 31(P) negro</t>
  </si>
  <si>
    <t>520923-0297</t>
  </si>
  <si>
    <t>Faja 31(P) suela</t>
  </si>
  <si>
    <t>665923-0010-0051</t>
  </si>
  <si>
    <t>Faja 33(P) chocolate L(8,9,0)</t>
  </si>
  <si>
    <t>665923-0010-0050</t>
  </si>
  <si>
    <t>Faja 33(P) chocolate S(5,6,7)</t>
  </si>
  <si>
    <t>665923-0198-0051</t>
  </si>
  <si>
    <t>Faja 33(P) manteca L(8,9,0)</t>
  </si>
  <si>
    <t>665923-0198-0050</t>
  </si>
  <si>
    <t>Faja 33(P) manteca S(5,6,7)</t>
  </si>
  <si>
    <t>665923-9999-0051</t>
  </si>
  <si>
    <t>Faja 33(P) negro L(8,9,0)</t>
  </si>
  <si>
    <t>665923-9999-0050</t>
  </si>
  <si>
    <t>Faja 33(P) negro S(5,6,7)</t>
  </si>
  <si>
    <t>665923-0297-0051</t>
  </si>
  <si>
    <t>Faja 33(P) suela L(8,9,0)</t>
  </si>
  <si>
    <t>665923-0297-0050</t>
  </si>
  <si>
    <t>Faja 33(P) suela S(5,6,7)</t>
  </si>
  <si>
    <t>521923-9999</t>
  </si>
  <si>
    <t>Faja 35(P) negro</t>
  </si>
  <si>
    <t>666923-0003-0051</t>
  </si>
  <si>
    <t>Faja 36(P) beige L(8,9,0)</t>
  </si>
  <si>
    <t>666923-0003-0050</t>
  </si>
  <si>
    <t>Faja 36(P) beige S(5,6,7)</t>
  </si>
  <si>
    <t>666923-9999-0051</t>
  </si>
  <si>
    <t>Faja 36(P) negro L(8,9,0)</t>
  </si>
  <si>
    <t>666923-9999-0050</t>
  </si>
  <si>
    <t>Faja 36(P) negro S(5,6,7)</t>
  </si>
  <si>
    <t>666923-0030-0051</t>
  </si>
  <si>
    <t>Faja 36(P) plata L(8,9,0)</t>
  </si>
  <si>
    <t>666923-0030-0050</t>
  </si>
  <si>
    <t>Faja 36(P) plata S(5,6,7)</t>
  </si>
  <si>
    <t>667923-0003-0054</t>
  </si>
  <si>
    <t>Faja 42(P) beige L(9,0)</t>
  </si>
  <si>
    <t>667923-0003-0053</t>
  </si>
  <si>
    <t>Faja 42(P) beige M(7,8)</t>
  </si>
  <si>
    <t>667923-0003-0052</t>
  </si>
  <si>
    <t>Faja 42(P) beige S(5,6)</t>
  </si>
  <si>
    <t>667923-0010-0054</t>
  </si>
  <si>
    <t>Faja 42(P) chocolate L(9,0)</t>
  </si>
  <si>
    <t>667923-0010-0053</t>
  </si>
  <si>
    <t>Faja 42(P) chocolate M(7,8)</t>
  </si>
  <si>
    <t>667923-0010-0052</t>
  </si>
  <si>
    <t>Faja 42(P) chocolate S(5,6)</t>
  </si>
  <si>
    <t>667923-0032-0054</t>
  </si>
  <si>
    <t>Faja 42(P) natural L(9,0)</t>
  </si>
  <si>
    <t>667923-0032-0053</t>
  </si>
  <si>
    <t>Faja 42(P) natural M(7,8)</t>
  </si>
  <si>
    <t>667923-0032-0052</t>
  </si>
  <si>
    <t>Faja 42(P) natural S(5,6)</t>
  </si>
  <si>
    <t>667923-9999-0054</t>
  </si>
  <si>
    <t>Faja 42(P) negro L(9,0)</t>
  </si>
  <si>
    <t>667923-9999-0053</t>
  </si>
  <si>
    <t>Faja 42(P) negro M(7,8)</t>
  </si>
  <si>
    <t>667923-9999-0052</t>
  </si>
  <si>
    <t>Faja 42(P) negro S(5,6)</t>
  </si>
  <si>
    <t>501923-0262</t>
  </si>
  <si>
    <t>Faja c/pulsera 09(P) negro/negro</t>
  </si>
  <si>
    <t>501923-0267</t>
  </si>
  <si>
    <t>Faja c/pulsera 09(P) suela/rose gold</t>
  </si>
  <si>
    <t>501923-0266</t>
  </si>
  <si>
    <t>Faja c/pulsera 09(P) vison/plata</t>
  </si>
  <si>
    <t>1035523-0011</t>
  </si>
  <si>
    <t>Film C materia prima P 11</t>
  </si>
  <si>
    <t>1035523-0045</t>
  </si>
  <si>
    <t>Film C materia prima P boa 700</t>
  </si>
  <si>
    <t>1035523-0046</t>
  </si>
  <si>
    <t>Film C materia prima P boa laser 2100</t>
  </si>
  <si>
    <t>1035523-0048</t>
  </si>
  <si>
    <t>Film C materia prima P cherry 1000</t>
  </si>
  <si>
    <t>1035523-0049</t>
  </si>
  <si>
    <t>Film C materia prima P croco 400</t>
  </si>
  <si>
    <t>1035523-0050</t>
  </si>
  <si>
    <t>Film C materia prima P drop 1000</t>
  </si>
  <si>
    <t>B</t>
  </si>
  <si>
    <t>1035523-0060</t>
  </si>
  <si>
    <t>Film C materia prima P lama 1000</t>
  </si>
  <si>
    <t>1035523-0052</t>
  </si>
  <si>
    <t>Film C materia prima P led 2100</t>
  </si>
  <si>
    <t>1035523-0053</t>
  </si>
  <si>
    <t>Film C materia prima P lince met 1000</t>
  </si>
  <si>
    <t>1035523-0057</t>
  </si>
  <si>
    <t>Film C materia prima P piton met 1000</t>
  </si>
  <si>
    <t>1035523-0058</t>
  </si>
  <si>
    <t>Film C materia prima P serpico 1000</t>
  </si>
  <si>
    <t>1035523-0059</t>
  </si>
  <si>
    <t>Film C materia prima P skrin 11</t>
  </si>
  <si>
    <t>1006482-2222</t>
  </si>
  <si>
    <t>Film de pegado 20micras .</t>
  </si>
  <si>
    <t>1007482-2222</t>
  </si>
  <si>
    <t>Film de pegado 25micras .</t>
  </si>
  <si>
    <t>5100923-0000</t>
  </si>
  <si>
    <t>1008482-2222</t>
  </si>
  <si>
    <t>Film de pegado 50micras .</t>
  </si>
  <si>
    <t>1034523-0003</t>
  </si>
  <si>
    <t>Film materia prima P beige</t>
  </si>
  <si>
    <t>1034523-0004</t>
  </si>
  <si>
    <t>Film materia prima P caviar</t>
  </si>
  <si>
    <t>1034523-0009</t>
  </si>
  <si>
    <t>Film materia prima P celeste</t>
  </si>
  <si>
    <t>1034523-0005</t>
  </si>
  <si>
    <t>Film materia prima P crack</t>
  </si>
  <si>
    <t>1034523-0006</t>
  </si>
  <si>
    <t>Film materia prima P dot</t>
  </si>
  <si>
    <t>1034523-0013</t>
  </si>
  <si>
    <t>Film materia prima P fucsia</t>
  </si>
  <si>
    <t>1034523-0014</t>
  </si>
  <si>
    <t>Film materia prima P lila</t>
  </si>
  <si>
    <t>1034523-0010</t>
  </si>
  <si>
    <t>Film materia prima P lizard</t>
  </si>
  <si>
    <t>1034523-0012</t>
  </si>
  <si>
    <t>Film materia prima P mini caviar</t>
  </si>
  <si>
    <t>1034523-0015</t>
  </si>
  <si>
    <t>Film materia prima P oslo</t>
  </si>
  <si>
    <t>1034523-0016</t>
  </si>
  <si>
    <t>Film materia prima P oslo B</t>
  </si>
  <si>
    <t>1039448-2222</t>
  </si>
  <si>
    <t>Film pegado lycra P .</t>
  </si>
  <si>
    <t>1007334-2222</t>
  </si>
  <si>
    <t>Film pegado P .</t>
  </si>
  <si>
    <t>584923-0274</t>
  </si>
  <si>
    <t>Flotter 0.8 mm chico negro</t>
  </si>
  <si>
    <t>584923-0273</t>
  </si>
  <si>
    <t>Flotter 0.8 mm mediano negro</t>
  </si>
  <si>
    <t>584923-0275</t>
  </si>
  <si>
    <t>Flotter 0.8 mm mediano oliva</t>
  </si>
  <si>
    <t>584923-0276</t>
  </si>
  <si>
    <t>Flotter 0.8 mm mediano suela</t>
  </si>
  <si>
    <t>132127-0000</t>
  </si>
  <si>
    <t>Flotter blanco</t>
  </si>
  <si>
    <t>132127-0079</t>
  </si>
  <si>
    <t>Flotter caramelo</t>
  </si>
  <si>
    <t>132127-0188</t>
  </si>
  <si>
    <t>Flotter chicle</t>
  </si>
  <si>
    <t>130923-0000</t>
  </si>
  <si>
    <t>Flotter chico na blanco</t>
  </si>
  <si>
    <t>130923-9999</t>
  </si>
  <si>
    <t>Flotter chico na negro</t>
  </si>
  <si>
    <t>132127-0010</t>
  </si>
  <si>
    <t>Flotter chocolate</t>
  </si>
  <si>
    <t>132127-0008</t>
  </si>
  <si>
    <t>Flotter coral</t>
  </si>
  <si>
    <t>132127-0013</t>
  </si>
  <si>
    <t>Flotter fucsia</t>
  </si>
  <si>
    <t>5110923-0000</t>
  </si>
  <si>
    <t xml:space="preserve">NAPA EVA PIQUE 3.3mm </t>
  </si>
  <si>
    <t>132744-0079</t>
  </si>
  <si>
    <t>Flotter grande caramelo</t>
  </si>
  <si>
    <t>132744-0014</t>
  </si>
  <si>
    <t>Flotter grande lila</t>
  </si>
  <si>
    <t>132744-9999</t>
  </si>
  <si>
    <t>Flotter grande negro</t>
  </si>
  <si>
    <t>1332024-0190</t>
  </si>
  <si>
    <t>Flotter grande rojo*</t>
  </si>
  <si>
    <t>132744-0187</t>
  </si>
  <si>
    <t>Flotter grande rosa d/t</t>
  </si>
  <si>
    <t>132127-0056</t>
  </si>
  <si>
    <t>Flotter habano</t>
  </si>
  <si>
    <t>134744-0000</t>
  </si>
  <si>
    <t>Flotter le blanco</t>
  </si>
  <si>
    <t>134744-0198</t>
  </si>
  <si>
    <t>Flotter le manteca</t>
  </si>
  <si>
    <t>134744-9999</t>
  </si>
  <si>
    <t>Flotter le negro</t>
  </si>
  <si>
    <t>134744-0159</t>
  </si>
  <si>
    <t>Flotter le nude</t>
  </si>
  <si>
    <t>134744-0212</t>
  </si>
  <si>
    <t>Flotter le nude d/t 2</t>
  </si>
  <si>
    <t>134744-0022</t>
  </si>
  <si>
    <t>Flotter le rosa</t>
  </si>
  <si>
    <t>134744-0597</t>
  </si>
  <si>
    <t>Flotter le suela d/t</t>
  </si>
  <si>
    <t>132127-0204</t>
  </si>
  <si>
    <t>Flotter lima</t>
  </si>
  <si>
    <t>132127-0198</t>
  </si>
  <si>
    <t>Flotter manteca</t>
  </si>
  <si>
    <t>133744-0030</t>
  </si>
  <si>
    <t>Flotter met chico plata</t>
  </si>
  <si>
    <t>133744-0051</t>
  </si>
  <si>
    <t>Flotter met chico platino</t>
  </si>
  <si>
    <t>133744-0149</t>
  </si>
  <si>
    <t>Flotter met chico rose gold</t>
  </si>
  <si>
    <t>133923-0039</t>
  </si>
  <si>
    <t>Flotter met peltre</t>
  </si>
  <si>
    <t>133923-0165</t>
  </si>
  <si>
    <t>Flotter met perla</t>
  </si>
  <si>
    <t>133923-0030</t>
  </si>
  <si>
    <t>Flotter met plata</t>
  </si>
  <si>
    <t>133923-0051</t>
  </si>
  <si>
    <t>Flotter met platino</t>
  </si>
  <si>
    <t>133923-0149</t>
  </si>
  <si>
    <t>Flotter met rose gold</t>
  </si>
  <si>
    <t>132127-0019</t>
  </si>
  <si>
    <t>Flotter naranja</t>
  </si>
  <si>
    <t>132127-9999</t>
  </si>
  <si>
    <t>Flotter negro</t>
  </si>
  <si>
    <t>1322024-0302</t>
  </si>
  <si>
    <t>Flotter negro*</t>
  </si>
  <si>
    <t>132127-0200</t>
  </si>
  <si>
    <t>Flotter nude d/t</t>
  </si>
  <si>
    <t>132127-0021</t>
  </si>
  <si>
    <t>Flotter rojo</t>
  </si>
  <si>
    <t>132127-0597</t>
  </si>
  <si>
    <t>Flotter suela d/t</t>
  </si>
  <si>
    <t>132127-0497</t>
  </si>
  <si>
    <t>Flotter suela oscuro</t>
  </si>
  <si>
    <t>CALI EVA pique 2.4mm</t>
  </si>
  <si>
    <t>132127-0250</t>
  </si>
  <si>
    <t>Flotter tomate</t>
  </si>
  <si>
    <t>132127-0193</t>
  </si>
  <si>
    <t>Flotter verde benetton</t>
  </si>
  <si>
    <t>132127-0252</t>
  </si>
  <si>
    <t>Flotter vison d/t</t>
  </si>
  <si>
    <t>492523-0123</t>
  </si>
  <si>
    <t>Folia P flor multicolor</t>
  </si>
  <si>
    <t>492523-0128</t>
  </si>
  <si>
    <t>Folia P mini line celes</t>
  </si>
  <si>
    <t>492523-0127</t>
  </si>
  <si>
    <t>Folia P mini line naran</t>
  </si>
  <si>
    <t>492523-0125</t>
  </si>
  <si>
    <t>Folia P plumas</t>
  </si>
  <si>
    <t>492523-0104</t>
  </si>
  <si>
    <t>Folia P sandokan</t>
  </si>
  <si>
    <t>20741217-0003</t>
  </si>
  <si>
    <t>Friselina 120g beige</t>
  </si>
  <si>
    <t>20741217-0000</t>
  </si>
  <si>
    <t>Friselina 120g blanco</t>
  </si>
  <si>
    <t>20741217-9999</t>
  </si>
  <si>
    <t>Friselina 120g negro</t>
  </si>
  <si>
    <t>20761217-9999</t>
  </si>
  <si>
    <t>Friselina 30g negro</t>
  </si>
  <si>
    <t>7606923-9999</t>
  </si>
  <si>
    <t>Funda Challenger negro</t>
  </si>
  <si>
    <t>7606923-0272</t>
  </si>
  <si>
    <t>Funda Challenger negro/rojo</t>
  </si>
  <si>
    <t>6601923-0003</t>
  </si>
  <si>
    <t>Funda Confort beige</t>
  </si>
  <si>
    <t>6601923-9999</t>
  </si>
  <si>
    <t>Funda Confort negro</t>
  </si>
  <si>
    <t>6603923-9999</t>
  </si>
  <si>
    <t>Funda Luxury negro</t>
  </si>
  <si>
    <t>8032923-9999</t>
  </si>
  <si>
    <t>Funda Racing negro</t>
  </si>
  <si>
    <t>6605923-9999</t>
  </si>
  <si>
    <t>Funda Raptor negro</t>
  </si>
  <si>
    <t>6605923-0272</t>
  </si>
  <si>
    <t>Funda Raptor negro/rojo</t>
  </si>
  <si>
    <t>2872025-0000</t>
  </si>
  <si>
    <t>Gastado blanco</t>
  </si>
  <si>
    <t>232319-0000</t>
  </si>
  <si>
    <t>Glitter fino blanco</t>
  </si>
  <si>
    <t>232319-9999</t>
  </si>
  <si>
    <t>Glitter fino negro</t>
  </si>
  <si>
    <t>232319-0030</t>
  </si>
  <si>
    <t>Glitter fino plata</t>
  </si>
  <si>
    <t>232319-0051</t>
  </si>
  <si>
    <t>Glitter fino platino</t>
  </si>
  <si>
    <t>232319-0022</t>
  </si>
  <si>
    <t>Glitter fino rosa</t>
  </si>
  <si>
    <t>232319-0149</t>
  </si>
  <si>
    <t>Glitter fino rose gold</t>
  </si>
  <si>
    <t>177319-9999</t>
  </si>
  <si>
    <t>Glitter grueso negro</t>
  </si>
  <si>
    <t>177319-0039</t>
  </si>
  <si>
    <t>Glitter grueso peltre</t>
  </si>
  <si>
    <t>177319-0030</t>
  </si>
  <si>
    <t>Glitter grueso plata</t>
  </si>
  <si>
    <t>177319-0051</t>
  </si>
  <si>
    <t>Glitter grueso platino</t>
  </si>
  <si>
    <t>177319-0149</t>
  </si>
  <si>
    <t>Glitter grueso rose gold</t>
  </si>
  <si>
    <t>1771018-0000</t>
  </si>
  <si>
    <t>Glitter grueso tornasol blanco</t>
  </si>
  <si>
    <t>1771018-0022</t>
  </si>
  <si>
    <t>Glitter grueso tornasol rosa</t>
  </si>
  <si>
    <t>CALI  EVA pique 2.4mm</t>
  </si>
  <si>
    <t>015923-0000</t>
  </si>
  <si>
    <t>Glow blanco</t>
  </si>
  <si>
    <t>015923-9999</t>
  </si>
  <si>
    <t>Glow negro</t>
  </si>
  <si>
    <t>015923-0030</t>
  </si>
  <si>
    <t>Glow plata</t>
  </si>
  <si>
    <t>015923-0022</t>
  </si>
  <si>
    <t>Glow rosa</t>
  </si>
  <si>
    <t>015923-0149</t>
  </si>
  <si>
    <t>Glow rose gold</t>
  </si>
  <si>
    <t>589923-9999</t>
  </si>
  <si>
    <t>Gucci negro</t>
  </si>
  <si>
    <t>041402-0123</t>
  </si>
  <si>
    <t>Hebilla HP/10 niquel</t>
  </si>
  <si>
    <t>051402-0123</t>
  </si>
  <si>
    <t>Hebilla HP/10 PIRA niquel</t>
  </si>
  <si>
    <t>211402-0123</t>
  </si>
  <si>
    <t>Hebilla HP/12 PIRA niquel</t>
  </si>
  <si>
    <t>071402-0123</t>
  </si>
  <si>
    <t>Hebilla HP/20 BIRKEN niquel</t>
  </si>
  <si>
    <t>081402-0123</t>
  </si>
  <si>
    <t>Hebilla HP/25 BIRKEN niquel</t>
  </si>
  <si>
    <t>061402-0123</t>
  </si>
  <si>
    <t>Hebilla HP/25 PIRA niquel</t>
  </si>
  <si>
    <t>091402-0123</t>
  </si>
  <si>
    <t>Hebilla HP/30 BIRKEN niquel</t>
  </si>
  <si>
    <t>101402-0123</t>
  </si>
  <si>
    <t>Hebilla HP/30 CUADRADA niquel</t>
  </si>
  <si>
    <t>111402-0123</t>
  </si>
  <si>
    <t>Hebilla P/20 niquel</t>
  </si>
  <si>
    <t>121402-0123</t>
  </si>
  <si>
    <t>Hebilla TEJANA HP/20 niquel</t>
  </si>
  <si>
    <t>518923-9999</t>
  </si>
  <si>
    <t>Ibiza negro</t>
  </si>
  <si>
    <t>0342022-0029</t>
  </si>
  <si>
    <t>Ibiza oro</t>
  </si>
  <si>
    <t>518923-0030</t>
  </si>
  <si>
    <t>Ibiza plata</t>
  </si>
  <si>
    <t>518923-0149</t>
  </si>
  <si>
    <t>Ibiza rose gold</t>
  </si>
  <si>
    <t>513319-9999</t>
  </si>
  <si>
    <t>Iguana negro</t>
  </si>
  <si>
    <t>519319-0003</t>
  </si>
  <si>
    <t>Imola beige</t>
  </si>
  <si>
    <t>571319-0081</t>
  </si>
  <si>
    <t>Imola Cuero tiza</t>
  </si>
  <si>
    <t>583923-0003</t>
  </si>
  <si>
    <t>Jaguar beige</t>
  </si>
  <si>
    <t>0250923-2222</t>
  </si>
  <si>
    <t>Jean -</t>
  </si>
  <si>
    <t>2121249-0003</t>
  </si>
  <si>
    <t>Jersey BR beige</t>
  </si>
  <si>
    <t>2121249-0000</t>
  </si>
  <si>
    <t>Jersey BR blanco</t>
  </si>
  <si>
    <t>2121249-0010</t>
  </si>
  <si>
    <t>BOGOTA eva pique 2.4mm</t>
  </si>
  <si>
    <t>Jersey BR chocolate</t>
  </si>
  <si>
    <t>SUELA</t>
  </si>
  <si>
    <t>2121249-9999</t>
  </si>
  <si>
    <t>Jersey BR negro</t>
  </si>
  <si>
    <t>2126000-0003</t>
  </si>
  <si>
    <t>Jersey c/respaldo beige</t>
  </si>
  <si>
    <t>2126000-0000</t>
  </si>
  <si>
    <t>Jersey c/respaldo blanco</t>
  </si>
  <si>
    <t>2126000-0299</t>
  </si>
  <si>
    <t>Jersey c/respaldo chocolate</t>
  </si>
  <si>
    <t>2126000-0189</t>
  </si>
  <si>
    <t>Jersey c/respaldo gris plata</t>
  </si>
  <si>
    <t>2126000-9999</t>
  </si>
  <si>
    <t>Jersey c/respaldo negro</t>
  </si>
  <si>
    <t>2126000-0159</t>
  </si>
  <si>
    <t>Jersey c/respaldo nude</t>
  </si>
  <si>
    <t>037923-0002</t>
  </si>
  <si>
    <t>Kansas azul</t>
  </si>
  <si>
    <t>037923-0003</t>
  </si>
  <si>
    <t>Kansas beige</t>
  </si>
  <si>
    <t>037923-0007</t>
  </si>
  <si>
    <t>Kansas camel</t>
  </si>
  <si>
    <t>037923-0079</t>
  </si>
  <si>
    <t>Kansas caramelo</t>
  </si>
  <si>
    <t>037923-0010</t>
  </si>
  <si>
    <t>Kansas chocolate</t>
  </si>
  <si>
    <t>037923-0045</t>
  </si>
  <si>
    <t>Kansas gris</t>
  </si>
  <si>
    <t>037923-0056</t>
  </si>
  <si>
    <t>Kansas habano</t>
  </si>
  <si>
    <t>037923-0044</t>
  </si>
  <si>
    <t>Kansas moca</t>
  </si>
  <si>
    <t>037923-9999</t>
  </si>
  <si>
    <t>Kansas negro</t>
  </si>
  <si>
    <t>037923-0297</t>
  </si>
  <si>
    <t>Kansas suela</t>
  </si>
  <si>
    <t>037923-0055</t>
  </si>
  <si>
    <t>Kansas topo</t>
  </si>
  <si>
    <t>0442021-0000</t>
  </si>
  <si>
    <t>Ketten blanco</t>
  </si>
  <si>
    <t>0442021-0004</t>
  </si>
  <si>
    <t>Ketten bordo</t>
  </si>
  <si>
    <t>0442021-0009</t>
  </si>
  <si>
    <t>Ketten celeste</t>
  </si>
  <si>
    <t>0442021-0010</t>
  </si>
  <si>
    <t>Ketten chocolate</t>
  </si>
  <si>
    <t>0442021-0045</t>
  </si>
  <si>
    <t>Ketten gris</t>
  </si>
  <si>
    <t>678923-0003-0036</t>
  </si>
  <si>
    <t>Kit birk 3 tiras(P) beige 36</t>
  </si>
  <si>
    <t>CALI EVA pique  2.4mm</t>
  </si>
  <si>
    <t>678923-0003-0037</t>
  </si>
  <si>
    <t>Kit birk 3 tiras(P) beige 37</t>
  </si>
  <si>
    <t>678923-0003-0038</t>
  </si>
  <si>
    <t>Kit birk 3 tiras(P) beige 38</t>
  </si>
  <si>
    <t>678923-0003-0039</t>
  </si>
  <si>
    <t>Kit birk 3 tiras(P) beige 39</t>
  </si>
  <si>
    <t>678923-0003-0040</t>
  </si>
  <si>
    <t>Kit birk 3 tiras(P) beige 40</t>
  </si>
  <si>
    <t>678923-0010-0036</t>
  </si>
  <si>
    <t>Kit birk 3 tiras(P) chocolate 36</t>
  </si>
  <si>
    <t>678923-0010-0037</t>
  </si>
  <si>
    <t>Kit birk 3 tiras(P) chocolate 37</t>
  </si>
  <si>
    <t>678923-0010-0038</t>
  </si>
  <si>
    <t>Kit birk 3 tiras(P) chocolate 38</t>
  </si>
  <si>
    <t>678923-0010-0039</t>
  </si>
  <si>
    <t>Kit birk 3 tiras(P) chocolate 39</t>
  </si>
  <si>
    <t>678923-0010-0040</t>
  </si>
  <si>
    <t>Kit birk 3 tiras(P) chocolate 40</t>
  </si>
  <si>
    <t>678923-9999-0036</t>
  </si>
  <si>
    <t>Kit birk 3 tiras(P) negro 36</t>
  </si>
  <si>
    <t>678923-9999-0037</t>
  </si>
  <si>
    <t>Kit birk 3 tiras(P) negro 37</t>
  </si>
  <si>
    <t>678923-9999-0038</t>
  </si>
  <si>
    <t>Kit birk 3 tiras(P) negro 38</t>
  </si>
  <si>
    <t>678923-9999-0039</t>
  </si>
  <si>
    <t>Kit birk 3 tiras(P) negro 39</t>
  </si>
  <si>
    <t>678923-9999-0040</t>
  </si>
  <si>
    <t>Kit birk 3 tiras(P) negro 40</t>
  </si>
  <si>
    <t>677923-0003-0036</t>
  </si>
  <si>
    <t>Kit birk clasica(P) beige 36</t>
  </si>
  <si>
    <t>677923-0003-0037</t>
  </si>
  <si>
    <t>Kit birk clasica(P) beige 37</t>
  </si>
  <si>
    <t>677923-0003-0038</t>
  </si>
  <si>
    <t>Kit birk clasica(P) beige 38</t>
  </si>
  <si>
    <t>677923-0003-0039</t>
  </si>
  <si>
    <t>Kit birk clasica(P) beige 39</t>
  </si>
  <si>
    <t>677923-0003-0040</t>
  </si>
  <si>
    <t>Kit birk clasica(P) beige 40</t>
  </si>
  <si>
    <t>677923-0010-0036</t>
  </si>
  <si>
    <t>Kit birk clasica(P) chocolate 36</t>
  </si>
  <si>
    <t>677923-0010-0037</t>
  </si>
  <si>
    <t>Kit birk clasica(P) chocolate 37</t>
  </si>
  <si>
    <t>677923-0010-0038</t>
  </si>
  <si>
    <t>Kit birk clasica(P) chocolate 38</t>
  </si>
  <si>
    <t>677923-0010-0039</t>
  </si>
  <si>
    <t>Kit birk clasica(P) chocolate 39</t>
  </si>
  <si>
    <t>677923-0010-0040</t>
  </si>
  <si>
    <t>Kit birk clasica(P) chocolate 40</t>
  </si>
  <si>
    <t>677923-9999-0036</t>
  </si>
  <si>
    <t>Kit birk clasica(P) negro 36</t>
  </si>
  <si>
    <t>677923-9999-0037</t>
  </si>
  <si>
    <t>Kit birk clasica(P) negro 37</t>
  </si>
  <si>
    <t>677923-9999-0038</t>
  </si>
  <si>
    <t>Kit birk clasica(P) negro 38</t>
  </si>
  <si>
    <t>5120923-9999</t>
  </si>
  <si>
    <t>NAPA eva pique 2.4mm</t>
  </si>
  <si>
    <t>677923-9999-0039</t>
  </si>
  <si>
    <t>Kit birk clasica(P) negro 39</t>
  </si>
  <si>
    <t>677923-9999-0040</t>
  </si>
  <si>
    <t>Kit birk clasica(P) negro 40</t>
  </si>
  <si>
    <t>677923-0297-0036</t>
  </si>
  <si>
    <t>Kit birk clasica(P) suela 36</t>
  </si>
  <si>
    <t>677923-0297-0037</t>
  </si>
  <si>
    <t>Kit birk clasica(P) suela 37</t>
  </si>
  <si>
    <t>677923-0297-0038</t>
  </si>
  <si>
    <t>Kit birk clasica(P) suela 38</t>
  </si>
  <si>
    <t>677923-0297-0039</t>
  </si>
  <si>
    <t>Kit birk clasica(P) suela 39</t>
  </si>
  <si>
    <t>677923-0297-0040</t>
  </si>
  <si>
    <t>Kit birk clasica(P) suela 40</t>
  </si>
  <si>
    <t>680923-0000-0036</t>
  </si>
  <si>
    <t>Kit birk ojota(P) blanco 36</t>
  </si>
  <si>
    <t>680923-0000-0037</t>
  </si>
  <si>
    <t>Kit birk ojota(P) blanco 37</t>
  </si>
  <si>
    <t>680923-0000-0038</t>
  </si>
  <si>
    <t>Kit birk ojota(P) blanco 38</t>
  </si>
  <si>
    <t>680923-0000-0039</t>
  </si>
  <si>
    <t>Kit birk ojota(P) blanco 39</t>
  </si>
  <si>
    <t>680923-0000-0040</t>
  </si>
  <si>
    <t>Kit birk ojota(P) blanco 40</t>
  </si>
  <si>
    <t>680923-9999-0036</t>
  </si>
  <si>
    <t>Kit birk ojota(P) negro 36</t>
  </si>
  <si>
    <t>680923-9999-0037</t>
  </si>
  <si>
    <t>Kit birk ojota(P) negro 37</t>
  </si>
  <si>
    <t>680923-9999-0038</t>
  </si>
  <si>
    <t>Kit birk ojota(P) negro 38</t>
  </si>
  <si>
    <t>680923-9999-0039</t>
  </si>
  <si>
    <t>Kit birk ojota(P) negro 39</t>
  </si>
  <si>
    <t>680923-9999-0040</t>
  </si>
  <si>
    <t>Kit birk ojota(P) negro 40</t>
  </si>
  <si>
    <t>679923-0010-0036</t>
  </si>
  <si>
    <t>Kit birk perla(P) chocolate 36</t>
  </si>
  <si>
    <t>679923-0010-0037</t>
  </si>
  <si>
    <t>Kit birk perla(P) chocolate 37</t>
  </si>
  <si>
    <t>679923-0010-0038</t>
  </si>
  <si>
    <t>Kit birk perla(P) chocolate 38</t>
  </si>
  <si>
    <t>679923-0010-0039</t>
  </si>
  <si>
    <t>Kit birk perla(P) chocolate 39</t>
  </si>
  <si>
    <t>679923-0010-0040</t>
  </si>
  <si>
    <t>Kit birk perla(P) chocolate 40</t>
  </si>
  <si>
    <t>BOGOTA ev microf. 2.4mm</t>
  </si>
  <si>
    <t>679923-9999-0036</t>
  </si>
  <si>
    <t>Kit birk perla(P) negro 36</t>
  </si>
  <si>
    <t>679923-9999-0037</t>
  </si>
  <si>
    <t>Kit birk perla(P) negro 37</t>
  </si>
  <si>
    <t>679923-9999-0038</t>
  </si>
  <si>
    <t>Kit birk perla(P) negro 38</t>
  </si>
  <si>
    <t>679923-9999-0039</t>
  </si>
  <si>
    <t>Kit birk perla(P) negro 39</t>
  </si>
  <si>
    <t>679923-9999-0040</t>
  </si>
  <si>
    <t>Kit birk perla(P) negro 40</t>
  </si>
  <si>
    <t>681923-0000-0036</t>
  </si>
  <si>
    <t>Kit sandalia playa(P) blanco 36</t>
  </si>
  <si>
    <t>681923-0000-0037</t>
  </si>
  <si>
    <t>Kit sandalia playa(P) blanco 37</t>
  </si>
  <si>
    <t>681923-0000-0038</t>
  </si>
  <si>
    <t>Kit sandalia playa(P) blanco 38</t>
  </si>
  <si>
    <t>681923-0000-0039</t>
  </si>
  <si>
    <t>Kit sandalia playa(P) blanco 39</t>
  </si>
  <si>
    <t>681923-0000-0040</t>
  </si>
  <si>
    <t>Kit sandalia playa(P) blanco 40</t>
  </si>
  <si>
    <t>681923-9999-0036</t>
  </si>
  <si>
    <t>Kit sandalia playa(P) negro 36</t>
  </si>
  <si>
    <t>681923-9999-0037</t>
  </si>
  <si>
    <t>Kit sandalia playa(P) negro 37</t>
  </si>
  <si>
    <t>681923-9999-0038</t>
  </si>
  <si>
    <t>Kit sandalia playa(P) negro 38</t>
  </si>
  <si>
    <t>681923-9999-0039</t>
  </si>
  <si>
    <t>Kit sandalia playa(P) negro 39</t>
  </si>
  <si>
    <t>681923-9999-0040</t>
  </si>
  <si>
    <t>Kit sandalia playa(P) negro 40</t>
  </si>
  <si>
    <t>681923-0030-0036</t>
  </si>
  <si>
    <t>Kit sandalia playa(P) plata 36</t>
  </si>
  <si>
    <t>681923-0030-0037</t>
  </si>
  <si>
    <t>Kit sandalia playa(P) plata 37</t>
  </si>
  <si>
    <t>681923-0030-0038</t>
  </si>
  <si>
    <t>Kit sandalia playa(P) plata 38</t>
  </si>
  <si>
    <t>681923-0030-0039</t>
  </si>
  <si>
    <t>Kit sandalia playa(P) plata 39</t>
  </si>
  <si>
    <t>CALI eva microf.  2.4mm</t>
  </si>
  <si>
    <t>681923-0030-0040</t>
  </si>
  <si>
    <t>Kit sandalia playa(P) plata 40</t>
  </si>
  <si>
    <t>1009523-0101</t>
  </si>
  <si>
    <t>Lamina metal P 101</t>
  </si>
  <si>
    <t>1009523-1433</t>
  </si>
  <si>
    <t>Lamina metal P 1433</t>
  </si>
  <si>
    <t>1009523-0430</t>
  </si>
  <si>
    <t>Lamina metal P 430</t>
  </si>
  <si>
    <t>1009523-0465</t>
  </si>
  <si>
    <t>Lamina metal P 465</t>
  </si>
  <si>
    <t>C</t>
  </si>
  <si>
    <t>1009523-0500</t>
  </si>
  <si>
    <t>Lamina metal P 500</t>
  </si>
  <si>
    <t>1009523-0580</t>
  </si>
  <si>
    <t>Lamina metal P 580</t>
  </si>
  <si>
    <t>1009523-0790</t>
  </si>
  <si>
    <t>Lamina metal P 790</t>
  </si>
  <si>
    <t>1009523-0800</t>
  </si>
  <si>
    <t>Lamina metal P 800</t>
  </si>
  <si>
    <t>1009523-0865</t>
  </si>
  <si>
    <t>Lamina metal P 865</t>
  </si>
  <si>
    <t>1012523-1000</t>
  </si>
  <si>
    <t>Lamina P 1000</t>
  </si>
  <si>
    <t>1012523-1111</t>
  </si>
  <si>
    <t>Lamina P 1111</t>
  </si>
  <si>
    <t>1012523-1400</t>
  </si>
  <si>
    <t>Lamina P 1400</t>
  </si>
  <si>
    <t>1012523-2100</t>
  </si>
  <si>
    <t>Lamina P 2100</t>
  </si>
  <si>
    <t>00032923-2222</t>
  </si>
  <si>
    <t>Lapiz borrador agua -</t>
  </si>
  <si>
    <t>00031923-2222</t>
  </si>
  <si>
    <t>Lapiz borrador aire -</t>
  </si>
  <si>
    <t>393923-0030</t>
  </si>
  <si>
    <t>Laser Croco plata</t>
  </si>
  <si>
    <t>536319-0030</t>
  </si>
  <si>
    <t>Laser plata</t>
  </si>
  <si>
    <t>5270000-0101</t>
  </si>
  <si>
    <t>Lentejuela s/nt P 101</t>
  </si>
  <si>
    <t>527544-0101</t>
  </si>
  <si>
    <t>Lentejuelas 101</t>
  </si>
  <si>
    <t>527544-0029</t>
  </si>
  <si>
    <t>Lentejuelas oro</t>
  </si>
  <si>
    <t>390923-0069</t>
  </si>
  <si>
    <t>Leopardo miel</t>
  </si>
  <si>
    <t>390923-9999</t>
  </si>
  <si>
    <t>Leopardo negro</t>
  </si>
  <si>
    <t>390923-0297</t>
  </si>
  <si>
    <t>Leopardo suela</t>
  </si>
  <si>
    <t>0222071-2222</t>
  </si>
  <si>
    <t>Limpiador empaque 14kg .</t>
  </si>
  <si>
    <t>0212071-2222</t>
  </si>
  <si>
    <t>Limpiador empaque 2.8kg .</t>
  </si>
  <si>
    <t>0242071-2222</t>
  </si>
  <si>
    <t>Limpiador Pu 14kg .</t>
  </si>
  <si>
    <t>0232071-2222</t>
  </si>
  <si>
    <t>Limpiador Pu 2.8kg .</t>
  </si>
  <si>
    <t>001923-0003</t>
  </si>
  <si>
    <t>Lona beige</t>
  </si>
  <si>
    <t>001923-9999</t>
  </si>
  <si>
    <t>Lona negro</t>
  </si>
  <si>
    <t>570319-0000</t>
  </si>
  <si>
    <t>Lurex blanco</t>
  </si>
  <si>
    <t>570319-9999</t>
  </si>
  <si>
    <t>Lurex negro</t>
  </si>
  <si>
    <t>570319-0039</t>
  </si>
  <si>
    <t>Lurex peltre</t>
  </si>
  <si>
    <t>570319-0030</t>
  </si>
  <si>
    <t>Lurex plata</t>
  </si>
  <si>
    <t>570319-0051</t>
  </si>
  <si>
    <t>Lurex platino</t>
  </si>
  <si>
    <t>570319-0149</t>
  </si>
  <si>
    <t>Lurex rose gold</t>
  </si>
  <si>
    <t>1019923-0000</t>
  </si>
  <si>
    <t>Lycra doble blanco</t>
  </si>
  <si>
    <t>1019923-0004</t>
  </si>
  <si>
    <t>Lycra doble bordo</t>
  </si>
  <si>
    <t>CALI eva microf. 2.4mm</t>
  </si>
  <si>
    <t>1019923-0008</t>
  </si>
  <si>
    <t>Lycra doble coral</t>
  </si>
  <si>
    <t>1019923-9999</t>
  </si>
  <si>
    <t>Lycra doble negro</t>
  </si>
  <si>
    <t>1019923-0033</t>
  </si>
  <si>
    <t>Lycra doble verde</t>
  </si>
  <si>
    <t>0052022-9999</t>
  </si>
  <si>
    <t>Malibu negro</t>
  </si>
  <si>
    <t>20771097-0000</t>
  </si>
  <si>
    <t>Manta 120 g blanco</t>
  </si>
  <si>
    <t>20771097-9999</t>
  </si>
  <si>
    <t>Manta 120 g negro</t>
  </si>
  <si>
    <t>567319-9999</t>
  </si>
  <si>
    <t>Matelasse negro</t>
  </si>
  <si>
    <t>005127-0000</t>
  </si>
  <si>
    <t>Melisa blanco</t>
  </si>
  <si>
    <t>005127-0009</t>
  </si>
  <si>
    <t>Melisa celeste</t>
  </si>
  <si>
    <t>005127-0013</t>
  </si>
  <si>
    <t>Melisa fucsia</t>
  </si>
  <si>
    <t>005127-0065</t>
  </si>
  <si>
    <t>Melisa manzana</t>
  </si>
  <si>
    <t>005127-9999</t>
  </si>
  <si>
    <t>Melisa negro</t>
  </si>
  <si>
    <t>005127-0022</t>
  </si>
  <si>
    <t>Melisa rosa</t>
  </si>
  <si>
    <t>10055456-9999</t>
  </si>
  <si>
    <t>Mesh negro</t>
  </si>
  <si>
    <t>507923-0003</t>
  </si>
  <si>
    <t>Microfibra 0.8 mm beige</t>
  </si>
  <si>
    <t>507923-0010</t>
  </si>
  <si>
    <t>Microfibra 0.8 mm chocolate</t>
  </si>
  <si>
    <t>507923-0147</t>
  </si>
  <si>
    <t>Microfibra 0.8 mm maiz</t>
  </si>
  <si>
    <t>507923-9999</t>
  </si>
  <si>
    <t>Microfibra 0.8 mm negro</t>
  </si>
  <si>
    <t>507923-0297</t>
  </si>
  <si>
    <t>Microfibra 0.8 mm suela</t>
  </si>
  <si>
    <t>507923-0047</t>
  </si>
  <si>
    <t>Microfibra 0.8 mm vison</t>
  </si>
  <si>
    <t>511319-0007</t>
  </si>
  <si>
    <t>Microfibra 1.1 mm camel</t>
  </si>
  <si>
    <t>511319-0010</t>
  </si>
  <si>
    <t>Microfibra 1.1 mm chocolate</t>
  </si>
  <si>
    <t>511319-9999</t>
  </si>
  <si>
    <t>Microfibra 1.1 mm negro</t>
  </si>
  <si>
    <t>511319-0297</t>
  </si>
  <si>
    <t>Microfibra 1.1 mm suela</t>
  </si>
  <si>
    <t>5070000-1000</t>
  </si>
  <si>
    <t>Microfibra col 1000</t>
  </si>
  <si>
    <t>508319-0003</t>
  </si>
  <si>
    <t>Microfibra elastizada beige</t>
  </si>
  <si>
    <t>508319-9999</t>
  </si>
  <si>
    <t>Microfibra elastizada negro</t>
  </si>
  <si>
    <t>508319-0021</t>
  </si>
  <si>
    <t>Microfibra elastizada rojo</t>
  </si>
  <si>
    <t>508319-0297</t>
  </si>
  <si>
    <t>Microfibra elastizada suela</t>
  </si>
  <si>
    <t>508319-0047</t>
  </si>
  <si>
    <t>Microfibra elastizada vison</t>
  </si>
  <si>
    <t>509923-0047</t>
  </si>
  <si>
    <t>Microfibra s/sop vison</t>
  </si>
  <si>
    <t>0362022-0079</t>
  </si>
  <si>
    <t>Microfibra tnt caramelo</t>
  </si>
  <si>
    <t>0362022-0013</t>
  </si>
  <si>
    <t>Microfibra tnt fucsia</t>
  </si>
  <si>
    <t>Cali c eva y set</t>
  </si>
  <si>
    <t>0362022-0047</t>
  </si>
  <si>
    <t>Microfibra tnt vison</t>
  </si>
  <si>
    <t>11091098-0000</t>
  </si>
  <si>
    <t>Microtech blanco</t>
  </si>
  <si>
    <t>2110000-0002</t>
  </si>
  <si>
    <t>Microtech s/nt azul</t>
  </si>
  <si>
    <t>0102021-9999-0035</t>
  </si>
  <si>
    <t>Mila negro 35</t>
  </si>
  <si>
    <t>0102021-9999-0039</t>
  </si>
  <si>
    <t>Mila negro 39</t>
  </si>
  <si>
    <t>Milan negro</t>
  </si>
  <si>
    <t>0016923-9999</t>
  </si>
  <si>
    <t>Mochila dubai negro</t>
  </si>
  <si>
    <t>0017923-0003</t>
  </si>
  <si>
    <t>Mochila paris beige</t>
  </si>
  <si>
    <t>0017923-9999</t>
  </si>
  <si>
    <t>Mochila paris negro</t>
  </si>
  <si>
    <t>0019923-9999</t>
  </si>
  <si>
    <t>Mochila pekin negro</t>
  </si>
  <si>
    <t>0018923-9999</t>
  </si>
  <si>
    <t>Mochila roma negro</t>
  </si>
  <si>
    <t>0018923-0033</t>
  </si>
  <si>
    <t>Mochila roma verde</t>
  </si>
  <si>
    <t>397744-0001</t>
  </si>
  <si>
    <t>Monaco le amarillo</t>
  </si>
  <si>
    <t>397744-0014</t>
  </si>
  <si>
    <t>Monaco le lila</t>
  </si>
  <si>
    <t>544923-0003</t>
  </si>
  <si>
    <t>Montreal beige</t>
  </si>
  <si>
    <t>544923-0045</t>
  </si>
  <si>
    <t>Montreal gris</t>
  </si>
  <si>
    <t>544923-0032</t>
  </si>
  <si>
    <t>Montreal natural</t>
  </si>
  <si>
    <t>544923-9999</t>
  </si>
  <si>
    <t>Montreal negro</t>
  </si>
  <si>
    <t>543923-0010</t>
  </si>
  <si>
    <t>Moscu chocolate</t>
  </si>
  <si>
    <t>543923-9999</t>
  </si>
  <si>
    <t>Moscu negro</t>
  </si>
  <si>
    <t>543923-0297</t>
  </si>
  <si>
    <t>Moscu suela</t>
  </si>
  <si>
    <t>543923-0497</t>
  </si>
  <si>
    <t>Moscu suela oscuro</t>
  </si>
  <si>
    <t>63041744-0059</t>
  </si>
  <si>
    <t>Munich marfil</t>
  </si>
  <si>
    <t>63041744-9999</t>
  </si>
  <si>
    <t>Munich negro</t>
  </si>
  <si>
    <t>285127-0001</t>
  </si>
  <si>
    <t>Napa amarillo</t>
  </si>
  <si>
    <t>285127-0003</t>
  </si>
  <si>
    <t>Napa beige</t>
  </si>
  <si>
    <t>285127-0000</t>
  </si>
  <si>
    <t>Napa blanco</t>
  </si>
  <si>
    <t>285127-0004</t>
  </si>
  <si>
    <t>Napa bordo</t>
  </si>
  <si>
    <t>285127-0199</t>
  </si>
  <si>
    <t>Napa caramelo d/t</t>
  </si>
  <si>
    <t>2851392-0303</t>
  </si>
  <si>
    <t>Napa caramelo**</t>
  </si>
  <si>
    <t>285127-0009</t>
  </si>
  <si>
    <t>Napa celeste</t>
  </si>
  <si>
    <t>285127-0010</t>
  </si>
  <si>
    <t>Napa chocolate</t>
  </si>
  <si>
    <t>285127-0008</t>
  </si>
  <si>
    <t>Napa coral</t>
  </si>
  <si>
    <t>CALI EVA y set</t>
  </si>
  <si>
    <t>017127-0000</t>
  </si>
  <si>
    <t>Napa elastizada blanco</t>
  </si>
  <si>
    <t>017127-0079</t>
  </si>
  <si>
    <t>Napa elastizada caramelo</t>
  </si>
  <si>
    <t>017127-0010</t>
  </si>
  <si>
    <t>Napa elastizada chocolate</t>
  </si>
  <si>
    <t>017127-0069</t>
  </si>
  <si>
    <t>Napa elastizada miel</t>
  </si>
  <si>
    <t>017127-9999</t>
  </si>
  <si>
    <t>Napa elastizada negro</t>
  </si>
  <si>
    <t>017127-0193</t>
  </si>
  <si>
    <t>Napa elastizada verde benetton</t>
  </si>
  <si>
    <t>5220923-9999</t>
  </si>
  <si>
    <t>Napa eva microf. 2.4 mm negro</t>
  </si>
  <si>
    <t>Napa eva pique 2.4 mm negro</t>
  </si>
  <si>
    <t>Napa eva pique 3.3mm blanco</t>
  </si>
  <si>
    <t>Napa eva pique 3.3mm negro</t>
  </si>
  <si>
    <t>285127-0045</t>
  </si>
  <si>
    <t>Napa gris</t>
  </si>
  <si>
    <t>285127-0204</t>
  </si>
  <si>
    <t>Napa lima</t>
  </si>
  <si>
    <t>2851392-0304</t>
  </si>
  <si>
    <t>Napa maiz**</t>
  </si>
  <si>
    <t>285127-0198</t>
  </si>
  <si>
    <t>Napa manteca</t>
  </si>
  <si>
    <t>2851392-0306</t>
  </si>
  <si>
    <t>Napa manteca**</t>
  </si>
  <si>
    <t>284923-0039</t>
  </si>
  <si>
    <t>Napa mate peltre</t>
  </si>
  <si>
    <t>284923-0030</t>
  </si>
  <si>
    <t>Napa mate plata</t>
  </si>
  <si>
    <t>284923-0051</t>
  </si>
  <si>
    <t>Napa mate platino</t>
  </si>
  <si>
    <t>284923-0022</t>
  </si>
  <si>
    <t>Napa mate rosa</t>
  </si>
  <si>
    <t>284923-0149</t>
  </si>
  <si>
    <t>Napa mate rose gold</t>
  </si>
  <si>
    <t>282127-0002</t>
  </si>
  <si>
    <t>Napa Met azul</t>
  </si>
  <si>
    <t>282127-0009</t>
  </si>
  <si>
    <t>Napa Met celeste</t>
  </si>
  <si>
    <t>282127-0013</t>
  </si>
  <si>
    <t>Napa Met fucsia</t>
  </si>
  <si>
    <t>282127-0019</t>
  </si>
  <si>
    <t>Napa Met naranja</t>
  </si>
  <si>
    <t>282127-9999</t>
  </si>
  <si>
    <t>Napa Met negro</t>
  </si>
  <si>
    <t>282127-0029</t>
  </si>
  <si>
    <t>Napa Met oro</t>
  </si>
  <si>
    <t>282127-0039</t>
  </si>
  <si>
    <t>Napa Met peltre</t>
  </si>
  <si>
    <t>282127-0165</t>
  </si>
  <si>
    <t>Napa Met perla</t>
  </si>
  <si>
    <t>282127-0030</t>
  </si>
  <si>
    <t>Napa Met plata</t>
  </si>
  <si>
    <t>282127-0051</t>
  </si>
  <si>
    <t>Napa Met platino</t>
  </si>
  <si>
    <t>282127-0022</t>
  </si>
  <si>
    <t>Napa Met rosa</t>
  </si>
  <si>
    <t>394923-9999</t>
  </si>
  <si>
    <t>TOKIO</t>
  </si>
  <si>
    <t>282127-0149</t>
  </si>
  <si>
    <t>Napa Met rose gold</t>
  </si>
  <si>
    <t>282127-0033</t>
  </si>
  <si>
    <t>Napa Met verde</t>
  </si>
  <si>
    <t>282127-0193</t>
  </si>
  <si>
    <t>Napa Met verde benetton</t>
  </si>
  <si>
    <t>285127-0069</t>
  </si>
  <si>
    <t>Napa miel</t>
  </si>
  <si>
    <t>2851392-0305</t>
  </si>
  <si>
    <t>Napa miel**</t>
  </si>
  <si>
    <t>285127-0044</t>
  </si>
  <si>
    <t>Napa moca</t>
  </si>
  <si>
    <t>285127-9999</t>
  </si>
  <si>
    <t>Napa negro</t>
  </si>
  <si>
    <t>285127-0023</t>
  </si>
  <si>
    <t>Napa neon</t>
  </si>
  <si>
    <t>285127-0200</t>
  </si>
  <si>
    <t>Napa nude d/t</t>
  </si>
  <si>
    <t>285127-0129</t>
  </si>
  <si>
    <t>Napa ocre</t>
  </si>
  <si>
    <t>285127-0258</t>
  </si>
  <si>
    <t>Napa print blanco</t>
  </si>
  <si>
    <t>285127-0259</t>
  </si>
  <si>
    <t>Napa print miel</t>
  </si>
  <si>
    <t>285127-0021</t>
  </si>
  <si>
    <t>Napa rojo</t>
  </si>
  <si>
    <t>285127-0022</t>
  </si>
  <si>
    <t>Napa rosa</t>
  </si>
  <si>
    <t>285127-0297</t>
  </si>
  <si>
    <t>Napa suela</t>
  </si>
  <si>
    <t>2851392-0302</t>
  </si>
  <si>
    <t>Napa suela**</t>
  </si>
  <si>
    <t>285127-0250</t>
  </si>
  <si>
    <t>Napa tomate</t>
  </si>
  <si>
    <t>2831018-0030</t>
  </si>
  <si>
    <t>Napa tornasol plata</t>
  </si>
  <si>
    <t>285127-0018</t>
  </si>
  <si>
    <t>Napa verde musgo</t>
  </si>
  <si>
    <t>033923-0206</t>
  </si>
  <si>
    <t>Neoprene azul/negro</t>
  </si>
  <si>
    <t>033923-0181</t>
  </si>
  <si>
    <t>Neoprene blanco/negro</t>
  </si>
  <si>
    <t>033923-0203</t>
  </si>
  <si>
    <t>Neoprene gris/beige</t>
  </si>
  <si>
    <t>033923-9999</t>
  </si>
  <si>
    <t>Neoprene negro</t>
  </si>
  <si>
    <t>033923-0159</t>
  </si>
  <si>
    <t>Neoprene nude</t>
  </si>
  <si>
    <t>033923-2150</t>
  </si>
  <si>
    <t>Neoprene Terra/gris osc</t>
  </si>
  <si>
    <t>033923-0033</t>
  </si>
  <si>
    <t>Neoprene verde</t>
  </si>
  <si>
    <t>673923-0000-0056</t>
  </si>
  <si>
    <t>Niña birk 1(P) blanco L(31,32,33)</t>
  </si>
  <si>
    <t>673923-0000-0055</t>
  </si>
  <si>
    <t>Niña birk 1(P) blanco S(28,29,30)</t>
  </si>
  <si>
    <t>673923-9999-0056</t>
  </si>
  <si>
    <t>Niña birk 1(P) negro L(31,32,33)</t>
  </si>
  <si>
    <t>673923-9999-0055</t>
  </si>
  <si>
    <t>Niña birk 1(P) negro S(28,29,30)</t>
  </si>
  <si>
    <t>673923-0159-0056</t>
  </si>
  <si>
    <t>Niña birk 1(P) nude L(31,32,33)</t>
  </si>
  <si>
    <t>673923-0159-0055</t>
  </si>
  <si>
    <t>Niña birk 1(P) nude S(28,29,30)</t>
  </si>
  <si>
    <t>674923-0000-0056</t>
  </si>
  <si>
    <t>Niña faja 2(P) blanco L(31,32,33)</t>
  </si>
  <si>
    <t>674923-0000-0055</t>
  </si>
  <si>
    <t>Niña faja 2(P) blanco S(28,29,30)</t>
  </si>
  <si>
    <t>674923-9999-0056</t>
  </si>
  <si>
    <t>Niña faja 2(P) negro L(31,32,33)</t>
  </si>
  <si>
    <t>674923-9999-0055</t>
  </si>
  <si>
    <t>Niña faja 2(P) negro S(28,29,30)</t>
  </si>
  <si>
    <t>394923-0159</t>
  </si>
  <si>
    <t>674923-0159-0056</t>
  </si>
  <si>
    <t>Niña faja 2(P) nude L(31,32,33)</t>
  </si>
  <si>
    <t>674923-0159-0055</t>
  </si>
  <si>
    <t>Niña faja 2(P) nude S(28,29,30)</t>
  </si>
  <si>
    <t>675923-0000-0059</t>
  </si>
  <si>
    <t>Niña sandalia 3(P) blanco L(33,34,35)</t>
  </si>
  <si>
    <t>675923-0000-0058</t>
  </si>
  <si>
    <t>Niña sandalia 3(P) blanco M(30,31,32)</t>
  </si>
  <si>
    <t>675923-0000-0057</t>
  </si>
  <si>
    <t>Niña sandalia 3(P) blanco S(27,28,29)</t>
  </si>
  <si>
    <t>675923-9999-0059</t>
  </si>
  <si>
    <t>Niña sandalia 3(P) negro L(33,34,35)</t>
  </si>
  <si>
    <t>675923-9999-0058</t>
  </si>
  <si>
    <t>Niña sandalia 3(P) negro M(30,31,32)</t>
  </si>
  <si>
    <t>675923-9999-0057</t>
  </si>
  <si>
    <t>Niña sandalia 3(P) negro S(27,28,29)</t>
  </si>
  <si>
    <t>675923-0159-0059</t>
  </si>
  <si>
    <t>Niña sandalia 3(P) nude L(33,34,35)</t>
  </si>
  <si>
    <t>675923-0159-0058</t>
  </si>
  <si>
    <t>Niña sandalia 3(P) nude M(30,31,32)</t>
  </si>
  <si>
    <t>675923-0159-0057</t>
  </si>
  <si>
    <t>Niña sandalia 3(P) nude S(27,28,29)</t>
  </si>
  <si>
    <t>0332022-0030</t>
  </si>
  <si>
    <t>Niza plata</t>
  </si>
  <si>
    <t>20741097-0000</t>
  </si>
  <si>
    <t>No tejido 120 g blanco</t>
  </si>
  <si>
    <t>20741097-9999</t>
  </si>
  <si>
    <t>No tejido 120 g negro</t>
  </si>
  <si>
    <t>20751097-0000</t>
  </si>
  <si>
    <t>No Tejido 50 g blanco</t>
  </si>
  <si>
    <t>395923-0254</t>
  </si>
  <si>
    <t>Nylon azul marino</t>
  </si>
  <si>
    <t>400923-9999</t>
  </si>
  <si>
    <t>Nylon negro</t>
  </si>
  <si>
    <t>395923-0229</t>
  </si>
  <si>
    <t>Nylon negro premium</t>
  </si>
  <si>
    <t>395923-0021</t>
  </si>
  <si>
    <t>Nylon rojo</t>
  </si>
  <si>
    <t>395923-0253</t>
  </si>
  <si>
    <t>Nylon verde ingles</t>
  </si>
  <si>
    <t>171402-0123</t>
  </si>
  <si>
    <t>Ojalillo 450 C/ESTAMPA niquel</t>
  </si>
  <si>
    <t>181402-0000</t>
  </si>
  <si>
    <t>Ojalillo 550 C/ESTAMPA blanco</t>
  </si>
  <si>
    <t>181402-9999</t>
  </si>
  <si>
    <t>Ojalillo 550 C/ESTAMPA negro</t>
  </si>
  <si>
    <t>181402-0123</t>
  </si>
  <si>
    <t>Ojalillo 550 C/ESTAMPA niquel</t>
  </si>
  <si>
    <t>191402-0000</t>
  </si>
  <si>
    <t>Ojalillo 750 C/ESTAMPA blanco</t>
  </si>
  <si>
    <t>191402-9999</t>
  </si>
  <si>
    <t>Ojalillo 750 C/ESTAMPA negro</t>
  </si>
  <si>
    <t>191402-0123</t>
  </si>
  <si>
    <t>Ojalillo 750 C/ESTAMPA niquel</t>
  </si>
  <si>
    <t>493923-9999</t>
  </si>
  <si>
    <t>Ojota 01(P) negro</t>
  </si>
  <si>
    <t>493923-0297</t>
  </si>
  <si>
    <t>Ojota 01(P) suela</t>
  </si>
  <si>
    <t>494923-0262</t>
  </si>
  <si>
    <t>Ojota 02(P) negro/negro</t>
  </si>
  <si>
    <t>494923-0261</t>
  </si>
  <si>
    <t>Ojota 02(P) plata/plata</t>
  </si>
  <si>
    <t>494923-0263</t>
  </si>
  <si>
    <t>Ojota 02(P) rose g/rose g</t>
  </si>
  <si>
    <t>394923-0000</t>
  </si>
  <si>
    <t>646923-0010-0051</t>
  </si>
  <si>
    <t>Ojota 06(P) chocolate L(8,9,0)</t>
  </si>
  <si>
    <t>646923-0010-0050</t>
  </si>
  <si>
    <t>Ojota 06(P) chocolate S(5,6,7)</t>
  </si>
  <si>
    <t>646923-0198-0051</t>
  </si>
  <si>
    <t>Ojota 06(P) manteca L(8,9,0)</t>
  </si>
  <si>
    <t>646923-0198-0050</t>
  </si>
  <si>
    <t>Ojota 06(P) manteca S(5,6,7)</t>
  </si>
  <si>
    <t>646923-9999-0051</t>
  </si>
  <si>
    <t>Ojota 06(P) negro L(8,9,0)</t>
  </si>
  <si>
    <t>646923-9999-0050</t>
  </si>
  <si>
    <t>Ojota 06(P) negro S(5,6,7)</t>
  </si>
  <si>
    <t>647923-0010-0054</t>
  </si>
  <si>
    <t>Ojota 07(P) chocolate L(9,0)</t>
  </si>
  <si>
    <t>647923-0010-0053</t>
  </si>
  <si>
    <t>Ojota 07(P) chocolate M(7,8)</t>
  </si>
  <si>
    <t>647923-0010-0052</t>
  </si>
  <si>
    <t>Ojota 07(P) chocolate S(5,6)</t>
  </si>
  <si>
    <t>647923-0198-0054</t>
  </si>
  <si>
    <t>Ojota 07(P) manteca L(9,0)</t>
  </si>
  <si>
    <t>647923-0198-0053</t>
  </si>
  <si>
    <t>Ojota 07(P) manteca M(7,8)</t>
  </si>
  <si>
    <t>647923-0198-0052</t>
  </si>
  <si>
    <t>Ojota 07(P) manteca S(5,6)</t>
  </si>
  <si>
    <t>647923-9999-0054</t>
  </si>
  <si>
    <t>Ojota 07(P) negro L(9,0)</t>
  </si>
  <si>
    <t>647923-9999-0053</t>
  </si>
  <si>
    <t>Ojota 07(P) negro M(7,8)</t>
  </si>
  <si>
    <t>647923-9999-0052</t>
  </si>
  <si>
    <t>Ojota 07(P) negro S(5,6)</t>
  </si>
  <si>
    <t>648923-9999-0054</t>
  </si>
  <si>
    <t>Ojota 09(P) negro L(9,0)</t>
  </si>
  <si>
    <t>648923-9999-0053</t>
  </si>
  <si>
    <t>Ojota 09(P) negro M(7,8)</t>
  </si>
  <si>
    <t>648923-9999-0052</t>
  </si>
  <si>
    <t>Ojota 09(P) negro S(5,6)</t>
  </si>
  <si>
    <t>482923-0198</t>
  </si>
  <si>
    <t>Ojota 25(P) manteca</t>
  </si>
  <si>
    <t>481923-0003</t>
  </si>
  <si>
    <t>Ojota 32(P) beige</t>
  </si>
  <si>
    <t>479923-0010</t>
  </si>
  <si>
    <t>Ojota 34(P) chocolate</t>
  </si>
  <si>
    <t>479923-9999</t>
  </si>
  <si>
    <t>Ojota 34(P) negro</t>
  </si>
  <si>
    <t>503744-0000</t>
  </si>
  <si>
    <t>Oslo blanco</t>
  </si>
  <si>
    <t>503744-9999</t>
  </si>
  <si>
    <t>Oslo negro</t>
  </si>
  <si>
    <t>480095-0128</t>
  </si>
  <si>
    <t>Panama mat. P agua marina</t>
  </si>
  <si>
    <t>480095-0013</t>
  </si>
  <si>
    <t>Panama mat. P fucsia</t>
  </si>
  <si>
    <t>0242021-9999-0035</t>
  </si>
  <si>
    <t>Pantubota negro 35</t>
  </si>
  <si>
    <t>0242021-0297-0035</t>
  </si>
  <si>
    <t>Pantubota suela 35</t>
  </si>
  <si>
    <t>0242021-0297-0036</t>
  </si>
  <si>
    <t>Pantubota suela 36</t>
  </si>
  <si>
    <t>0242021-0297-0037</t>
  </si>
  <si>
    <t>Pantubota suela 37</t>
  </si>
  <si>
    <t>394923-0156</t>
  </si>
  <si>
    <t>OLIVA</t>
  </si>
  <si>
    <t>0242021-0297-0038</t>
  </si>
  <si>
    <t>Pantubota suela 38</t>
  </si>
  <si>
    <t>0072021-9999-0037</t>
  </si>
  <si>
    <t>Pantuflas peluche cross negro 37</t>
  </si>
  <si>
    <t>0012021-9999-0036</t>
  </si>
  <si>
    <t>Pantuflas peluche negro 36</t>
  </si>
  <si>
    <t>0012021-9999-0038</t>
  </si>
  <si>
    <t>Pantuflas peluche negro 38</t>
  </si>
  <si>
    <t>0082021-9999-0037</t>
  </si>
  <si>
    <t>Pantuflas peluche open negro 37</t>
  </si>
  <si>
    <t>0082021-9999-0038</t>
  </si>
  <si>
    <t>Pantuflas peluche open negro 38</t>
  </si>
  <si>
    <t>0082021-0022-0036</t>
  </si>
  <si>
    <t>Pantuflas peluche open rosa 36</t>
  </si>
  <si>
    <t>0082021-0022-0038</t>
  </si>
  <si>
    <t>Pantuflas peluche open rosa 38</t>
  </si>
  <si>
    <t>141402-0123</t>
  </si>
  <si>
    <t>Pasador P/20 1.8MM niquel</t>
  </si>
  <si>
    <t>151402-0123</t>
  </si>
  <si>
    <t>Pasador P/25 1.8MM niquel</t>
  </si>
  <si>
    <t>118127-0010</t>
  </si>
  <si>
    <t>Pecari Soft chocolate</t>
  </si>
  <si>
    <t>118127-0056</t>
  </si>
  <si>
    <t>Pecari Soft habano</t>
  </si>
  <si>
    <t>118127-0049</t>
  </si>
  <si>
    <t>Pecari Soft madera</t>
  </si>
  <si>
    <t>118127-9999</t>
  </si>
  <si>
    <t>Pecari Soft negro</t>
  </si>
  <si>
    <t>118127-0159</t>
  </si>
  <si>
    <t>Pecari Soft nude</t>
  </si>
  <si>
    <t>118127-0081</t>
  </si>
  <si>
    <t>Pecari Soft tiza</t>
  </si>
  <si>
    <t>580923-0010</t>
  </si>
  <si>
    <t>Pekin chocolate</t>
  </si>
  <si>
    <t>580923-9999</t>
  </si>
  <si>
    <t>Pekin negro</t>
  </si>
  <si>
    <t>532319-0000</t>
  </si>
  <si>
    <t>Pelo corto blanco</t>
  </si>
  <si>
    <t>537321-2222</t>
  </si>
  <si>
    <t>Pelo corto chita -</t>
  </si>
  <si>
    <t>537319-2222</t>
  </si>
  <si>
    <t>Pelo corto leopardo -</t>
  </si>
  <si>
    <t>532319-9999</t>
  </si>
  <si>
    <t>Pelo corto negro</t>
  </si>
  <si>
    <t>542319-0010</t>
  </si>
  <si>
    <t>Pelo corto vaca chocolate</t>
  </si>
  <si>
    <t>542319-9999</t>
  </si>
  <si>
    <t>Pelo corto vaca negro</t>
  </si>
  <si>
    <t>008319-0003</t>
  </si>
  <si>
    <t>Pelo Largo beige</t>
  </si>
  <si>
    <t>008319-0010</t>
  </si>
  <si>
    <t>Pelo Largo chocolate</t>
  </si>
  <si>
    <t>637923-2222</t>
  </si>
  <si>
    <t>Pelo largo leopardo -</t>
  </si>
  <si>
    <t>394923-0065</t>
  </si>
  <si>
    <t>MANZANA</t>
  </si>
  <si>
    <t>008319-9999</t>
  </si>
  <si>
    <t>Pelo Largo negro</t>
  </si>
  <si>
    <t>008319-0159</t>
  </si>
  <si>
    <t>Pelo Largo nude</t>
  </si>
  <si>
    <t>016923-0029</t>
  </si>
  <si>
    <t>Perlas oro</t>
  </si>
  <si>
    <t>399923-0000</t>
  </si>
  <si>
    <t>Picado blanco</t>
  </si>
  <si>
    <t>399923-9999</t>
  </si>
  <si>
    <t>Picado negro</t>
  </si>
  <si>
    <t>018127-0010</t>
  </si>
  <si>
    <t>Pig chocolate</t>
  </si>
  <si>
    <t>018127-0049</t>
  </si>
  <si>
    <t>Pig madera</t>
  </si>
  <si>
    <t>018127-9999</t>
  </si>
  <si>
    <t>Pig negro</t>
  </si>
  <si>
    <t>018127-0081</t>
  </si>
  <si>
    <t>Pig tiza</t>
  </si>
  <si>
    <t>0342021-0000</t>
  </si>
  <si>
    <t>Pique blanco</t>
  </si>
  <si>
    <t>0342021-9999</t>
  </si>
  <si>
    <t>Pique negro</t>
  </si>
  <si>
    <t>63241744-2146</t>
  </si>
  <si>
    <t>Pisa moro</t>
  </si>
  <si>
    <t>63241744-9999</t>
  </si>
  <si>
    <t>Pisa negro</t>
  </si>
  <si>
    <t>015319-0001</t>
  </si>
  <si>
    <t>Pl. Indi 24x24cm. amarillo</t>
  </si>
  <si>
    <t>0811227-0003</t>
  </si>
  <si>
    <t>Plancha de goma 2.7mm beige</t>
  </si>
  <si>
    <t>0811227-0010</t>
  </si>
  <si>
    <t>Plancha de goma 2.7mm chocolate</t>
  </si>
  <si>
    <t>0811227-9999</t>
  </si>
  <si>
    <t>Plancha de goma 2.7mm negro</t>
  </si>
  <si>
    <t>0821227-0003</t>
  </si>
  <si>
    <t>Plancha de goma 3mm beige</t>
  </si>
  <si>
    <t>0821227-9999</t>
  </si>
  <si>
    <t>Plancha de goma 3mm negro</t>
  </si>
  <si>
    <t>0831403-0003</t>
  </si>
  <si>
    <t>Plancha diamante 3mm beige</t>
  </si>
  <si>
    <t>0831403-0010</t>
  </si>
  <si>
    <t>Plancha diamante 3mm chocolate</t>
  </si>
  <si>
    <t>0831403-9999</t>
  </si>
  <si>
    <t>Plancha diamante 3mm negro</t>
  </si>
  <si>
    <t>0851403-0010</t>
  </si>
  <si>
    <t>Plancha suelin 10mm chocolate</t>
  </si>
  <si>
    <t>0851403-9999</t>
  </si>
  <si>
    <t>Plancha suelin 10mm negro</t>
  </si>
  <si>
    <t>0841403-9999</t>
  </si>
  <si>
    <t>Plancha taco 5mm negro</t>
  </si>
  <si>
    <t>0081227-0000</t>
  </si>
  <si>
    <t>Plantilla confort c/pique 5mm blanco</t>
  </si>
  <si>
    <t>0081227-9999</t>
  </si>
  <si>
    <t>Plantilla confort c/pique 5mm negro</t>
  </si>
  <si>
    <t>0081479-0010-3536</t>
  </si>
  <si>
    <t>Plantilla Termoconformada chocolate 35 al 36</t>
  </si>
  <si>
    <t>0081479-0010-3738</t>
  </si>
  <si>
    <t>Plantilla Termoconformada chocolate 37 al 38</t>
  </si>
  <si>
    <t>0081479-0010-3940</t>
  </si>
  <si>
    <t>Plantilla Termoconformada chocolate 39 al 40</t>
  </si>
  <si>
    <t>394923-0014</t>
  </si>
  <si>
    <t>0081479-0032-3536</t>
  </si>
  <si>
    <t>Plantilla Termoconformada natural 35 al 36</t>
  </si>
  <si>
    <t>LILA</t>
  </si>
  <si>
    <t>0081479-0032-3738</t>
  </si>
  <si>
    <t>Plantilla Termoconformada natural 37 al 38</t>
  </si>
  <si>
    <t>0081479-0032-3940</t>
  </si>
  <si>
    <t>Plantilla Termoconformada natural 39 al 40</t>
  </si>
  <si>
    <t>0081479-9999-3536</t>
  </si>
  <si>
    <t>Plantilla Termoconformada negro 35 al 36</t>
  </si>
  <si>
    <t>0081479-9999-3738</t>
  </si>
  <si>
    <t>Plantilla Termoconformada negro 37 al 38</t>
  </si>
  <si>
    <t>0081479-9999-3940</t>
  </si>
  <si>
    <t>Plantilla Termoconformada negro 39 al 40</t>
  </si>
  <si>
    <t>0452021-0002</t>
  </si>
  <si>
    <t>Plush azul</t>
  </si>
  <si>
    <t>1062923-0011</t>
  </si>
  <si>
    <t>Politan P 11</t>
  </si>
  <si>
    <t>503319-0000</t>
  </si>
  <si>
    <t>Polo blanco</t>
  </si>
  <si>
    <t>503319-9999</t>
  </si>
  <si>
    <t>Polo negro</t>
  </si>
  <si>
    <t>2862744-9999</t>
  </si>
  <si>
    <t>Praga 1.2 mm negro</t>
  </si>
  <si>
    <t>2852744-0002</t>
  </si>
  <si>
    <t>Praga azul</t>
  </si>
  <si>
    <t>2852744-0003</t>
  </si>
  <si>
    <t>Praga beige</t>
  </si>
  <si>
    <t>2852744-0000</t>
  </si>
  <si>
    <t>Praga blanco</t>
  </si>
  <si>
    <t>2852744-0004</t>
  </si>
  <si>
    <t>Praga bordo</t>
  </si>
  <si>
    <t>2852744-0079</t>
  </si>
  <si>
    <t>Praga caramelo</t>
  </si>
  <si>
    <t>2852744-0009</t>
  </si>
  <si>
    <t>Praga celeste</t>
  </si>
  <si>
    <t>2852744-0010</t>
  </si>
  <si>
    <t>Praga chocolate</t>
  </si>
  <si>
    <t>2852744-0008</t>
  </si>
  <si>
    <t>Praga coral</t>
  </si>
  <si>
    <t>2852744-0045</t>
  </si>
  <si>
    <t>Praga gris</t>
  </si>
  <si>
    <t>2852744-0198</t>
  </si>
  <si>
    <t>Praga manteca</t>
  </si>
  <si>
    <t>2852744-0065</t>
  </si>
  <si>
    <t>Praga manzana</t>
  </si>
  <si>
    <t>2852744-0069</t>
  </si>
  <si>
    <t>Praga miel</t>
  </si>
  <si>
    <t>2852744-0019</t>
  </si>
  <si>
    <t>Praga naranja</t>
  </si>
  <si>
    <t>2852744-0159</t>
  </si>
  <si>
    <t>Praga nude</t>
  </si>
  <si>
    <t>2852744-0156</t>
  </si>
  <si>
    <t>Praga oliva</t>
  </si>
  <si>
    <t>2852744-0037</t>
  </si>
  <si>
    <t>Praga pink</t>
  </si>
  <si>
    <t>2852744-0021</t>
  </si>
  <si>
    <t>Praga rojo</t>
  </si>
  <si>
    <t>2852744-0022</t>
  </si>
  <si>
    <t>Praga rosa</t>
  </si>
  <si>
    <t>2852744-0297</t>
  </si>
  <si>
    <t>Praga suela</t>
  </si>
  <si>
    <t>2852744-0033</t>
  </si>
  <si>
    <t>Praga verde</t>
  </si>
  <si>
    <t>394923-0022</t>
  </si>
  <si>
    <t>ROSA</t>
  </si>
  <si>
    <t>2852744-0180</t>
  </si>
  <si>
    <t>Praga verde agua</t>
  </si>
  <si>
    <t>2852744-0193</t>
  </si>
  <si>
    <t>Praga verde benetton</t>
  </si>
  <si>
    <t>2852744-0090</t>
  </si>
  <si>
    <t>Praga violeta</t>
  </si>
  <si>
    <t>2852744-0047</t>
  </si>
  <si>
    <t>Praga vison</t>
  </si>
  <si>
    <t>5081923-9999</t>
  </si>
  <si>
    <t>Pu c/eva negro</t>
  </si>
  <si>
    <t>5151227-2222</t>
  </si>
  <si>
    <t>Puntera -</t>
  </si>
  <si>
    <t>111923-0003</t>
  </si>
  <si>
    <t>Rafia beige</t>
  </si>
  <si>
    <t>111923-0010</t>
  </si>
  <si>
    <t>Rafia chocolate</t>
  </si>
  <si>
    <t>111923-0032</t>
  </si>
  <si>
    <t>Rafia natural</t>
  </si>
  <si>
    <t>111923-9999</t>
  </si>
  <si>
    <t>Rafia negro</t>
  </si>
  <si>
    <t>112923-0010</t>
  </si>
  <si>
    <t>Rafia Nilo chocolate</t>
  </si>
  <si>
    <t>112923-0032</t>
  </si>
  <si>
    <t>Rafia Nilo natural</t>
  </si>
  <si>
    <t>112923-9999</t>
  </si>
  <si>
    <t>Rafia Nilo negro</t>
  </si>
  <si>
    <t>111923-0029</t>
  </si>
  <si>
    <t>Rafia oro</t>
  </si>
  <si>
    <t>10101923-0000</t>
  </si>
  <si>
    <t>Raso blanco</t>
  </si>
  <si>
    <t>10101923-0004</t>
  </si>
  <si>
    <t>Raso bordo</t>
  </si>
  <si>
    <t>10101923-0032</t>
  </si>
  <si>
    <t>Raso natural</t>
  </si>
  <si>
    <t>10101923-9999</t>
  </si>
  <si>
    <t>Raso negro</t>
  </si>
  <si>
    <t>161402-0123</t>
  </si>
  <si>
    <t>Remache 8-8- C/ESTAMP niquel</t>
  </si>
  <si>
    <t>002319-0004</t>
  </si>
  <si>
    <t>Reno bordo</t>
  </si>
  <si>
    <t>398923-0000</t>
  </si>
  <si>
    <t>Reptil blanco</t>
  </si>
  <si>
    <t>398923-0079</t>
  </si>
  <si>
    <t>Reptil caramelo</t>
  </si>
  <si>
    <t>398923-0147</t>
  </si>
  <si>
    <t>Reptil maiz</t>
  </si>
  <si>
    <t>398923-0069</t>
  </si>
  <si>
    <t>Reptil miel</t>
  </si>
  <si>
    <t>398923-9999</t>
  </si>
  <si>
    <t>Reptil negro</t>
  </si>
  <si>
    <t>398923-0159</t>
  </si>
  <si>
    <t>Reptil nude</t>
  </si>
  <si>
    <t>398923-0030</t>
  </si>
  <si>
    <t>Reptil plata</t>
  </si>
  <si>
    <t>398923-0051</t>
  </si>
  <si>
    <t>Reptil platino</t>
  </si>
  <si>
    <t>0032022-9999</t>
  </si>
  <si>
    <t>Revok negro</t>
  </si>
  <si>
    <t>0341018-9999</t>
  </si>
  <si>
    <t>Rio negro</t>
  </si>
  <si>
    <t>0341018-0039</t>
  </si>
  <si>
    <t>Rio peltre</t>
  </si>
  <si>
    <t>0341018-0030</t>
  </si>
  <si>
    <t>Rio plata</t>
  </si>
  <si>
    <t>394923-0009</t>
  </si>
  <si>
    <t>CELESTE</t>
  </si>
  <si>
    <t>0341018-0051</t>
  </si>
  <si>
    <t>Rio platino</t>
  </si>
  <si>
    <t>0341018-0149</t>
  </si>
  <si>
    <t>Rio rose gold</t>
  </si>
  <si>
    <t>602923-0198</t>
  </si>
  <si>
    <t>Sandalia 04(P) manteca</t>
  </si>
  <si>
    <t>649923-9999-0054</t>
  </si>
  <si>
    <t>Sandalia 08(P) negro L(9,0)</t>
  </si>
  <si>
    <t>649923-9999-0053</t>
  </si>
  <si>
    <t>Sandalia 08(P) negro M(7,8)</t>
  </si>
  <si>
    <t>649923-9999-0052</t>
  </si>
  <si>
    <t>Sandalia 08(P) negro S(5,6)</t>
  </si>
  <si>
    <t>650923-9999-0054</t>
  </si>
  <si>
    <t>Sandalia 11(P) negro L(9,0)</t>
  </si>
  <si>
    <t>650923-9999-0053</t>
  </si>
  <si>
    <t>Sandalia 11(P) negro M(7,8)</t>
  </si>
  <si>
    <t>650923-9999-0052</t>
  </si>
  <si>
    <t>Sandalia 11(P) negro S(5,6)</t>
  </si>
  <si>
    <t>651923-9999-0054</t>
  </si>
  <si>
    <t>Sandalia 12(P) negro L(9,0)</t>
  </si>
  <si>
    <t>651923-9999-0053</t>
  </si>
  <si>
    <t>Sandalia 12(P) negro M(7,8)</t>
  </si>
  <si>
    <t>651923-9999-0052</t>
  </si>
  <si>
    <t>Sandalia 12(P) negro S(5,6)</t>
  </si>
  <si>
    <t>652923-0003-0054</t>
  </si>
  <si>
    <t>Sandalia 15(P) beige L(9,0)</t>
  </si>
  <si>
    <t>652923-0003-0053</t>
  </si>
  <si>
    <t>Sandalia 15(P) beige M(7,8)</t>
  </si>
  <si>
    <t>652923-0003-0052</t>
  </si>
  <si>
    <t>Sandalia 15(P) beige S(5,6)</t>
  </si>
  <si>
    <t>652923-0010-0054</t>
  </si>
  <si>
    <t>Sandalia 15(P) chocolate L(9,0)</t>
  </si>
  <si>
    <t>652923-0010-0053</t>
  </si>
  <si>
    <t>Sandalia 15(P) chocolate M(7,8)</t>
  </si>
  <si>
    <t>652923-0010-0052</t>
  </si>
  <si>
    <t>Sandalia 15(P) chocolate S(5,6)</t>
  </si>
  <si>
    <t>652923-9999-0054</t>
  </si>
  <si>
    <t>Sandalia 15(P) negro L(9,0)</t>
  </si>
  <si>
    <t>652923-9999-0053</t>
  </si>
  <si>
    <t>Sandalia 15(P) negro M(7,8)</t>
  </si>
  <si>
    <t>652923-9999-0052</t>
  </si>
  <si>
    <t>Sandalia 15(P) negro S(5,6)</t>
  </si>
  <si>
    <t>653923-9999-0054</t>
  </si>
  <si>
    <t>Sandalia 16(P) negro L(9,0)</t>
  </si>
  <si>
    <t>653923-9999-0053</t>
  </si>
  <si>
    <t>Sandalia 16(P) negro M(7,8)</t>
  </si>
  <si>
    <t>653923-9999-0052</t>
  </si>
  <si>
    <t>Sandalia 16(P) negro S(5,6)</t>
  </si>
  <si>
    <t>654923-9999-0054</t>
  </si>
  <si>
    <t>Sandalia 17(P) negro L(9,0)</t>
  </si>
  <si>
    <t>654923-9999-0053</t>
  </si>
  <si>
    <t>Sandalia 17(P) negro M(7,8)</t>
  </si>
  <si>
    <t>654923-9999-0052</t>
  </si>
  <si>
    <t>Sandalia 17(P) negro S(5,6)</t>
  </si>
  <si>
    <t>655923-0010-0054</t>
  </si>
  <si>
    <t>Sandalia 18(P) chocolate L(9,0)</t>
  </si>
  <si>
    <t>655923-0010-0053</t>
  </si>
  <si>
    <t>Sandalia 18(P) chocolate M(7,8)</t>
  </si>
  <si>
    <t>394923-0198</t>
  </si>
  <si>
    <t>655923-0010-0052</t>
  </si>
  <si>
    <t>Sandalia 18(P) chocolate S(5,6)</t>
  </si>
  <si>
    <t>655923-0198-0054</t>
  </si>
  <si>
    <t>Sandalia 18(P) manteca L(9,0)</t>
  </si>
  <si>
    <t>655923-0198-0053</t>
  </si>
  <si>
    <t>Sandalia 18(P) manteca M(7,8)</t>
  </si>
  <si>
    <t>655923-0198-0052</t>
  </si>
  <si>
    <t>Sandalia 18(P) manteca S(5,6)</t>
  </si>
  <si>
    <t>655923-9999-0054</t>
  </si>
  <si>
    <t>Sandalia 18(P) negro L(9,0)</t>
  </si>
  <si>
    <t>655923-9999-0053</t>
  </si>
  <si>
    <t>Sandalia 18(P) negro M(7,8)</t>
  </si>
  <si>
    <t>655923-9999-0052</t>
  </si>
  <si>
    <t>Sandalia 18(P) negro S(5,6)</t>
  </si>
  <si>
    <t>656923-9999-0054</t>
  </si>
  <si>
    <t>Sandalia 19(P) negro L(9,0)</t>
  </si>
  <si>
    <t>656923-9999-0053</t>
  </si>
  <si>
    <t>Sandalia 19(P) negro M(7,8)</t>
  </si>
  <si>
    <t>656923-9999-0052</t>
  </si>
  <si>
    <t>Sandalia 19(P) negro S(5,6)</t>
  </si>
  <si>
    <t>656923-0297-0054</t>
  </si>
  <si>
    <t>Sandalia 19(P) suela L(9,0)</t>
  </si>
  <si>
    <t>656923-0297-0053</t>
  </si>
  <si>
    <t>Sandalia 19(P) suela M(7,8)</t>
  </si>
  <si>
    <t>656923-0297-0052</t>
  </si>
  <si>
    <t>Sandalia 19(P) suela S(5,6)</t>
  </si>
  <si>
    <t>657923-9999-0054</t>
  </si>
  <si>
    <t>Sandalia 20(P) negro L(9,0)</t>
  </si>
  <si>
    <t>657923-9999-0053</t>
  </si>
  <si>
    <t>Sandalia 20(P) negro M(7,8)</t>
  </si>
  <si>
    <t>657923-9999-0052</t>
  </si>
  <si>
    <t>Sandalia 20(P) negro S(5,6)</t>
  </si>
  <si>
    <t>657923-0297-0054</t>
  </si>
  <si>
    <t>Sandalia 20(P) suela L(9,0)</t>
  </si>
  <si>
    <t>657923-0297-0053</t>
  </si>
  <si>
    <t>Sandalia 20(P) suela M(7,8)</t>
  </si>
  <si>
    <t>657923-0297-0052</t>
  </si>
  <si>
    <t>Sandalia 20(P) suela S(5,6)</t>
  </si>
  <si>
    <t>658923-9999-0054</t>
  </si>
  <si>
    <t>Sandalia 21(P) negro L(9,0)</t>
  </si>
  <si>
    <t>658923-9999-0053</t>
  </si>
  <si>
    <t>Sandalia 21(P) negro M(7,8)</t>
  </si>
  <si>
    <t>658923-9999-0052</t>
  </si>
  <si>
    <t>Sandalia 21(P) negro S(5,6)</t>
  </si>
  <si>
    <t>658923-0297-0054</t>
  </si>
  <si>
    <t>Sandalia 21(P) suela L(9,0)</t>
  </si>
  <si>
    <t>658923-0297-0053</t>
  </si>
  <si>
    <t>Sandalia 21(P) suela M(7,8)</t>
  </si>
  <si>
    <t>658923-0297-0052</t>
  </si>
  <si>
    <t>Sandalia 21(P) suela S(5,6)</t>
  </si>
  <si>
    <t>659923-0168-0054</t>
  </si>
  <si>
    <t>Sandalia 27(P) negro/plata L(9,0)</t>
  </si>
  <si>
    <t>659923-0168-0053</t>
  </si>
  <si>
    <t>Sandalia 27(P) negro/plata M(7,8)</t>
  </si>
  <si>
    <t>659923-0168-0052</t>
  </si>
  <si>
    <t>Sandalia 27(P) negro/plata S(5,6)</t>
  </si>
  <si>
    <t>660923-0003-0054</t>
  </si>
  <si>
    <t>Sandalia 31(P) beige L(9,0)</t>
  </si>
  <si>
    <t>660923-0003-0053</t>
  </si>
  <si>
    <t>Sandalia 31(P) beige M(7,8)</t>
  </si>
  <si>
    <t>660923-0003-0052</t>
  </si>
  <si>
    <t>Sandalia 31(P) beige S(5,6)</t>
  </si>
  <si>
    <t>660923-0010-0054</t>
  </si>
  <si>
    <t>Sandalia 31(P) chocolate L(9,0)</t>
  </si>
  <si>
    <t>660923-0010-0052</t>
  </si>
  <si>
    <t>Sandalia 31(P) chocolate S(5,6)</t>
  </si>
  <si>
    <t>660923-9999-0054</t>
  </si>
  <si>
    <t>Sandalia 31(P) negro L(9,0)</t>
  </si>
  <si>
    <t>394923-0003</t>
  </si>
  <si>
    <t>BEIGE</t>
  </si>
  <si>
    <t>660923-9999-0053</t>
  </si>
  <si>
    <t>Sandalia 31(P) negro M(7,8)</t>
  </si>
  <si>
    <t>660923-9999-0052</t>
  </si>
  <si>
    <t>Sandalia 31(P) negro S(5,6)</t>
  </si>
  <si>
    <t xml:space="preserve">Ingreso de 3239 mts entre 26/07/2023 y 10/10/2023 y se vendieron en 23 meses. 140 mts por mes en promedio. </t>
  </si>
  <si>
    <t>1002433-0002</t>
  </si>
  <si>
    <t>Set azul</t>
  </si>
  <si>
    <t>21262025-9999</t>
  </si>
  <si>
    <t>Set c/respaldo negro</t>
  </si>
  <si>
    <t>0062021-0000</t>
  </si>
  <si>
    <t>Set de poliester blanco</t>
  </si>
  <si>
    <t>1002433-0021</t>
  </si>
  <si>
    <t>Set rojo</t>
  </si>
  <si>
    <t>0232021-9999-0037</t>
  </si>
  <si>
    <t>Star negro 37</t>
  </si>
  <si>
    <t>0232021-9999-0040</t>
  </si>
  <si>
    <t>Star negro 40</t>
  </si>
  <si>
    <t>415923-9999</t>
  </si>
  <si>
    <t>Strass negro</t>
  </si>
  <si>
    <t>415923-0030</t>
  </si>
  <si>
    <t>Strass plata</t>
  </si>
  <si>
    <t>415923-0149</t>
  </si>
  <si>
    <t>Strass rose gold</t>
  </si>
  <si>
    <t>415923-0062</t>
  </si>
  <si>
    <t>Strass tornasol</t>
  </si>
  <si>
    <t>031402-0123</t>
  </si>
  <si>
    <t>Tacha 5.5 niquel</t>
  </si>
  <si>
    <t>021402-0123</t>
  </si>
  <si>
    <t>Tacha de 10x10 PIRAMIDAL niquel</t>
  </si>
  <si>
    <t>011402-0123</t>
  </si>
  <si>
    <t>Tacha de 8 BOMBE niquel</t>
  </si>
  <si>
    <t>201402-0123</t>
  </si>
  <si>
    <t>Tacha de 8 PLANA niquel</t>
  </si>
  <si>
    <t>487319-0049</t>
  </si>
  <si>
    <t>Talonera madera</t>
  </si>
  <si>
    <t>487319-0032</t>
  </si>
  <si>
    <t>Talonera natural</t>
  </si>
  <si>
    <t>487319-9999</t>
  </si>
  <si>
    <t>Talonera negro</t>
  </si>
  <si>
    <t>0362025-9999</t>
  </si>
  <si>
    <t>Tela de avion 1.2cm negro</t>
  </si>
  <si>
    <t>030012-0032</t>
  </si>
  <si>
    <t>Tela de cambre 180 natural</t>
  </si>
  <si>
    <t>031012-0032</t>
  </si>
  <si>
    <t>Tela de cambre 400 natural</t>
  </si>
  <si>
    <t>0291098-0032</t>
  </si>
  <si>
    <t>Tela de cambre natural</t>
  </si>
  <si>
    <t>0291098-9999</t>
  </si>
  <si>
    <t>Tela de cambre negro</t>
  </si>
  <si>
    <t>010319-0000</t>
  </si>
  <si>
    <t>Tela zapatillas blanco</t>
  </si>
  <si>
    <t>1012923-0000</t>
  </si>
  <si>
    <t>Terciopelo blanco</t>
  </si>
  <si>
    <t>1012923-9999</t>
  </si>
  <si>
    <t>Terciopelo negro</t>
  </si>
  <si>
    <t>10120000-0580</t>
  </si>
  <si>
    <t>Terciopelo sin soporte P 580</t>
  </si>
  <si>
    <t>10120000-0800</t>
  </si>
  <si>
    <t>Terciopelo sin soporte P 800</t>
  </si>
  <si>
    <t>027923-0002</t>
  </si>
  <si>
    <t>Texa azul</t>
  </si>
  <si>
    <t>027923-0003</t>
  </si>
  <si>
    <t>Texa beige</t>
  </si>
  <si>
    <t>394923-0045</t>
  </si>
  <si>
    <t>GRIS</t>
  </si>
  <si>
    <t>027923-0004</t>
  </si>
  <si>
    <t>Texa bordo</t>
  </si>
  <si>
    <t>027923-0007</t>
  </si>
  <si>
    <t>Texa camel</t>
  </si>
  <si>
    <t>027923-0009</t>
  </si>
  <si>
    <t>Texa celeste</t>
  </si>
  <si>
    <t>027923-0010</t>
  </si>
  <si>
    <t>Texa chocolate</t>
  </si>
  <si>
    <t>027923-0172</t>
  </si>
  <si>
    <t>Texa hueso</t>
  </si>
  <si>
    <t>027923-9999</t>
  </si>
  <si>
    <t>Texa negro</t>
  </si>
  <si>
    <t>027923-0159</t>
  </si>
  <si>
    <t>Texa nude</t>
  </si>
  <si>
    <t>027923-0129</t>
  </si>
  <si>
    <t>Texa ocre</t>
  </si>
  <si>
    <t>027923-0156</t>
  </si>
  <si>
    <t>Texa oliva</t>
  </si>
  <si>
    <t>027923-0255</t>
  </si>
  <si>
    <t>Texa print beige</t>
  </si>
  <si>
    <t>027923-0257</t>
  </si>
  <si>
    <t>Texa print chocolate</t>
  </si>
  <si>
    <t>027923-0256</t>
  </si>
  <si>
    <t>Texa print suela</t>
  </si>
  <si>
    <t>027923-0021</t>
  </si>
  <si>
    <t>Texa rojo</t>
  </si>
  <si>
    <t>027923-0297</t>
  </si>
  <si>
    <t>Texa suela</t>
  </si>
  <si>
    <t>027923-0111</t>
  </si>
  <si>
    <t>Texa terra</t>
  </si>
  <si>
    <t>027923-0055</t>
  </si>
  <si>
    <t>Texa topo</t>
  </si>
  <si>
    <t>00001515-9999</t>
  </si>
  <si>
    <t>Tijera 21cm negro</t>
  </si>
  <si>
    <t>00151511-2222</t>
  </si>
  <si>
    <t>Tijera 21cm negro + corta hilos -</t>
  </si>
  <si>
    <t>00001520-2222</t>
  </si>
  <si>
    <t>Tijera textil -</t>
  </si>
  <si>
    <t>00201511-2222</t>
  </si>
  <si>
    <t>Tijera textil + corta hilos -</t>
  </si>
  <si>
    <t>028744-0147</t>
  </si>
  <si>
    <t>Timber maiz</t>
  </si>
  <si>
    <t>041000-0000</t>
  </si>
  <si>
    <t>Tira 3 tubos 2cm blanco</t>
  </si>
  <si>
    <t>041000-0022</t>
  </si>
  <si>
    <t>Tira 3 tubos 2cm rosa</t>
  </si>
  <si>
    <t>042000-0000</t>
  </si>
  <si>
    <t>Tira 4 tubos 4,5cm blanco</t>
  </si>
  <si>
    <t>042000-9999</t>
  </si>
  <si>
    <t>Tira 4 tubos 4,5cm negro</t>
  </si>
  <si>
    <t>042000-0022</t>
  </si>
  <si>
    <t>Tira 4 tubos 4,5cm rosa</t>
  </si>
  <si>
    <t>042000-0297</t>
  </si>
  <si>
    <t>Tira 4 tubos 4,5cm suela</t>
  </si>
  <si>
    <t>045000-0000</t>
  </si>
  <si>
    <t>Tira 5 tubos 7cm blanco</t>
  </si>
  <si>
    <t>02600006-0000</t>
  </si>
  <si>
    <t>Tira al corte blanco</t>
  </si>
  <si>
    <t>02600006-0204</t>
  </si>
  <si>
    <t>Tira al corte camel</t>
  </si>
  <si>
    <t>02600006-9999</t>
  </si>
  <si>
    <t>Tira al corte negro</t>
  </si>
  <si>
    <t>048923-0088</t>
  </si>
  <si>
    <t>Tira Amalfi 0.5cm plata/negro</t>
  </si>
  <si>
    <t>NAPA</t>
  </si>
  <si>
    <t>018923-9999</t>
  </si>
  <si>
    <t>Tira Atena 4.5cm negro</t>
  </si>
  <si>
    <t>036923-0032</t>
  </si>
  <si>
    <t>Tira Atenas natural</t>
  </si>
  <si>
    <t>036923-9999</t>
  </si>
  <si>
    <t>Tira Atenas negro</t>
  </si>
  <si>
    <t>039923-9999</t>
  </si>
  <si>
    <t>Tira Azteca 4cm negro</t>
  </si>
  <si>
    <t>0353923-0029</t>
  </si>
  <si>
    <t>Tira Cairo oro</t>
  </si>
  <si>
    <t>0353923-0030</t>
  </si>
  <si>
    <t>Tira Cairo plata</t>
  </si>
  <si>
    <t>054923-0088</t>
  </si>
  <si>
    <t>Tira Capri 0.5cm plata/negro</t>
  </si>
  <si>
    <t>053923-0088</t>
  </si>
  <si>
    <t>Tira Capri 1cm plata/negro</t>
  </si>
  <si>
    <t>058923-0000</t>
  </si>
  <si>
    <t>Tira Cartagena 4cm blanco</t>
  </si>
  <si>
    <t>058923-9999</t>
  </si>
  <si>
    <t>Tira Cartagena 4cm negro</t>
  </si>
  <si>
    <t>058923-0022</t>
  </si>
  <si>
    <t>Tira Cartagena 4cm rosa</t>
  </si>
  <si>
    <t>019923-0032</t>
  </si>
  <si>
    <t>Tira Cloe natural</t>
  </si>
  <si>
    <t>019923-9999</t>
  </si>
  <si>
    <t>Tira Cloe negro</t>
  </si>
  <si>
    <t>019923-0030</t>
  </si>
  <si>
    <t>Tira Cloe plata</t>
  </si>
  <si>
    <t>019923-0051</t>
  </si>
  <si>
    <t>Tira Cloe platino</t>
  </si>
  <si>
    <t>02500005-0000</t>
  </si>
  <si>
    <t>Tira cola raton doblada blanco</t>
  </si>
  <si>
    <t>02500005-9999</t>
  </si>
  <si>
    <t>Tira cola raton doblada negro</t>
  </si>
  <si>
    <t>02500005-0030</t>
  </si>
  <si>
    <t>Tira cola raton doblada plata</t>
  </si>
  <si>
    <t>02500005-0051</t>
  </si>
  <si>
    <t>Tira cola raton doblada platino</t>
  </si>
  <si>
    <t>02800000-0000</t>
  </si>
  <si>
    <t>Tira cosida glitter blanco</t>
  </si>
  <si>
    <t>02800000-0030</t>
  </si>
  <si>
    <t>Tira cosida glitter plata</t>
  </si>
  <si>
    <t>02900000-0159</t>
  </si>
  <si>
    <t>Tira cosida glow nude</t>
  </si>
  <si>
    <t>03000000-9999</t>
  </si>
  <si>
    <t>Tira cosida lurex negro</t>
  </si>
  <si>
    <t>03000000-0030</t>
  </si>
  <si>
    <t>Tira cosida lurex plata</t>
  </si>
  <si>
    <t>03000000-0051</t>
  </si>
  <si>
    <t>Tira cosida lurex platino</t>
  </si>
  <si>
    <t>03000000-0149</t>
  </si>
  <si>
    <t>Tira cosida lurex rose gold</t>
  </si>
  <si>
    <t>013923-0000</t>
  </si>
  <si>
    <t>Tira cuzco 6cm blanco</t>
  </si>
  <si>
    <t>013923-9999</t>
  </si>
  <si>
    <t>Tira cuzco 6cm negro</t>
  </si>
  <si>
    <t>049923-0088</t>
  </si>
  <si>
    <t>Tira Diamante 2.5cm plata/negro</t>
  </si>
  <si>
    <t>02700007-2222</t>
  </si>
  <si>
    <t>Tira doblada 1cm .</t>
  </si>
  <si>
    <t>02700007-0000</t>
  </si>
  <si>
    <t>Tira doblada 1cm blanco</t>
  </si>
  <si>
    <t>02700007-0222</t>
  </si>
  <si>
    <t>Tira doblada 1cm charol blanco</t>
  </si>
  <si>
    <t>02700007-0223</t>
  </si>
  <si>
    <t>Tira doblada 1cm charol leopardo</t>
  </si>
  <si>
    <t>02700007-0224</t>
  </si>
  <si>
    <t>Tira doblada 1cm charol negro</t>
  </si>
  <si>
    <t>02900020-9999</t>
  </si>
  <si>
    <t>Tira doblada 1cm costurado negro</t>
  </si>
  <si>
    <t>02700007-0226</t>
  </si>
  <si>
    <t>Tira doblada 1cm leopardo miel</t>
  </si>
  <si>
    <t>02800008-9999</t>
  </si>
  <si>
    <t>Tira doblada 1cm met negro</t>
  </si>
  <si>
    <t>02700007-0235</t>
  </si>
  <si>
    <t>Tira doblada 1cm napa manteca</t>
  </si>
  <si>
    <t>02700007-0234</t>
  </si>
  <si>
    <t>Tira doblada 1cm napa nude</t>
  </si>
  <si>
    <t>02700007-0242</t>
  </si>
  <si>
    <t>Tira doblada 1cm napa print blan</t>
  </si>
  <si>
    <t>02700007-9999</t>
  </si>
  <si>
    <t>Tira doblada 1cm negro</t>
  </si>
  <si>
    <t>02700007-0030</t>
  </si>
  <si>
    <t>Tira doblada 1cm plata</t>
  </si>
  <si>
    <t>02700007-0225</t>
  </si>
  <si>
    <t>Tira doblada 1cm toronto negro</t>
  </si>
  <si>
    <t>02700009-2222</t>
  </si>
  <si>
    <t>Tira doblada 2.5cm .</t>
  </si>
  <si>
    <t>02700009-0242</t>
  </si>
  <si>
    <t>Tira doblada 2.5cm napa print blan</t>
  </si>
  <si>
    <t>02700008-2222</t>
  </si>
  <si>
    <t>Tira doblada 2cm .</t>
  </si>
  <si>
    <t>02700008-0000</t>
  </si>
  <si>
    <t>Tira doblada 2cm blanco</t>
  </si>
  <si>
    <t>02700008-0222</t>
  </si>
  <si>
    <t>Tira doblada 2cm charol blanco</t>
  </si>
  <si>
    <t>02700008-0224</t>
  </si>
  <si>
    <t>Tira doblada 2cm charol negro</t>
  </si>
  <si>
    <t>02700008-0226</t>
  </si>
  <si>
    <t>Tira doblada 2cm leopardo miel</t>
  </si>
  <si>
    <t>02700008-0235</t>
  </si>
  <si>
    <t>Tira doblada 2cm napa manteca</t>
  </si>
  <si>
    <t>02700008-0234</t>
  </si>
  <si>
    <t>Tira doblada 2cm napa nude</t>
  </si>
  <si>
    <t>02700008-0242</t>
  </si>
  <si>
    <t>Tira doblada 2cm napa print blan</t>
  </si>
  <si>
    <t>02700008-9999</t>
  </si>
  <si>
    <t>Tira doblada 2cm negro</t>
  </si>
  <si>
    <t>02700008-0030</t>
  </si>
  <si>
    <t>Tira doblada 2cm plata</t>
  </si>
  <si>
    <t>02700008-0227</t>
  </si>
  <si>
    <t>Tira doblada 2cm reptil negro</t>
  </si>
  <si>
    <t>02700008-0225</t>
  </si>
  <si>
    <t>Tira doblada 2cm toronto negro</t>
  </si>
  <si>
    <t>02900010-2222</t>
  </si>
  <si>
    <t>Tira doblada 4cm .</t>
  </si>
  <si>
    <t>02900010-0000</t>
  </si>
  <si>
    <t>Tira doblada 4cm blanco</t>
  </si>
  <si>
    <t>02900010-0222</t>
  </si>
  <si>
    <t>Tira doblada 4cm charol blanco</t>
  </si>
  <si>
    <t>02900010-0224</t>
  </si>
  <si>
    <t>Tira doblada 4cm charol negro</t>
  </si>
  <si>
    <t>02900010-0226</t>
  </si>
  <si>
    <t>Tira doblada 4cm leopardo miel</t>
  </si>
  <si>
    <t>02900010-0242</t>
  </si>
  <si>
    <t>Tira doblada 4cm napa print blan</t>
  </si>
  <si>
    <t>02900010-0258</t>
  </si>
  <si>
    <t>Tira doblada 4cm napa print/miel</t>
  </si>
  <si>
    <t>02900010-9999</t>
  </si>
  <si>
    <t>Tira doblada 4cm negro</t>
  </si>
  <si>
    <t>02900010-0030</t>
  </si>
  <si>
    <t>Tira doblada 4cm plata</t>
  </si>
  <si>
    <t>02900010-0227</t>
  </si>
  <si>
    <t>Tira doblada 4cm reptil negro</t>
  </si>
  <si>
    <t>02900010-0237</t>
  </si>
  <si>
    <t>Tira doblada 4cm rio plata</t>
  </si>
  <si>
    <t>02900010-0022</t>
  </si>
  <si>
    <t>Tira doblada 4cm rosa</t>
  </si>
  <si>
    <t>02900010-0225</t>
  </si>
  <si>
    <t>Tira doblada 4cm toronto negro</t>
  </si>
  <si>
    <t>025923-9999</t>
  </si>
  <si>
    <t>Tira Dublin negro</t>
  </si>
  <si>
    <t>025923-0030</t>
  </si>
  <si>
    <t>Tira Dublin plata</t>
  </si>
  <si>
    <t>025923-0088</t>
  </si>
  <si>
    <t>Tira Dublin plata/negro</t>
  </si>
  <si>
    <t>025923-0149</t>
  </si>
  <si>
    <t>Tira Dublin rose gold</t>
  </si>
  <si>
    <t>025923-0062</t>
  </si>
  <si>
    <t>Tira Dublin tornasol</t>
  </si>
  <si>
    <t>0252021-0000</t>
  </si>
  <si>
    <t>Tira Duo blanco</t>
  </si>
  <si>
    <t>0252021-9999</t>
  </si>
  <si>
    <t>Tira Duo negro</t>
  </si>
  <si>
    <t>0252021-0022</t>
  </si>
  <si>
    <t>Tira Duo rosa</t>
  </si>
  <si>
    <t>022026-9999</t>
  </si>
  <si>
    <t>Tira gales N negro</t>
  </si>
  <si>
    <t>022026-0149</t>
  </si>
  <si>
    <t>Tira gales N rose gold</t>
  </si>
  <si>
    <t>029923-9999</t>
  </si>
  <si>
    <t>Tira Gales negro</t>
  </si>
  <si>
    <t>029923-0030</t>
  </si>
  <si>
    <t>Tira Gales plata</t>
  </si>
  <si>
    <t>029923-0088</t>
  </si>
  <si>
    <t>Tira Gales plata/negro</t>
  </si>
  <si>
    <t>029923-0149</t>
  </si>
  <si>
    <t>Tira Gales rose gold</t>
  </si>
  <si>
    <t>029923-0062</t>
  </si>
  <si>
    <t>Tira Gales tornasol</t>
  </si>
  <si>
    <t>043923-9999</t>
  </si>
  <si>
    <t>Tira Ginebra 0.5cm negro</t>
  </si>
  <si>
    <t>043923-0030</t>
  </si>
  <si>
    <t>Tira Ginebra 0.5cm plata</t>
  </si>
  <si>
    <t>043923-0088</t>
  </si>
  <si>
    <t>Tira Ginebra 0.5cm plata/negro</t>
  </si>
  <si>
    <t>043923-0149</t>
  </si>
  <si>
    <t>Tira Ginebra 0.5cm rose gold</t>
  </si>
  <si>
    <t>040000-9999</t>
  </si>
  <si>
    <t>Tira Grabada negro</t>
  </si>
  <si>
    <t>040000-0297</t>
  </si>
  <si>
    <t>Tira Grabada suela</t>
  </si>
  <si>
    <t>02800005-9999</t>
  </si>
  <si>
    <t>Tira inflada 3.5cm negro</t>
  </si>
  <si>
    <t>021923-0000</t>
  </si>
  <si>
    <t>Tira Juno blanco</t>
  </si>
  <si>
    <t>021923-9999</t>
  </si>
  <si>
    <t>Tira Juno negro</t>
  </si>
  <si>
    <t>022923-9999</t>
  </si>
  <si>
    <t>Tira Kaia negro</t>
  </si>
  <si>
    <t>035923-9999</t>
  </si>
  <si>
    <t>Tira Lisboa negro</t>
  </si>
  <si>
    <t>035923-0030</t>
  </si>
  <si>
    <t>Tira Lisboa plata</t>
  </si>
  <si>
    <t>047923-9999</t>
  </si>
  <si>
    <t>Tira Londres 1cm negro</t>
  </si>
  <si>
    <t>047923-0030</t>
  </si>
  <si>
    <t>Tira Londres 1cm plata</t>
  </si>
  <si>
    <t>047923-0088</t>
  </si>
  <si>
    <t>Tira Londres 1cm plata/negro</t>
  </si>
  <si>
    <t xml:space="preserve">ROJO </t>
  </si>
  <si>
    <t>047923-0149</t>
  </si>
  <si>
    <t>Tira Londres 1cm rose gold</t>
  </si>
  <si>
    <t>024923-0032</t>
  </si>
  <si>
    <t>Tira Luz natural</t>
  </si>
  <si>
    <t>024923-9999</t>
  </si>
  <si>
    <t>Tira Luz negro</t>
  </si>
  <si>
    <t>041923-9999</t>
  </si>
  <si>
    <t>Tira Malaga 4cm negro</t>
  </si>
  <si>
    <t>041923-0030</t>
  </si>
  <si>
    <t>Tira Malaga 4cm plata</t>
  </si>
  <si>
    <t>056923-0166</t>
  </si>
  <si>
    <t>Tira Mallorca 1cm blanco/plata</t>
  </si>
  <si>
    <t>056923-0262</t>
  </si>
  <si>
    <t>Tira Mallorca 1cm negro/negro</t>
  </si>
  <si>
    <t>056923-0088</t>
  </si>
  <si>
    <t>Tira Mallorca 1cm plata/negro</t>
  </si>
  <si>
    <t>046923-0088</t>
  </si>
  <si>
    <t>Tira Marbella 1cm plata/negro</t>
  </si>
  <si>
    <t>0221026-0000</t>
  </si>
  <si>
    <t>Tira Mila blanco</t>
  </si>
  <si>
    <t>0221026-9999</t>
  </si>
  <si>
    <t>Tira Mila negro</t>
  </si>
  <si>
    <t>045923-0088</t>
  </si>
  <si>
    <t>Tira Niza 1cm plata/negro</t>
  </si>
  <si>
    <t>038923-0334</t>
  </si>
  <si>
    <t>Tira Pampa 5cm negro/beige</t>
  </si>
  <si>
    <t>0350923-0000</t>
  </si>
  <si>
    <t>Tira Paris blanco</t>
  </si>
  <si>
    <t>0350923-0079</t>
  </si>
  <si>
    <t>Tira Paris caramelo</t>
  </si>
  <si>
    <t>0350923-0069</t>
  </si>
  <si>
    <t>Tira Paris miel</t>
  </si>
  <si>
    <t>0350923-9999</t>
  </si>
  <si>
    <t>Tira Paris negro</t>
  </si>
  <si>
    <t>0350923-0030</t>
  </si>
  <si>
    <t>Tira Paris plata</t>
  </si>
  <si>
    <t>0350923-0051</t>
  </si>
  <si>
    <t>Tira Paris platino</t>
  </si>
  <si>
    <t>02600007-9999</t>
  </si>
  <si>
    <t>Tira pasador 2.5cm negro</t>
  </si>
  <si>
    <t>02600005-9999</t>
  </si>
  <si>
    <t>Tira pasador 4.5cm negro</t>
  </si>
  <si>
    <t>040923-9999</t>
  </si>
  <si>
    <t>Tira Porto 2.5cm negro</t>
  </si>
  <si>
    <t>0354923-0003</t>
  </si>
  <si>
    <t>Tira Praia beige</t>
  </si>
  <si>
    <t>0354923-0000</t>
  </si>
  <si>
    <t>Tira Praia blanco</t>
  </si>
  <si>
    <t>0354923-9999</t>
  </si>
  <si>
    <t>Tira Praia negro</t>
  </si>
  <si>
    <t>0032025-2222</t>
  </si>
  <si>
    <t>Tira rafia 4.5cm .</t>
  </si>
  <si>
    <t>0032025-0010</t>
  </si>
  <si>
    <t>Tira rafia 4.5cm chocolate</t>
  </si>
  <si>
    <t>0032025-0032</t>
  </si>
  <si>
    <t>Tira rafia 4.5cm natural</t>
  </si>
  <si>
    <t>0032025-9999</t>
  </si>
  <si>
    <t>Tira rafia 4.5cm negro</t>
  </si>
  <si>
    <t>0032025-0257</t>
  </si>
  <si>
    <t>Tira rafia 4.5cm rafia oro/choco</t>
  </si>
  <si>
    <t>0032027-0010</t>
  </si>
  <si>
    <t>Tira rafia 6.5cm chocolate</t>
  </si>
  <si>
    <t>0032027-0032</t>
  </si>
  <si>
    <t>Tira rafia 6.5cm natural</t>
  </si>
  <si>
    <t>0032027-9999</t>
  </si>
  <si>
    <t>Tira rafia 6.5cm negro</t>
  </si>
  <si>
    <t>0032027-0257</t>
  </si>
  <si>
    <t>Tira rafia 6.5cm rafia oro/choco</t>
  </si>
  <si>
    <t>0241026-9999</t>
  </si>
  <si>
    <t>Tira Selene negro</t>
  </si>
  <si>
    <t>055923-9999</t>
  </si>
  <si>
    <t>Tira Sofia 1cm negro</t>
  </si>
  <si>
    <t>055923-0039</t>
  </si>
  <si>
    <t>Tira Sofia 1cm peltre</t>
  </si>
  <si>
    <t>055923-0030</t>
  </si>
  <si>
    <t>Tira Sofia 1cm plata</t>
  </si>
  <si>
    <t>055923-0149</t>
  </si>
  <si>
    <t>Tira Sofia 1cm rose gold</t>
  </si>
  <si>
    <t>031923-0143</t>
  </si>
  <si>
    <t>Tira Sofia 2.3cm multi</t>
  </si>
  <si>
    <t>CARAMELO d/t</t>
  </si>
  <si>
    <t>031923-9999</t>
  </si>
  <si>
    <t>Tira Sofia 2.3cm negro</t>
  </si>
  <si>
    <t>031923-0030</t>
  </si>
  <si>
    <t>Tira Sofia 2.3cm plata</t>
  </si>
  <si>
    <t>031923-0149</t>
  </si>
  <si>
    <t>Tira Sofia 2.3cm rose gold</t>
  </si>
  <si>
    <t>0352923-0000</t>
  </si>
  <si>
    <t>Tira Teja blanco</t>
  </si>
  <si>
    <t>0352923-0069</t>
  </si>
  <si>
    <t>Tira Teja miel</t>
  </si>
  <si>
    <t>0352923-9999</t>
  </si>
  <si>
    <t>Tira Teja negro</t>
  </si>
  <si>
    <t>042923-0262</t>
  </si>
  <si>
    <t>Tira Toledo 4cm negro/negro</t>
  </si>
  <si>
    <t>042923-0088</t>
  </si>
  <si>
    <t>Tira Toledo 4cm plata/negro</t>
  </si>
  <si>
    <t>042923-0277</t>
  </si>
  <si>
    <t>Tira Toledo 4cm plata/rose gold</t>
  </si>
  <si>
    <t>02700001-0233</t>
  </si>
  <si>
    <t>Tira trenzada 1cm berlín perla</t>
  </si>
  <si>
    <t>02700001-0256</t>
  </si>
  <si>
    <t>Tira trenzada 1cm ibiza plata</t>
  </si>
  <si>
    <t>02700001-0228</t>
  </si>
  <si>
    <t>Tira trenzada 1cm ibiza rose gold</t>
  </si>
  <si>
    <t>02700001-0255</t>
  </si>
  <si>
    <t>Tira trenzada 1cm kansas moca</t>
  </si>
  <si>
    <t>02700001-0236</t>
  </si>
  <si>
    <t>Tira trenzada 1cm rio negro</t>
  </si>
  <si>
    <t>02700001-0230</t>
  </si>
  <si>
    <t>Tira trenzada 1cm texa suela</t>
  </si>
  <si>
    <t>02600000-2222</t>
  </si>
  <si>
    <t>Tira Trenzada 2.5cm .</t>
  </si>
  <si>
    <t>02600000-0233</t>
  </si>
  <si>
    <t>Tira Trenzada 2.5cm berlín perla</t>
  </si>
  <si>
    <t>02600000-0000</t>
  </si>
  <si>
    <t>Tira Trenzada 2.5cm blanco</t>
  </si>
  <si>
    <t>02600000-0224</t>
  </si>
  <si>
    <t>Tira Trenzada 2.5cm charol negro</t>
  </si>
  <si>
    <t>02600000-0231</t>
  </si>
  <si>
    <t>Tira Trenzada 2.5cm dallas plata</t>
  </si>
  <si>
    <t>02600000-0232</t>
  </si>
  <si>
    <t>Tira Trenzada 2.5cm dallas rosegold</t>
  </si>
  <si>
    <t>02600001-0030</t>
  </si>
  <si>
    <t>Tira trenzada 2.5cm ibiza plata</t>
  </si>
  <si>
    <t>02600000-0228</t>
  </si>
  <si>
    <t>Tira Trenzada 2.5cm ibiza rose gold</t>
  </si>
  <si>
    <t>02600000-0239</t>
  </si>
  <si>
    <t>Tira Trenzada 2.5cm kansas camel</t>
  </si>
  <si>
    <t>02600000-0255</t>
  </si>
  <si>
    <t>Tira Trenzada 2.5cm kansas moca</t>
  </si>
  <si>
    <t>02600000-0241</t>
  </si>
  <si>
    <t>Tira Trenzada 2.5cm kansas suela</t>
  </si>
  <si>
    <t>02600000-0226</t>
  </si>
  <si>
    <t>Tira Trenzada 2.5cm leopardo miel</t>
  </si>
  <si>
    <t>02600000-0243</t>
  </si>
  <si>
    <t>Tira Trenzada 2.5cm napa blanco</t>
  </si>
  <si>
    <t>02600000-0030</t>
  </si>
  <si>
    <t>Tira Trenzada 2.5cm plata</t>
  </si>
  <si>
    <t>02600000-0236</t>
  </si>
  <si>
    <t>Tira Trenzada 2.5cm rio negro</t>
  </si>
  <si>
    <t>02600000-0237</t>
  </si>
  <si>
    <t>Tira Trenzada 2.5cm rio plata</t>
  </si>
  <si>
    <t>03200000-2222</t>
  </si>
  <si>
    <t>Tira Trenzada 3.5cm .</t>
  </si>
  <si>
    <t>03200000-9999</t>
  </si>
  <si>
    <t>Tira Trenzada 3.5cm negro</t>
  </si>
  <si>
    <t>NUDE  d/t</t>
  </si>
  <si>
    <t>03200000-0159</t>
  </si>
  <si>
    <t>Tira Trenzada 3.5cm nude</t>
  </si>
  <si>
    <t>02500000-2222</t>
  </si>
  <si>
    <t>Tira Trenzada 4.5cm .</t>
  </si>
  <si>
    <t>02500000-0000</t>
  </si>
  <si>
    <t>Tira Trenzada 4.5cm blanco</t>
  </si>
  <si>
    <t>02500000-0198</t>
  </si>
  <si>
    <t>Tira Trenzada 4.5cm manteca</t>
  </si>
  <si>
    <t>02500000-9999</t>
  </si>
  <si>
    <t>Tira Trenzada 4.5cm negro</t>
  </si>
  <si>
    <t>02500000-0159</t>
  </si>
  <si>
    <t>Tira Trenzada 4.5cm nude</t>
  </si>
  <si>
    <t>02500000-0030</t>
  </si>
  <si>
    <t>Tira Trenzada 4.5cm plata</t>
  </si>
  <si>
    <t>02500000-2126</t>
  </si>
  <si>
    <t>Tira Trenzada 4.5cm plata/bco/nude</t>
  </si>
  <si>
    <t>02500000-2121</t>
  </si>
  <si>
    <t>Tira Trenzada 4.5cm plata/negro</t>
  </si>
  <si>
    <t>02500000-2123</t>
  </si>
  <si>
    <t>Tira Trenzada 4.5cm plata/rose gold</t>
  </si>
  <si>
    <t>02500000-0051</t>
  </si>
  <si>
    <t>Tira Trenzada 4.5cm platino</t>
  </si>
  <si>
    <t>02500000-0149</t>
  </si>
  <si>
    <t>Tira Trenzada 4.5cm rose gold</t>
  </si>
  <si>
    <t>02500000-0297</t>
  </si>
  <si>
    <t>Tira Trenzada 4.5cm suela</t>
  </si>
  <si>
    <t>02900024-2222</t>
  </si>
  <si>
    <t>Tira trenzada 4cm .</t>
  </si>
  <si>
    <t>02900024-0000</t>
  </si>
  <si>
    <t>Tira trenzada 4cm blanco</t>
  </si>
  <si>
    <t>02900024-0204</t>
  </si>
  <si>
    <t>Tira trenzada 4cm camel</t>
  </si>
  <si>
    <t>02900024-0079</t>
  </si>
  <si>
    <t>Tira trenzada 4cm caramelo</t>
  </si>
  <si>
    <t>02900024-0299</t>
  </si>
  <si>
    <t>Tira trenzada 4cm chocolate</t>
  </si>
  <si>
    <t>02900024-0240</t>
  </si>
  <si>
    <t>Tira trenzada 4cm kansas chocolat</t>
  </si>
  <si>
    <t>02900024-0255</t>
  </si>
  <si>
    <t>Tira trenzada 4cm kansas moca</t>
  </si>
  <si>
    <t>02900024-0198</t>
  </si>
  <si>
    <t>Tira trenzada 4cm manteca</t>
  </si>
  <si>
    <t>02900024-0253</t>
  </si>
  <si>
    <t>Tira trenzada 4cm napa miel</t>
  </si>
  <si>
    <t>02900024-9999</t>
  </si>
  <si>
    <t>Tira trenzada 4cm negro</t>
  </si>
  <si>
    <t>02900024-0238</t>
  </si>
  <si>
    <t>Tira trenzada 4cm negro/charol</t>
  </si>
  <si>
    <t>02900024-0159</t>
  </si>
  <si>
    <t>Tira trenzada 4cm nude</t>
  </si>
  <si>
    <t>02900024-0245</t>
  </si>
  <si>
    <t>Tira trenzada 4cm pu/ch negro</t>
  </si>
  <si>
    <t>02900024-0297</t>
  </si>
  <si>
    <t>Tira trenzada 4cm suela</t>
  </si>
  <si>
    <t>02900024-0230</t>
  </si>
  <si>
    <t>Tira trenzada 4cm texa suela</t>
  </si>
  <si>
    <t>02500001-2127</t>
  </si>
  <si>
    <t>Tira Trenzada met 4.5cm plat/plati/rosa</t>
  </si>
  <si>
    <t>02500001-0022</t>
  </si>
  <si>
    <t>Tira Trenzada met 4.5cm rosa</t>
  </si>
  <si>
    <t>059923-0088</t>
  </si>
  <si>
    <t>Tira Tulum 7.5cm plata/negro</t>
  </si>
  <si>
    <t>057923-0278</t>
  </si>
  <si>
    <t>Tira Valencia 3.8cm manteca/plata</t>
  </si>
  <si>
    <t>057923-0262</t>
  </si>
  <si>
    <t>Tira Valencia 3.8cm negro/negro</t>
  </si>
  <si>
    <t>057923-0088</t>
  </si>
  <si>
    <t>Tira Valencia 3.8cm plata/negro</t>
  </si>
  <si>
    <t>044923-0088</t>
  </si>
  <si>
    <t>Tira Verona 1.5cm plata/negro</t>
  </si>
  <si>
    <t>051923-0088</t>
  </si>
  <si>
    <t>Tira Vira 1.5cm plata/negro</t>
  </si>
  <si>
    <t>052923-0088</t>
  </si>
  <si>
    <t>Tira Vira 1cm plata/negro</t>
  </si>
  <si>
    <t>Tokio beige</t>
  </si>
  <si>
    <t>Tokio blanco</t>
  </si>
  <si>
    <t>394923-0079</t>
  </si>
  <si>
    <t>Tokio caramelo</t>
  </si>
  <si>
    <t>Tokio celeste</t>
  </si>
  <si>
    <t>Tokio eva pique 3.3mm blanco</t>
  </si>
  <si>
    <t>Tokio eva pique 3.3mm negro</t>
  </si>
  <si>
    <t>Tokio gris</t>
  </si>
  <si>
    <t>Tokio lila</t>
  </si>
  <si>
    <t>Tokio manteca</t>
  </si>
  <si>
    <t>Tokio manzana</t>
  </si>
  <si>
    <t>Tokio negro</t>
  </si>
  <si>
    <t>Tokio nude</t>
  </si>
  <si>
    <t>Tokio oliva</t>
  </si>
  <si>
    <t>Tokio rosa</t>
  </si>
  <si>
    <t>545923-9999</t>
  </si>
  <si>
    <t>Toronto negro</t>
  </si>
  <si>
    <t>545923-0039</t>
  </si>
  <si>
    <t>Toronto peltre</t>
  </si>
  <si>
    <t>545923-0030</t>
  </si>
  <si>
    <t>Toronto plata</t>
  </si>
  <si>
    <t>0352024-9999</t>
  </si>
  <si>
    <t>Towel negro</t>
  </si>
  <si>
    <t>493523-0131</t>
  </si>
  <si>
    <t>Transfer sintetico P //</t>
  </si>
  <si>
    <t>493523-0030</t>
  </si>
  <si>
    <t>Transfer sintetico P plata</t>
  </si>
  <si>
    <t>02600025-0255</t>
  </si>
  <si>
    <t>Trenza c/fondo 2.5cm kansas moca</t>
  </si>
  <si>
    <t>02600025-0261</t>
  </si>
  <si>
    <t>Trenza c/fondo 2.5cm napa chocolate</t>
  </si>
  <si>
    <t>02600025-0229</t>
  </si>
  <si>
    <t>Trenza c/fondo 2.5cm napa negro</t>
  </si>
  <si>
    <t>02600025-9999</t>
  </si>
  <si>
    <t>Trenza c/fondo 2.5cm negro</t>
  </si>
  <si>
    <t>02600002-0204</t>
  </si>
  <si>
    <t>Trenza c/fondo 4.5cm camel</t>
  </si>
  <si>
    <t>02600002-0299</t>
  </si>
  <si>
    <t>Trenza c/fondo 4.5cm chocolate</t>
  </si>
  <si>
    <t>02600002-0239</t>
  </si>
  <si>
    <t>Trenza c/fondo 4.5cm kansas camel</t>
  </si>
  <si>
    <t>02600002-0240</t>
  </si>
  <si>
    <t>Trenza c/fondo 4.5cm kansas chocolat</t>
  </si>
  <si>
    <t>02600002-0229</t>
  </si>
  <si>
    <t>Trenza c/fondo 4.5cm napa negro</t>
  </si>
  <si>
    <t>02600002-9999</t>
  </si>
  <si>
    <t>Trenza c/fondo 4.5cm negro</t>
  </si>
  <si>
    <t>02600002-0297</t>
  </si>
  <si>
    <t>Trenza c/fondo 4.5cm suela</t>
  </si>
  <si>
    <t>02600002-0230</t>
  </si>
  <si>
    <t>Trenza c/fondo 4.5cm texa suela</t>
  </si>
  <si>
    <t>425319-0030</t>
  </si>
  <si>
    <t>Trenzado plata</t>
  </si>
  <si>
    <t>2861249-0079</t>
  </si>
  <si>
    <t>Turin caramelo</t>
  </si>
  <si>
    <t>Turin eva pique blanco</t>
  </si>
  <si>
    <t>5089923-9999</t>
  </si>
  <si>
    <t>Turin eva pique negro</t>
  </si>
  <si>
    <t>2861249-9999</t>
  </si>
  <si>
    <t>Turin negro</t>
  </si>
  <si>
    <t>2861249-0159</t>
  </si>
  <si>
    <t>Turin nude</t>
  </si>
  <si>
    <t>2861249-0297</t>
  </si>
  <si>
    <t>Turin suela</t>
  </si>
  <si>
    <t>2862022-0297</t>
  </si>
  <si>
    <t>1045460-0011</t>
  </si>
  <si>
    <t>Twin P 11</t>
  </si>
  <si>
    <t>005923-0003</t>
  </si>
  <si>
    <t>UGG beige</t>
  </si>
  <si>
    <t>005923-0079</t>
  </si>
  <si>
    <t>UGG caramelo</t>
  </si>
  <si>
    <t>005923-9999</t>
  </si>
  <si>
    <t>UGG negro</t>
  </si>
  <si>
    <t>548923-0010</t>
  </si>
  <si>
    <t>Vaca chocolate</t>
  </si>
  <si>
    <t>548923-9999</t>
  </si>
  <si>
    <t>Vaca negro</t>
  </si>
  <si>
    <t>2226000-0000</t>
  </si>
  <si>
    <t>Velour c/respaldo blanco</t>
  </si>
  <si>
    <t>2226000-9999</t>
  </si>
  <si>
    <t>Velour c/respaldo negro</t>
  </si>
  <si>
    <t>590923-0010</t>
  </si>
  <si>
    <t>Venecia chocolate</t>
  </si>
  <si>
    <t>590923-0049</t>
  </si>
  <si>
    <t>Venecia madera</t>
  </si>
  <si>
    <t>590923-9999</t>
  </si>
  <si>
    <t>Venecia negro</t>
  </si>
  <si>
    <t>501319-0148</t>
  </si>
  <si>
    <t>Verona pistacho</t>
  </si>
  <si>
    <t>131923-0000</t>
  </si>
  <si>
    <t>Vida blanco</t>
  </si>
  <si>
    <t>63141744-0006</t>
  </si>
  <si>
    <t>Viena cafe</t>
  </si>
  <si>
    <t>0352022-0079</t>
  </si>
  <si>
    <t>Viena elastizada caramelo</t>
  </si>
  <si>
    <t>63141744-2147</t>
  </si>
  <si>
    <t>Viena habano k</t>
  </si>
  <si>
    <t>393744-9999</t>
  </si>
  <si>
    <t>Yacare negro</t>
  </si>
  <si>
    <t>167095-2222</t>
  </si>
  <si>
    <t>Yute Trenzado -</t>
  </si>
  <si>
    <t>1057455-1000</t>
  </si>
  <si>
    <t>ZZGross P 1000</t>
  </si>
  <si>
    <t>1022523-1235</t>
  </si>
  <si>
    <t>ZZLamina geometric tornasol P 1235</t>
  </si>
  <si>
    <t>1020523-0121</t>
  </si>
  <si>
    <t>ZZLamina tornasol P 121</t>
  </si>
  <si>
    <t>03400000-0000</t>
  </si>
  <si>
    <t>ZZTira Cala blanco</t>
  </si>
  <si>
    <t>03400000-9999</t>
  </si>
  <si>
    <t>ZZTira Cala negro</t>
  </si>
  <si>
    <t>03400000-0022</t>
  </si>
  <si>
    <t>ZZTira Cala rosa</t>
  </si>
  <si>
    <t>011319-0000</t>
  </si>
  <si>
    <t>ZZTira Cali blanco</t>
  </si>
  <si>
    <t>011319-0197</t>
  </si>
  <si>
    <t>ZZTira Cali suela v</t>
  </si>
  <si>
    <t>498523-2222</t>
  </si>
  <si>
    <t>ZZTransfer sintetico rosa .</t>
  </si>
  <si>
    <t>1060460-2222</t>
  </si>
  <si>
    <t>ZZWest P .</t>
  </si>
  <si>
    <t>AMARILLO</t>
  </si>
  <si>
    <t>OCRE</t>
  </si>
  <si>
    <t>Ingresaron 594 mts el 17/06/2025 y sigue habiendo mts de la misma partida.</t>
  </si>
  <si>
    <t>VERDE MUSGO</t>
  </si>
  <si>
    <t>Noviembre y diciembre del 2025 no había stock, enero y febrero del 2026 entraron 3288 mts. No hay stock desde el  julio 2026.</t>
  </si>
  <si>
    <t>TOMATE</t>
  </si>
  <si>
    <t>PRINT MIEL</t>
  </si>
  <si>
    <t>PRINT BLANCO</t>
  </si>
  <si>
    <t>2) PEDIR MENOS — sobrante sobre 4 meses con pedidos todavía sin facturar (se pueden recortar o cambiar por artículos faltantes)</t>
  </si>
  <si>
    <t>NAPA ELASTIZADA</t>
  </si>
  <si>
    <t>RECORTABLE (m) = mín(sobrante, sin facturar)</t>
  </si>
  <si>
    <t>CARAMELO</t>
  </si>
  <si>
    <t>TEXA</t>
  </si>
  <si>
    <t>CAMEL</t>
  </si>
  <si>
    <t>HUESO</t>
  </si>
  <si>
    <t>Entraron 2387 mts entre 12/07/2023 y 30/07/2025 el último rollo se vendió el 22/08/2025</t>
  </si>
  <si>
    <t>TOPO</t>
  </si>
  <si>
    <t>AZUL</t>
  </si>
  <si>
    <t xml:space="preserve">TERRA </t>
  </si>
  <si>
    <t>ROJO</t>
  </si>
  <si>
    <t>PRINT CHOCOL</t>
  </si>
  <si>
    <t>PRINT BEIGE</t>
  </si>
  <si>
    <t>PRINT SUELA</t>
  </si>
  <si>
    <t>PEKIN ( PU GRABADO )</t>
  </si>
  <si>
    <t>KANSAS ( ZR30313 )</t>
  </si>
  <si>
    <t>NEGRO (11)</t>
  </si>
  <si>
    <t xml:space="preserve">SUELA </t>
  </si>
  <si>
    <t>HABANO (4)</t>
  </si>
  <si>
    <t xml:space="preserve">CAMEL </t>
  </si>
  <si>
    <t>CARAMELO (2)</t>
  </si>
  <si>
    <t xml:space="preserve">BEIGE </t>
  </si>
  <si>
    <t>037923-0111</t>
  </si>
  <si>
    <t>AZUL (10)</t>
  </si>
  <si>
    <t xml:space="preserve">CHOCOLATE </t>
  </si>
  <si>
    <t>MOCCA (7)</t>
  </si>
  <si>
    <t>MOSCU</t>
  </si>
  <si>
    <t xml:space="preserve">SUELA OSCURO  </t>
  </si>
  <si>
    <t>BRUSH OFF</t>
  </si>
  <si>
    <t>ARNO</t>
  </si>
  <si>
    <t>SUELA BK 2026</t>
  </si>
  <si>
    <t>BEIGE OK</t>
  </si>
  <si>
    <t>NATURAL ( HIELO )</t>
  </si>
  <si>
    <t>ROJO VERANO</t>
  </si>
  <si>
    <t xml:space="preserve">NUDE </t>
  </si>
  <si>
    <t>NUDE CLARO</t>
  </si>
  <si>
    <t>MAIZ NO</t>
  </si>
  <si>
    <t>LAVANDA</t>
  </si>
  <si>
    <t>TERRA</t>
  </si>
  <si>
    <t>VERDE INGLES</t>
  </si>
  <si>
    <t>VERDE BENETON</t>
  </si>
  <si>
    <t>AZUL ELECTRICO</t>
  </si>
  <si>
    <t>FUCIA</t>
  </si>
  <si>
    <t xml:space="preserve">TURQUEZA </t>
  </si>
  <si>
    <t>LEOPARDO SUELA</t>
  </si>
  <si>
    <t>LEOPARDO NEGRO</t>
  </si>
  <si>
    <t>COSTURADO</t>
  </si>
  <si>
    <t>BLANCO OPTICO</t>
  </si>
  <si>
    <t xml:space="preserve">AZUL </t>
  </si>
  <si>
    <t>AZUL MARINO BK</t>
  </si>
  <si>
    <t>NATURAL BK</t>
  </si>
  <si>
    <t>406923-0003</t>
  </si>
  <si>
    <t>BEIGE BK</t>
  </si>
  <si>
    <t>406923-0045</t>
  </si>
  <si>
    <t>GRIS BK</t>
  </si>
  <si>
    <t>406923-0159</t>
  </si>
  <si>
    <t>NUDE BK</t>
  </si>
  <si>
    <t>CHOCOLATE BK</t>
  </si>
  <si>
    <t>1010923-9999</t>
  </si>
  <si>
    <t>OREGON</t>
  </si>
  <si>
    <t>Suma de 2 filas en Prog. General</t>
  </si>
  <si>
    <t>1010923-0007</t>
  </si>
  <si>
    <t>1010923-0120</t>
  </si>
  <si>
    <t>ALMENDRA</t>
  </si>
  <si>
    <t>1011923-9999</t>
  </si>
  <si>
    <t>YACRON</t>
  </si>
  <si>
    <t>1011923-0248</t>
  </si>
  <si>
    <t>MARRON</t>
  </si>
  <si>
    <t>PRAGA</t>
  </si>
  <si>
    <t>NEGRO 1,2</t>
  </si>
  <si>
    <t>AZUL (MOOD INDICO)</t>
  </si>
  <si>
    <t xml:space="preserve">VERDE BENETTON </t>
  </si>
  <si>
    <t xml:space="preserve">NARANJA </t>
  </si>
  <si>
    <t xml:space="preserve">MANZANA </t>
  </si>
  <si>
    <t>VERDE(SONORA)</t>
  </si>
  <si>
    <t>DENEB(0,9mm)</t>
  </si>
  <si>
    <t>OSLO</t>
  </si>
  <si>
    <t>TURIN</t>
  </si>
  <si>
    <t>DUBAI</t>
  </si>
  <si>
    <t>PICADO</t>
  </si>
  <si>
    <t>COW FIBER</t>
  </si>
  <si>
    <t>CINNAMON</t>
  </si>
  <si>
    <t>MICROFIBRA 0,8MM</t>
  </si>
  <si>
    <t>MAIZ</t>
  </si>
  <si>
    <t>MICROFIBRA 1,1MM</t>
  </si>
  <si>
    <t>FLOTTER</t>
  </si>
  <si>
    <t>NUDE D/T</t>
  </si>
  <si>
    <t>NUDE D/t 2 LE</t>
  </si>
  <si>
    <t>132127-0022</t>
  </si>
  <si>
    <t>ROSA LE/BEIGE ( NUEVO COLOR )</t>
  </si>
  <si>
    <t>LIMA</t>
  </si>
  <si>
    <t>CHICLE</t>
  </si>
  <si>
    <t>FUCCIA</t>
  </si>
  <si>
    <t>VISON DT</t>
  </si>
  <si>
    <t>HABANO DT</t>
  </si>
  <si>
    <t>SUELA OSCURO DT</t>
  </si>
  <si>
    <t>FLOTTER GRANDE</t>
  </si>
  <si>
    <t>FLOTTER  CHICO ( Tormes )</t>
  </si>
  <si>
    <t>Negro</t>
  </si>
  <si>
    <t>MATERIAL MARROQUINERO</t>
  </si>
  <si>
    <t>FLOTTER  0,8 MM mediano</t>
  </si>
  <si>
    <t>negro</t>
  </si>
  <si>
    <t>suela</t>
  </si>
  <si>
    <t>flotter chico 0,8 mm chico</t>
  </si>
  <si>
    <t>ANDORRA</t>
  </si>
  <si>
    <t>NAPA MATE</t>
  </si>
  <si>
    <t xml:space="preserve"> PLATA</t>
  </si>
  <si>
    <t xml:space="preserve"> ROSE GOLD</t>
  </si>
  <si>
    <t xml:space="preserve">  ROSA</t>
  </si>
  <si>
    <t xml:space="preserve"> PELTRE</t>
  </si>
  <si>
    <t>PLATINO</t>
  </si>
  <si>
    <t>NAPA MET</t>
  </si>
  <si>
    <t xml:space="preserve"> PLATINO</t>
  </si>
  <si>
    <t xml:space="preserve"> PERLA</t>
  </si>
  <si>
    <t xml:space="preserve">  PELTRE</t>
  </si>
  <si>
    <t xml:space="preserve"> AZUL</t>
  </si>
  <si>
    <t xml:space="preserve"> ROSA</t>
  </si>
  <si>
    <t xml:space="preserve"> FUCCIA</t>
  </si>
  <si>
    <t xml:space="preserve"> VERDE BENETTON</t>
  </si>
  <si>
    <t xml:space="preserve"> VERDE</t>
  </si>
  <si>
    <t xml:space="preserve"> CELESTE</t>
  </si>
  <si>
    <t>TORNASOL PLATA</t>
  </si>
  <si>
    <t>FLOTTER MET</t>
  </si>
  <si>
    <t>PLATA</t>
  </si>
  <si>
    <t>ROSE GOLD</t>
  </si>
  <si>
    <t>PELTRE</t>
  </si>
  <si>
    <t>PERLA</t>
  </si>
  <si>
    <t>FLOTTER MET chico</t>
  </si>
  <si>
    <t>DALLAS</t>
  </si>
  <si>
    <t>NEGRO 01</t>
  </si>
  <si>
    <t>PLATA 10</t>
  </si>
  <si>
    <t>PERLA 09</t>
  </si>
  <si>
    <t>PELTRE 08</t>
  </si>
  <si>
    <t>PLATINO 05</t>
  </si>
  <si>
    <t>dallas</t>
  </si>
  <si>
    <t>RIO</t>
  </si>
  <si>
    <t>IBIZA</t>
  </si>
  <si>
    <t>BERLIN ( NUEVO )</t>
  </si>
  <si>
    <t>LUREX</t>
  </si>
  <si>
    <t>GLITTER FINO</t>
  </si>
  <si>
    <t>GLOW</t>
  </si>
  <si>
    <t>GLITTER GRUESO</t>
  </si>
  <si>
    <t>ESPEJO TPU</t>
  </si>
  <si>
    <t xml:space="preserve">PLATA </t>
  </si>
  <si>
    <t>LASER PLATA</t>
  </si>
  <si>
    <t>STRASS</t>
  </si>
  <si>
    <t>TORNASOL</t>
  </si>
  <si>
    <t>LASER</t>
  </si>
  <si>
    <t>CROCO</t>
  </si>
  <si>
    <t>IGUANA</t>
  </si>
  <si>
    <t>BOA</t>
  </si>
  <si>
    <t>REPTIL</t>
  </si>
  <si>
    <t>CROCO CHICO</t>
  </si>
  <si>
    <t xml:space="preserve">FUCCIA </t>
  </si>
  <si>
    <t>COBRA</t>
  </si>
  <si>
    <t>NEON</t>
  </si>
  <si>
    <t>VACA</t>
  </si>
  <si>
    <t xml:space="preserve"> NEGRO</t>
  </si>
  <si>
    <t>LEOPARDO</t>
  </si>
  <si>
    <t xml:space="preserve"> SUELA</t>
  </si>
  <si>
    <t xml:space="preserve">MIEL </t>
  </si>
  <si>
    <t>JAGUAR BEIGE</t>
  </si>
  <si>
    <t>ALTO BRILLO</t>
  </si>
  <si>
    <t>ENGOMADO</t>
  </si>
  <si>
    <t>CHAROL 1 MM</t>
  </si>
  <si>
    <t>CHAROL 0.8 MM</t>
  </si>
  <si>
    <t>FLUO FUCCIA</t>
  </si>
  <si>
    <t>FLUO AMARILLO</t>
  </si>
  <si>
    <t xml:space="preserve">CHAROL 0.6 MM </t>
  </si>
  <si>
    <t>CHAROL NAPLACK</t>
  </si>
  <si>
    <t>TORONTO</t>
  </si>
  <si>
    <t>CHAROL CROCO</t>
  </si>
  <si>
    <t>MELISA</t>
  </si>
  <si>
    <t>NEOPRENE</t>
  </si>
  <si>
    <t>BLANCO/NEGRO</t>
  </si>
  <si>
    <t xml:space="preserve">VERDE </t>
  </si>
  <si>
    <t>GRIS/BEIGE</t>
  </si>
  <si>
    <t>AZUL/NEGRO</t>
  </si>
  <si>
    <t>TERRA/GRIS OSCURO</t>
  </si>
  <si>
    <t>NEGRO/CHOCO B (MOCCA)</t>
  </si>
  <si>
    <t>LYCRA DOBLE</t>
  </si>
  <si>
    <t>VERDE MILITAR</t>
  </si>
  <si>
    <t>PU CARPA</t>
  </si>
  <si>
    <t>BEIGE PU/PVC</t>
  </si>
  <si>
    <t>542923-0003</t>
  </si>
  <si>
    <t>MICROFIBRA  ELASTIZADA</t>
  </si>
  <si>
    <t>PELO LARGO</t>
  </si>
  <si>
    <t>PELO CORTO</t>
  </si>
  <si>
    <t>CHITA</t>
  </si>
  <si>
    <t>VACA NEGRO</t>
  </si>
  <si>
    <t>VACA MARRON</t>
  </si>
  <si>
    <t>CORDERITO</t>
  </si>
  <si>
    <t>UGG</t>
  </si>
  <si>
    <t>LONA</t>
  </si>
  <si>
    <t>RASO</t>
  </si>
  <si>
    <t>NATURAL</t>
  </si>
  <si>
    <t>MONACO</t>
  </si>
  <si>
    <t xml:space="preserve">MATELASSE </t>
  </si>
  <si>
    <t>MICROFIBRA S/ SOP</t>
  </si>
  <si>
    <t xml:space="preserve">VISON </t>
  </si>
  <si>
    <t>JEAN</t>
  </si>
  <si>
    <t>CORCHO NATURAL MADERA</t>
  </si>
  <si>
    <t>CORCHO</t>
  </si>
  <si>
    <t>NYLON</t>
  </si>
  <si>
    <t>395923-9999</t>
  </si>
  <si>
    <t>NYLON ECONOMICO</t>
  </si>
  <si>
    <t>AZUL MARINO</t>
  </si>
  <si>
    <t>TERCIOPELO</t>
  </si>
  <si>
    <t xml:space="preserve">ARMANI </t>
  </si>
  <si>
    <t>GUCCI</t>
  </si>
  <si>
    <t>MESH</t>
  </si>
  <si>
    <t xml:space="preserve">CRISTAL 1MM </t>
  </si>
  <si>
    <t>TRANSPARENTE</t>
  </si>
  <si>
    <t>VRSITAN 0,9MM PVC</t>
  </si>
  <si>
    <t>c06</t>
  </si>
  <si>
    <t>c17</t>
  </si>
  <si>
    <t>c18</t>
  </si>
  <si>
    <t>c 24</t>
  </si>
  <si>
    <t>c 28</t>
  </si>
  <si>
    <t>SR250826</t>
  </si>
  <si>
    <t>CORDURA</t>
  </si>
  <si>
    <t>NEGRO 42</t>
  </si>
  <si>
    <t>SR250830</t>
  </si>
  <si>
    <t>RAFIA</t>
  </si>
  <si>
    <t>NILO NATURAL</t>
  </si>
  <si>
    <t>ORO</t>
  </si>
  <si>
    <t>NILO CHOCOLATE</t>
  </si>
  <si>
    <t xml:space="preserve"> CHOCOLATE</t>
  </si>
  <si>
    <t>NILO NEGRO</t>
  </si>
  <si>
    <t>DOBLE FRONTURA</t>
  </si>
  <si>
    <t>TAPICERIA</t>
  </si>
  <si>
    <t>MONTREAL</t>
  </si>
  <si>
    <t>FORRERIA</t>
  </si>
  <si>
    <t>BARI</t>
  </si>
  <si>
    <t>BORA LE</t>
  </si>
  <si>
    <t>BETANZOS</t>
  </si>
  <si>
    <t>ver negro</t>
  </si>
  <si>
    <t xml:space="preserve">BLANCO </t>
  </si>
  <si>
    <t>BARI MET</t>
  </si>
  <si>
    <t>VENECIA</t>
  </si>
  <si>
    <t>NEGRO 9</t>
  </si>
  <si>
    <t>MADERA 13</t>
  </si>
  <si>
    <t>CHOCOLATE 8</t>
  </si>
  <si>
    <t>PECARI SOFT</t>
  </si>
  <si>
    <t>TIZA</t>
  </si>
  <si>
    <t>MADERA</t>
  </si>
  <si>
    <t>HABANO</t>
  </si>
  <si>
    <t>PIG</t>
  </si>
  <si>
    <t>TALONERA</t>
  </si>
  <si>
    <t>CORDOBA</t>
  </si>
  <si>
    <t>MARFIL ( ART 6)</t>
  </si>
  <si>
    <t>TIGRE (ART 6)</t>
  </si>
  <si>
    <t>ZEBRA (ART 7)</t>
  </si>
  <si>
    <t>AZUL FRANCIA (ART 8)</t>
  </si>
  <si>
    <t>VERDE PETROLEO (ART 9)</t>
  </si>
  <si>
    <t>TELA DE CAMBRE</t>
  </si>
  <si>
    <t>TELA DE CAMBRE 400 Natural</t>
  </si>
  <si>
    <t>TELA DE CAMBRE 180 Natural</t>
  </si>
  <si>
    <t>TELA DE CAMBRE NATURAL</t>
  </si>
  <si>
    <t>TELA DE CAMBRE NEGRO</t>
  </si>
  <si>
    <t>NO TEJIDO 120 GR</t>
  </si>
  <si>
    <t>MANTA 120 GR</t>
  </si>
  <si>
    <t>FRISELINA 120 GR</t>
  </si>
  <si>
    <t>NEGRA (30GR)</t>
  </si>
  <si>
    <t>EVA</t>
  </si>
  <si>
    <t>EVA 1,8 MM</t>
  </si>
  <si>
    <t>EVA C/PIQUE 2MM</t>
  </si>
  <si>
    <t>ver</t>
  </si>
  <si>
    <t>EVA C/PIQUE 3,5MM</t>
  </si>
  <si>
    <t>EVA C/FRISELINA 2MM</t>
  </si>
  <si>
    <t>PEGAMENTO</t>
  </si>
  <si>
    <t>Adhesivo Neo feno 14kg</t>
  </si>
  <si>
    <t>Adhesivo Neo feno 4litros</t>
  </si>
  <si>
    <t>Adhesivo PU feno 14kg</t>
  </si>
  <si>
    <t>CARTON CON EVA
CARTON CON EVA
CARTON CON EVA
CARTON CON EVA
CARTON CON EVA
CARTON CON EVA
CARTON CON EVA
CARTON CON EVA
CARTON CON EVA</t>
  </si>
  <si>
    <t>PLANTILLA TERMOPLASTICA</t>
  </si>
  <si>
    <t>PUNTERA Y CONTREFUERTE</t>
  </si>
  <si>
    <t>PLANCHAS DE GOMA</t>
  </si>
  <si>
    <t>Plancha de goma 3mm</t>
  </si>
  <si>
    <t>beige</t>
  </si>
  <si>
    <t>Plancha de goma 2.7mm</t>
  </si>
  <si>
    <t xml:space="preserve">Plancha de goma 3mm </t>
  </si>
  <si>
    <t>chocolate</t>
  </si>
  <si>
    <t>Plancha diamante 3mm</t>
  </si>
  <si>
    <t xml:space="preserve">Plancha diamante 3mm </t>
  </si>
  <si>
    <t>Plancha taco 5mm</t>
  </si>
  <si>
    <t>ACCESORIOS</t>
  </si>
  <si>
    <t>Tijera 21cm</t>
  </si>
  <si>
    <t>NEGRA</t>
  </si>
  <si>
    <t>ROJO Y VERDE</t>
  </si>
  <si>
    <t>LIGERA ( CAJA DE 12 UNIDADES )</t>
  </si>
  <si>
    <t>Velour c/respaldo</t>
  </si>
  <si>
    <t>TIRAS</t>
  </si>
  <si>
    <t>TIRA DUBLIN</t>
  </si>
  <si>
    <t>PLATA/NEGRO</t>
  </si>
  <si>
    <t>Tornasol</t>
  </si>
  <si>
    <t>TIRA GALES</t>
  </si>
  <si>
    <t>TIRA SOFIA</t>
  </si>
  <si>
    <t>MULTI</t>
  </si>
  <si>
    <t>TIRA PARIS</t>
  </si>
  <si>
    <t>TIRA CLOE</t>
  </si>
  <si>
    <t>TIRA TEJA</t>
  </si>
  <si>
    <t>TIRA JUNO</t>
  </si>
  <si>
    <t>TIRA PRAIA</t>
  </si>
  <si>
    <t>TIRA CAIRO</t>
  </si>
  <si>
    <t>TIRA ATENAS</t>
  </si>
  <si>
    <t>TIRA LUZ</t>
  </si>
  <si>
    <t>TIRA LISBOA</t>
  </si>
  <si>
    <t>Tira cuzco 6cm</t>
  </si>
  <si>
    <t>TIRAS VERANO 2027</t>
  </si>
  <si>
    <t>Tira Ginebra 0.5cm</t>
  </si>
  <si>
    <t>plata/negro</t>
  </si>
  <si>
    <t>plata/blanco</t>
  </si>
  <si>
    <t>rose gold/ nude</t>
  </si>
  <si>
    <t>Tira Sofia 1cm</t>
  </si>
  <si>
    <t xml:space="preserve">peltre </t>
  </si>
  <si>
    <t xml:space="preserve">plata </t>
  </si>
  <si>
    <t>rose gold</t>
  </si>
  <si>
    <t>Tira Toledo 4cm</t>
  </si>
  <si>
    <t>negro/negro</t>
  </si>
  <si>
    <t>plata/rose gold</t>
  </si>
  <si>
    <t>Tira Malaga 4cm</t>
  </si>
  <si>
    <t>plata</t>
  </si>
  <si>
    <t>Tira Azteca 4cm</t>
  </si>
  <si>
    <t>Tira Pampa 5cm</t>
  </si>
  <si>
    <t>negro/beige</t>
  </si>
  <si>
    <t>Tira Valencia 3.8cm</t>
  </si>
  <si>
    <t>manteca/plata</t>
  </si>
  <si>
    <t>Tira Niza 1cm</t>
  </si>
  <si>
    <t>Tira Capri 0.5cm</t>
  </si>
  <si>
    <t>Tira Capri 1cm</t>
  </si>
  <si>
    <t>Tira Mallorca 1cm</t>
  </si>
  <si>
    <t>blanco/plata</t>
  </si>
  <si>
    <t>Tira Londres 1cm</t>
  </si>
  <si>
    <t>Tira Diamante 2.5cm</t>
  </si>
  <si>
    <t>Tira Vira 1.5cm</t>
  </si>
  <si>
    <t>Tira Vira 1cm</t>
  </si>
  <si>
    <t>Tira Marbella 1cm</t>
  </si>
  <si>
    <t>Tira Amalfi 0.5cm</t>
  </si>
  <si>
    <t>Tira Porto 2.5cm</t>
  </si>
  <si>
    <t>Tira Verona 1.5cm</t>
  </si>
  <si>
    <t>Tira Tulum 7.5cm</t>
  </si>
  <si>
    <t>Tira Cartagena 4cm</t>
  </si>
  <si>
    <t xml:space="preserve">negro </t>
  </si>
  <si>
    <t>blanco</t>
  </si>
  <si>
    <t>rosa</t>
  </si>
  <si>
    <t>CORDONES</t>
  </si>
  <si>
    <t>CORDON STRASS</t>
  </si>
  <si>
    <t>APLIQUE HEBILLA</t>
  </si>
  <si>
    <t>HELIOS PLATA (ADORNO A)</t>
  </si>
  <si>
    <t>HELIOS PELTRE (ADORNO A )</t>
  </si>
  <si>
    <t>KRONOS PLATA (ADORNO B)</t>
  </si>
  <si>
    <t>KRONOS PELTRE ( ADORNO B)</t>
  </si>
  <si>
    <t>APLIQUE DEDO</t>
  </si>
  <si>
    <t>YERSEY CON ESPUMA</t>
  </si>
  <si>
    <t>Jersey c/respaldo</t>
  </si>
  <si>
    <t>Jersey BR</t>
  </si>
  <si>
    <t>SET CON ESPUMA</t>
  </si>
  <si>
    <t>Set c/respaldo</t>
  </si>
  <si>
    <t xml:space="preserve">CINTA </t>
  </si>
  <si>
    <t>CINTA TRANSPARENTE</t>
  </si>
  <si>
    <t>BOLSA</t>
  </si>
  <si>
    <t>BLANCO 30 CM</t>
  </si>
  <si>
    <t>BLANCO 40 CM</t>
  </si>
  <si>
    <t>BLANCO 60 CM</t>
  </si>
  <si>
    <t>PELOTA</t>
  </si>
  <si>
    <t xml:space="preserve">PELOTA SAXS </t>
  </si>
  <si>
    <t>TOTAL PEDIDOS PU</t>
  </si>
  <si>
    <t>DIF</t>
  </si>
  <si>
    <t>DIF 500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</si>
</sst>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;\-#,##0;\-"/>
    <numFmt numFmtId="165" formatCode="dd/mm/yyyy"/>
    <numFmt numFmtId="166" formatCode="0.0"/>
  </numFmts>
  <fonts count="35">
    <font>
      <sz val="11.0"/>
      <color theme="1"/>
      <name val="Aptos Narrow"/>
      <scheme val="minor"/>
    </font>
    <font>
      <sz val="11.0"/>
      <color theme="1"/>
      <name val="Aptos Narrow"/>
    </font>
    <font>
      <b/>
      <sz val="14.0"/>
      <color rgb="FF1F3864"/>
      <name val="Aptos Narrow"/>
    </font>
    <font>
      <i/>
      <sz val="9.0"/>
      <color rgb="FF595959"/>
      <name val="Aptos Narrow"/>
    </font>
    <font>
      <b/>
      <sz val="11.0"/>
      <color rgb="FFFFFFFF"/>
      <name val="Aptos Narrow"/>
    </font>
    <font>
      <b/>
      <sz val="10.0"/>
      <color rgb="FFFFFFFF"/>
      <name val="Aptos Narrow"/>
    </font>
    <font>
      <b/>
      <sz val="11.0"/>
      <color rgb="FF1F3864"/>
      <name val="Aptos Narrow"/>
    </font>
    <font/>
    <font>
      <sz val="10.0"/>
      <color theme="1"/>
      <name val="Aptos Narrow"/>
    </font>
    <font>
      <b/>
      <sz val="10.0"/>
      <color rgb="FF1F3864"/>
      <name val="Aptos Narrow"/>
    </font>
    <font>
      <sz val="10.0"/>
      <color rgb="FF595959"/>
      <name val="Aptos Narrow"/>
    </font>
    <font>
      <b/>
      <sz val="10.0"/>
      <color rgb="FF595959"/>
      <name val="Aptos Narrow"/>
    </font>
    <font>
      <b/>
      <sz val="9.0"/>
      <color theme="1"/>
      <name val="Aptos Narrow"/>
    </font>
    <font>
      <b/>
      <sz val="12.0"/>
      <color rgb="FF1F3864"/>
      <name val="Aptos Narrow"/>
    </font>
    <font>
      <b/>
      <sz val="10.0"/>
      <color rgb="FF0000FF"/>
      <name val="Aptos Narrow"/>
    </font>
    <font>
      <b/>
      <sz val="10.0"/>
      <color rgb="FF595959"/>
      <name val="Arial"/>
    </font>
    <font>
      <i/>
      <sz val="8.0"/>
      <color rgb="FF595959"/>
      <name val="Aptos Narrow"/>
    </font>
    <font>
      <b/>
      <sz val="10.0"/>
      <color theme="1"/>
      <name val="Aptos Narrow"/>
    </font>
    <font>
      <sz val="11.0"/>
      <color theme="1"/>
      <name val="Cambria"/>
    </font>
    <font>
      <sz val="8.0"/>
      <color theme="1"/>
      <name val="Verdana"/>
    </font>
    <font>
      <sz val="9.0"/>
      <color theme="1"/>
      <name val="Aptos Narrow"/>
    </font>
    <font>
      <i/>
      <sz val="11.0"/>
      <color rgb="FF595959"/>
      <name val="Aptos Narrow"/>
    </font>
    <font>
      <b/>
      <sz val="11.0"/>
      <color theme="1"/>
      <name val="Aptos Narrow"/>
    </font>
    <font>
      <sz val="10.0"/>
      <color rgb="FF262626"/>
      <name val="Aptos Narrow"/>
    </font>
    <font>
      <sz val="10.0"/>
      <color rgb="FF000000"/>
      <name val="Aptos Narrow"/>
    </font>
    <font>
      <sz val="9.0"/>
      <color rgb="FF262626"/>
      <name val="Aptos Narrow"/>
    </font>
    <font>
      <sz val="10.0"/>
      <color rgb="FF262626"/>
      <name val="Arial"/>
    </font>
    <font>
      <sz val="11.0"/>
      <color theme="1"/>
      <name val="Arial"/>
    </font>
    <font>
      <i/>
      <sz val="8.0"/>
      <color rgb="FF7F7F7F"/>
      <name val="Aptos Narrow"/>
    </font>
    <font>
      <i/>
      <sz val="10.0"/>
      <color rgb="FFC00000"/>
      <name val="Aptos Narrow"/>
    </font>
    <font>
      <sz val="11.0"/>
      <color rgb="FFFFFF00"/>
      <name val="Aptos Narrow"/>
    </font>
    <font>
      <sz val="11.0"/>
      <color rgb="FFFFFF00"/>
      <name val="Arial"/>
    </font>
    <font>
      <sz val="8.0"/>
      <color rgb="FFFFFFFF"/>
      <name val="Verdana"/>
    </font>
    <font>
      <b/>
      <sz val="8.0"/>
      <color theme="1"/>
      <name val="Verdana"/>
    </font>
    <font>
      <sz val="11.0"/>
      <color rgb="FF000000"/>
      <name val="Aptos Narrow"/>
    </font>
  </fonts>
  <fills count="1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8CBAD"/>
        <bgColor rgb="FFF8CBAD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F5F7FA"/>
        <bgColor rgb="FFF5F7FA"/>
      </patternFill>
    </fill>
    <fill>
      <patternFill patternType="solid">
        <fgColor rgb="FFEDEDED"/>
        <bgColor rgb="FFEDEDED"/>
      </patternFill>
    </fill>
    <fill>
      <patternFill patternType="solid">
        <fgColor rgb="FFFDE9E9"/>
        <bgColor rgb="FFFDE9E9"/>
      </patternFill>
    </fill>
    <fill>
      <patternFill patternType="solid">
        <fgColor rgb="FF2F5496"/>
        <bgColor rgb="FF2F5496"/>
      </patternFill>
    </fill>
    <fill>
      <patternFill patternType="solid">
        <fgColor rgb="FFFF9900"/>
        <bgColor rgb="FFFF9900"/>
      </patternFill>
    </fill>
    <fill>
      <patternFill patternType="solid">
        <fgColor rgb="FFAEAEAE"/>
        <bgColor rgb="FFAEAEAE"/>
      </patternFill>
    </fill>
  </fills>
  <borders count="19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D9D9D9"/>
      </bottom>
    </border>
    <border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/>
    </border>
    <border>
      <left style="thin">
        <color rgb="FFD9D9D9"/>
      </left>
      <right/>
      <top style="thin">
        <color rgb="FFD9D9D9"/>
      </top>
      <bottom style="thin">
        <color rgb="FFD9D9D9"/>
      </bottom>
    </border>
    <border>
      <left/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D9D9D9"/>
      </right>
      <top style="thin">
        <color rgb="FFD9D9D9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</border>
    <border>
      <left/>
      <right/>
      <top style="medium">
        <color rgb="FF1F3864"/>
      </top>
      <bottom style="medium">
        <color rgb="FF1F3864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1" fillId="2" fontId="5" numFmtId="0" xfId="0" applyAlignment="1" applyBorder="1" applyFill="1" applyFont="1">
      <alignment shrinkToFit="0" vertical="bottom" wrapText="0"/>
    </xf>
    <xf borderId="2" fillId="3" fontId="6" numFmtId="0" xfId="0" applyAlignment="1" applyBorder="1" applyFill="1" applyFont="1">
      <alignment horizontal="center" shrinkToFit="0" vertical="bottom" wrapText="0"/>
    </xf>
    <xf borderId="3" fillId="0" fontId="7" numFmtId="0" xfId="0" applyBorder="1" applyFont="1"/>
    <xf borderId="0" fillId="0" fontId="8" numFmtId="0" xfId="0" applyAlignment="1" applyFont="1">
      <alignment shrinkToFit="0" vertical="bottom" wrapText="0"/>
    </xf>
    <xf borderId="4" fillId="0" fontId="7" numFmtId="0" xfId="0" applyBorder="1" applyFont="1"/>
    <xf borderId="0" fillId="0" fontId="1" numFmtId="0" xfId="0" applyAlignment="1" applyFont="1">
      <alignment shrinkToFit="0" vertical="bottom" wrapText="0"/>
    </xf>
    <xf borderId="0" fillId="0" fontId="1" numFmtId="3" xfId="0" applyAlignment="1" applyFont="1" applyNumberFormat="1">
      <alignment shrinkToFit="0" vertical="bottom" wrapText="0"/>
    </xf>
    <xf borderId="5" fillId="4" fontId="9" numFmtId="0" xfId="0" applyAlignment="1" applyBorder="1" applyFill="1" applyFont="1">
      <alignment horizontal="center" shrinkToFit="0" vertical="center" wrapText="0"/>
    </xf>
    <xf borderId="5" fillId="4" fontId="10" numFmtId="0" xfId="0" applyAlignment="1" applyBorder="1" applyFill="1" applyFont="1">
      <alignment horizontal="center" shrinkToFit="0" vertical="center" wrapText="0"/>
    </xf>
    <xf borderId="0" fillId="0" fontId="8" numFmtId="164" xfId="0" applyAlignment="1" applyFont="1" applyNumberFormat="1">
      <alignment shrinkToFit="0" vertical="bottom" wrapText="0"/>
    </xf>
    <xf borderId="5" fillId="4" fontId="11" numFmtId="165" xfId="0" applyAlignment="1" applyBorder="1" applyFill="1" applyFont="1" applyNumberFormat="1">
      <alignment horizontal="center" shrinkToFit="0" vertical="center" wrapText="0"/>
    </xf>
    <xf borderId="5" fillId="5" fontId="11" numFmtId="165" xfId="0" applyAlignment="1" applyBorder="1" applyFill="1" applyFont="1" applyNumberFormat="1">
      <alignment horizontal="center" shrinkToFit="0" vertical="center" wrapText="0"/>
    </xf>
    <xf borderId="5" fillId="4" fontId="11" numFmtId="0" xfId="0" applyAlignment="1" applyBorder="1" applyFill="1" applyFont="1">
      <alignment horizontal="center" shrinkToFit="0" vertical="center" wrapText="0"/>
    </xf>
    <xf borderId="0" fillId="0" fontId="1" numFmtId="164" xfId="0" applyAlignment="1" applyFont="1" applyNumberForma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center" shrinkToFit="0" vertical="center" wrapText="1"/>
    </xf>
    <xf borderId="1" fillId="3" fontId="14" numFmtId="0" xfId="0" applyAlignment="1" applyBorder="1" applyFill="1" applyFont="1">
      <alignment shrinkToFit="0" vertical="bottom" wrapText="0"/>
    </xf>
    <xf borderId="6" fillId="6" fontId="8" numFmtId="0" xfId="0" applyAlignment="1" applyBorder="1" applyFill="1" applyFont="1">
      <alignment shrinkToFit="0" vertical="bottom" wrapText="0"/>
    </xf>
    <xf borderId="7" fillId="0" fontId="8" numFmtId="0" xfId="0" applyAlignment="1" applyBorder="1" applyFont="1">
      <alignment shrinkToFit="0" vertical="bottom" wrapText="0"/>
    </xf>
    <xf borderId="5" fillId="5" fontId="11" numFmtId="0" xfId="0" applyAlignment="1" applyBorder="1" applyFill="1" applyFont="1">
      <alignment horizontal="center" shrinkToFit="0" vertical="center" wrapText="0"/>
    </xf>
    <xf borderId="7" fillId="0" fontId="8" numFmtId="164" xfId="0" applyAlignment="1" applyBorder="1" applyFont="1" applyNumberFormat="1">
      <alignment shrinkToFit="0" vertical="bottom" wrapText="0"/>
    </xf>
    <xf borderId="8" fillId="4" fontId="10" numFmtId="0" xfId="0" applyAlignment="1" applyBorder="1" applyFill="1" applyFont="1">
      <alignment horizontal="center" shrinkToFit="0" vertical="center" wrapText="0"/>
    </xf>
    <xf borderId="8" fillId="4" fontId="15" numFmtId="0" xfId="0" applyAlignment="1" applyBorder="1" applyFill="1" applyFont="1">
      <alignment horizontal="center" shrinkToFit="0" vertical="center" wrapText="0"/>
    </xf>
    <xf borderId="8" fillId="5" fontId="15" numFmtId="0" xfId="0" applyAlignment="1" applyBorder="1" applyFill="1" applyFont="1">
      <alignment horizontal="center" shrinkToFit="0" vertical="center" wrapText="0"/>
    </xf>
    <xf borderId="8" fillId="4" fontId="11" numFmtId="0" xfId="0" applyAlignment="1" applyBorder="1" applyFill="1" applyFont="1">
      <alignment horizontal="center" shrinkToFit="0" vertical="center" wrapText="0"/>
    </xf>
    <xf borderId="0" fillId="0" fontId="16" numFmtId="0" xfId="0" applyAlignment="1" applyFont="1">
      <alignment shrinkToFit="0" vertical="bottom" wrapText="0"/>
    </xf>
    <xf borderId="7" fillId="0" fontId="17" numFmtId="164" xfId="0" applyAlignment="1" applyBorder="1" applyFont="1" applyNumberFormat="1">
      <alignment shrinkToFit="0" vertical="bottom" wrapText="0"/>
    </xf>
    <xf borderId="1" fillId="3" fontId="1" numFmtId="2" xfId="0" applyAlignment="1" applyBorder="1" applyFill="1" applyFont="1" applyNumberFormat="1">
      <alignment shrinkToFit="0" vertical="bottom" wrapText="0"/>
    </xf>
    <xf borderId="7" fillId="0" fontId="8" numFmtId="166" xfId="0" applyAlignment="1" applyBorder="1" applyFont="1" applyNumberFormat="1">
      <alignment shrinkToFit="0" vertical="bottom" wrapText="0"/>
    </xf>
    <xf borderId="5" fillId="3" fontId="1" numFmtId="0" xfId="0" applyAlignment="1" applyBorder="1" applyFill="1" applyFont="1">
      <alignment horizontal="center" shrinkToFit="0" vertical="bottom" wrapText="0"/>
    </xf>
    <xf borderId="5" fillId="3" fontId="18" numFmtId="0" xfId="0" applyAlignment="1" applyBorder="1" applyFill="1" applyFont="1">
      <alignment horizontal="center" shrinkToFit="0" vertical="center" wrapText="1"/>
    </xf>
    <xf borderId="8" fillId="3" fontId="18" numFmtId="0" xfId="0" applyAlignment="1" applyBorder="1" applyFill="1" applyFont="1">
      <alignment horizontal="center" shrinkToFit="0" vertical="center" wrapText="1"/>
    </xf>
    <xf borderId="8" fillId="3" fontId="19" numFmtId="0" xfId="0" applyAlignment="1" applyBorder="1" applyFill="1" applyFont="1">
      <alignment horizontal="center" shrinkToFit="0" vertical="bottom" wrapText="0"/>
    </xf>
    <xf borderId="1" fillId="5" fontId="1" numFmtId="0" xfId="0" applyAlignment="1" applyBorder="1" applyFill="1" applyFont="1">
      <alignment shrinkToFit="0" vertical="bottom" wrapText="0"/>
    </xf>
    <xf borderId="7" fillId="0" fontId="20" numFmtId="0" xfId="0" applyAlignment="1" applyBorder="1" applyFont="1">
      <alignment shrinkToFit="0" vertical="bottom" wrapText="1"/>
    </xf>
    <xf borderId="8" fillId="7" fontId="19" numFmtId="0" xfId="0" applyAlignment="1" applyBorder="1" applyFill="1" applyFont="1">
      <alignment horizontal="center" shrinkToFit="0" vertical="bottom" wrapText="0"/>
    </xf>
    <xf borderId="6" fillId="3" fontId="8" numFmtId="0" xfId="0" applyAlignment="1" applyBorder="1" applyFill="1" applyFont="1">
      <alignment shrinkToFit="0" vertical="bottom" wrapText="0"/>
    </xf>
    <xf borderId="1" fillId="3" fontId="19" numFmtId="0" xfId="0" applyAlignment="1" applyBorder="1" applyFill="1" applyFont="1">
      <alignment horizontal="center" shrinkToFit="0" vertical="bottom" wrapText="0"/>
    </xf>
    <xf borderId="0" fillId="0" fontId="21" numFmtId="0" xfId="0" applyAlignment="1" applyFont="1">
      <alignment horizontal="center" shrinkToFit="0" vertical="bottom" wrapText="0"/>
    </xf>
    <xf borderId="9" fillId="2" fontId="5" numFmtId="0" xfId="0" applyAlignment="1" applyBorder="1" applyFill="1" applyFont="1">
      <alignment horizontal="center" shrinkToFit="0" vertical="center" wrapText="1"/>
    </xf>
    <xf borderId="10" fillId="2" fontId="5" numFmtId="0" xfId="0" applyAlignment="1" applyBorder="1" applyFill="1" applyFont="1">
      <alignment horizontal="center" shrinkToFit="0" vertical="center" wrapText="1"/>
    </xf>
    <xf borderId="1" fillId="8" fontId="22" numFmtId="0" xfId="0" applyAlignment="1" applyBorder="1" applyFill="1" applyFont="1">
      <alignment horizontal="center" shrinkToFit="0" vertical="bottom" wrapText="0"/>
    </xf>
    <xf borderId="1" fillId="2" fontId="4" numFmtId="0" xfId="0" applyAlignment="1" applyBorder="1" applyFill="1" applyFont="1">
      <alignment horizontal="center" shrinkToFit="0" vertical="bottom" wrapText="1"/>
    </xf>
    <xf borderId="9" fillId="9" fontId="23" numFmtId="0" xfId="0" applyAlignment="1" applyBorder="1" applyFill="1" applyFont="1">
      <alignment horizontal="center" shrinkToFit="0" vertical="center" wrapText="0"/>
    </xf>
    <xf borderId="9" fillId="9" fontId="23" numFmtId="0" xfId="0" applyAlignment="1" applyBorder="1" applyFill="1" applyFont="1">
      <alignment horizontal="left" shrinkToFit="0" vertical="center" wrapText="0"/>
    </xf>
    <xf borderId="11" fillId="7" fontId="24" numFmtId="164" xfId="0" applyAlignment="1" applyBorder="1" applyFill="1" applyFont="1" applyNumberFormat="1">
      <alignment horizontal="right" shrinkToFit="0" vertical="center" wrapText="0"/>
    </xf>
    <xf borderId="5" fillId="9" fontId="23" numFmtId="164" xfId="0" applyAlignment="1" applyBorder="1" applyFill="1" applyFont="1" applyNumberFormat="1">
      <alignment horizontal="right" shrinkToFit="0" vertical="center" wrapText="0"/>
    </xf>
    <xf borderId="5" fillId="0" fontId="1" numFmtId="164" xfId="0" applyAlignment="1" applyBorder="1" applyFont="1" applyNumberFormat="1">
      <alignment shrinkToFit="0" vertical="bottom" wrapText="0"/>
    </xf>
    <xf borderId="5" fillId="5" fontId="1" numFmtId="0" xfId="0" applyAlignment="1" applyBorder="1" applyFill="1" applyFont="1">
      <alignment shrinkToFit="0" vertical="bottom" wrapText="0"/>
    </xf>
    <xf borderId="5" fillId="5" fontId="1" numFmtId="164" xfId="0" applyAlignment="1" applyBorder="1" applyFill="1" applyFont="1" applyNumberFormat="1">
      <alignment shrinkToFit="0" vertical="bottom" wrapText="0"/>
    </xf>
    <xf borderId="12" fillId="9" fontId="23" numFmtId="3" xfId="0" applyAlignment="1" applyBorder="1" applyFill="1" applyFont="1" applyNumberFormat="1">
      <alignment horizontal="right" shrinkToFit="0" vertical="center" wrapText="0"/>
    </xf>
    <xf borderId="9" fillId="6" fontId="25" numFmtId="0" xfId="0" applyAlignment="1" applyBorder="1" applyFill="1" applyFont="1">
      <alignment horizontal="left" shrinkToFit="0" vertical="center" wrapText="1"/>
    </xf>
    <xf borderId="13" fillId="0" fontId="19" numFmtId="164" xfId="0" applyAlignment="1" applyBorder="1" applyFont="1" applyNumberFormat="1">
      <alignment horizontal="center" shrinkToFit="0" vertical="bottom" wrapText="0"/>
    </xf>
    <xf borderId="14" fillId="0" fontId="19" numFmtId="3" xfId="0" applyAlignment="1" applyBorder="1" applyFont="1" applyNumberFormat="1">
      <alignment horizontal="center" shrinkToFit="0" vertical="bottom" wrapText="0"/>
    </xf>
    <xf borderId="0" fillId="0" fontId="1" numFmtId="164" xfId="0" applyAlignment="1" applyFont="1" applyNumberFormat="1">
      <alignment horizontal="center" shrinkToFit="0" vertical="bottom" wrapText="0"/>
    </xf>
    <xf borderId="0" fillId="0" fontId="1" numFmtId="166" xfId="0" applyAlignment="1" applyFont="1" applyNumberFormat="1">
      <alignment horizontal="center" shrinkToFit="0" vertical="bottom" wrapText="0"/>
    </xf>
    <xf borderId="0" fillId="0" fontId="20" numFmtId="164" xfId="0" applyAlignment="1" applyFont="1" applyNumberFormat="1">
      <alignment shrinkToFit="0" vertical="bottom" wrapText="0"/>
    </xf>
    <xf borderId="0" fillId="0" fontId="20" numFmtId="0" xfId="0" applyAlignment="1" applyFont="1">
      <alignment shrinkToFit="0" vertical="bottom" wrapText="0"/>
    </xf>
    <xf borderId="9" fillId="5" fontId="23" numFmtId="0" xfId="0" applyAlignment="1" applyBorder="1" applyFill="1" applyFont="1">
      <alignment horizontal="center" shrinkToFit="0" vertical="center" wrapText="0"/>
    </xf>
    <xf borderId="9" fillId="5" fontId="23" numFmtId="0" xfId="0" applyAlignment="1" applyBorder="1" applyFill="1" applyFont="1">
      <alignment horizontal="left" shrinkToFit="0" vertical="center" wrapText="0"/>
    </xf>
    <xf borderId="5" fillId="5" fontId="23" numFmtId="164" xfId="0" applyAlignment="1" applyBorder="1" applyFill="1" applyFont="1" applyNumberFormat="1">
      <alignment horizontal="right" shrinkToFit="0" vertical="center" wrapText="0"/>
    </xf>
    <xf borderId="12" fillId="5" fontId="23" numFmtId="3" xfId="0" applyAlignment="1" applyBorder="1" applyFill="1" applyFont="1" applyNumberFormat="1">
      <alignment horizontal="right" shrinkToFit="0" vertical="center" wrapText="0"/>
    </xf>
    <xf borderId="9" fillId="5" fontId="26" numFmtId="0" xfId="0" applyAlignment="1" applyBorder="1" applyFill="1" applyFont="1">
      <alignment horizontal="left" shrinkToFit="0" vertical="center" wrapText="0"/>
    </xf>
    <xf borderId="5" fillId="5" fontId="27" numFmtId="164" xfId="0" applyAlignment="1" applyBorder="1" applyFill="1" applyFont="1" applyNumberFormat="1">
      <alignment shrinkToFit="0" vertical="bottom" wrapText="0"/>
    </xf>
    <xf borderId="0" fillId="0" fontId="27" numFmtId="0" xfId="0" applyAlignment="1" applyFont="1">
      <alignment horizontal="center" shrinkToFit="0" vertical="bottom" wrapText="0"/>
    </xf>
    <xf borderId="15" fillId="9" fontId="23" numFmtId="3" xfId="0" applyAlignment="1" applyBorder="1" applyFill="1" applyFont="1" applyNumberFormat="1">
      <alignment horizontal="right" shrinkToFit="0" vertical="center" wrapText="0"/>
    </xf>
    <xf borderId="0" fillId="0" fontId="1" numFmtId="3" xfId="0" applyAlignment="1" applyFont="1" applyNumberFormat="1">
      <alignment horizontal="center" shrinkToFit="0" vertical="bottom" wrapText="0"/>
    </xf>
    <xf borderId="5" fillId="5" fontId="23" numFmtId="3" xfId="0" applyAlignment="1" applyBorder="1" applyFill="1" applyFont="1" applyNumberFormat="1">
      <alignment horizontal="right" shrinkToFit="0" vertical="center" wrapText="0"/>
    </xf>
    <xf borderId="5" fillId="9" fontId="23" numFmtId="3" xfId="0" applyAlignment="1" applyBorder="1" applyFill="1" applyFont="1" applyNumberFormat="1">
      <alignment horizontal="right" shrinkToFit="0" vertical="center" wrapText="0"/>
    </xf>
    <xf borderId="6" fillId="7" fontId="8" numFmtId="0" xfId="0" applyAlignment="1" applyBorder="1" applyFill="1" applyFont="1">
      <alignment shrinkToFit="0" vertical="bottom" wrapText="0"/>
    </xf>
    <xf borderId="6" fillId="10" fontId="8" numFmtId="0" xfId="0" applyAlignment="1" applyBorder="1" applyFill="1" applyFont="1">
      <alignment shrinkToFit="0" vertical="bottom" wrapText="0"/>
    </xf>
    <xf borderId="9" fillId="9" fontId="26" numFmtId="0" xfId="0" applyAlignment="1" applyBorder="1" applyFill="1" applyFont="1">
      <alignment horizontal="left" shrinkToFit="0" vertical="center" wrapText="0"/>
    </xf>
    <xf borderId="0" fillId="0" fontId="19" numFmtId="3" xfId="0" applyAlignment="1" applyFont="1" applyNumberFormat="1">
      <alignment horizontal="center" shrinkToFit="0" vertical="bottom" wrapText="0"/>
    </xf>
    <xf borderId="16" fillId="3" fontId="19" numFmtId="3" xfId="0" applyAlignment="1" applyBorder="1" applyFill="1" applyFont="1" applyNumberFormat="1">
      <alignment horizontal="center" shrinkToFit="0" vertical="bottom" wrapText="0"/>
    </xf>
    <xf borderId="17" fillId="0" fontId="19" numFmtId="3" xfId="0" applyAlignment="1" applyBorder="1" applyFont="1" applyNumberFormat="1">
      <alignment horizontal="center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4" xfId="0" applyAlignment="1" applyFont="1" applyNumberFormat="1">
      <alignment shrinkToFit="0" vertical="bottom" wrapText="0"/>
    </xf>
    <xf borderId="5" fillId="5" fontId="26" numFmtId="3" xfId="0" applyAlignment="1" applyBorder="1" applyFill="1" applyFont="1" applyNumberFormat="1">
      <alignment horizontal="right" shrinkToFit="0" vertical="center" wrapText="0"/>
    </xf>
    <xf borderId="5" fillId="9" fontId="26" numFmtId="3" xfId="0" applyAlignment="1" applyBorder="1" applyFill="1" applyFont="1" applyNumberFormat="1">
      <alignment horizontal="right" shrinkToFit="0" vertical="center" wrapText="0"/>
    </xf>
    <xf borderId="5" fillId="9" fontId="28" numFmtId="3" xfId="0" applyAlignment="1" applyBorder="1" applyFill="1" applyFont="1" applyNumberFormat="1">
      <alignment horizontal="right" shrinkToFit="0" vertical="center" wrapText="0"/>
    </xf>
    <xf borderId="5" fillId="5" fontId="28" numFmtId="3" xfId="0" applyAlignment="1" applyBorder="1" applyFill="1" applyFont="1" applyNumberFormat="1">
      <alignment horizontal="right" shrinkToFit="0" vertical="center" wrapText="0"/>
    </xf>
    <xf borderId="9" fillId="11" fontId="29" numFmtId="0" xfId="0" applyAlignment="1" applyBorder="1" applyFill="1" applyFont="1">
      <alignment horizontal="center" shrinkToFit="0" vertical="center" wrapText="0"/>
    </xf>
    <xf borderId="0" fillId="0" fontId="27" numFmtId="3" xfId="0" applyAlignment="1" applyFont="1" applyNumberFormat="1">
      <alignment horizontal="center" shrinkToFit="0" vertical="bottom" wrapText="0"/>
    </xf>
    <xf borderId="5" fillId="5" fontId="30" numFmtId="164" xfId="0" applyAlignment="1" applyBorder="1" applyFill="1" applyFont="1" applyNumberFormat="1">
      <alignment shrinkToFit="0" vertical="bottom" wrapText="0"/>
    </xf>
    <xf borderId="5" fillId="5" fontId="31" numFmtId="164" xfId="0" applyAlignment="1" applyBorder="1" applyFill="1" applyFont="1" applyNumberFormat="1">
      <alignment shrinkToFit="0" vertical="bottom" wrapText="0"/>
    </xf>
    <xf borderId="5" fillId="5" fontId="19" numFmtId="164" xfId="0" applyAlignment="1" applyBorder="1" applyFill="1" applyFont="1" applyNumberFormat="1">
      <alignment horizontal="center" shrinkToFit="0" vertical="bottom" wrapText="0"/>
    </xf>
    <xf borderId="14" fillId="0" fontId="19" numFmtId="0" xfId="0" applyAlignment="1" applyBorder="1" applyFont="1">
      <alignment horizontal="center" shrinkToFit="0" vertical="bottom" wrapText="0"/>
    </xf>
    <xf borderId="5" fillId="5" fontId="23" numFmtId="0" xfId="0" applyAlignment="1" applyBorder="1" applyFill="1" applyFont="1">
      <alignment horizontal="right" shrinkToFit="0" vertical="center" wrapText="0"/>
    </xf>
    <xf borderId="5" fillId="9" fontId="23" numFmtId="0" xfId="0" applyAlignment="1" applyBorder="1" applyFill="1" applyFont="1">
      <alignment horizontal="right" shrinkToFit="0" vertical="center" wrapText="0"/>
    </xf>
    <xf borderId="9" fillId="9" fontId="23" numFmtId="0" xfId="0" applyAlignment="1" applyBorder="1" applyFill="1" applyFont="1">
      <alignment horizontal="left" shrinkToFit="0" vertical="center" wrapText="1"/>
    </xf>
    <xf borderId="9" fillId="5" fontId="23" numFmtId="0" xfId="0" applyAlignment="1" applyBorder="1" applyFill="1" applyFont="1">
      <alignment horizontal="left" shrinkToFit="0" vertical="center" wrapText="1"/>
    </xf>
    <xf borderId="5" fillId="3" fontId="27" numFmtId="164" xfId="0" applyAlignment="1" applyBorder="1" applyFill="1" applyFont="1" applyNumberFormat="1">
      <alignment shrinkToFit="0" vertical="bottom" wrapText="0"/>
    </xf>
    <xf borderId="5" fillId="0" fontId="32" numFmtId="164" xfId="0" applyAlignment="1" applyBorder="1" applyFont="1" applyNumberFormat="1">
      <alignment horizontal="center" shrinkToFit="0" vertical="bottom" wrapText="0"/>
    </xf>
    <xf borderId="5" fillId="5" fontId="32" numFmtId="164" xfId="0" applyAlignment="1" applyBorder="1" applyFill="1" applyFont="1" applyNumberFormat="1">
      <alignment horizontal="center" shrinkToFit="0" vertical="bottom" wrapText="0"/>
    </xf>
    <xf borderId="5" fillId="5" fontId="33" numFmtId="164" xfId="0" applyAlignment="1" applyBorder="1" applyFill="1" applyFont="1" applyNumberFormat="1">
      <alignment horizontal="center" shrinkToFit="0" vertical="bottom" wrapText="0"/>
    </xf>
    <xf borderId="5" fillId="0" fontId="1" numFmtId="3" xfId="0" applyAlignment="1" applyBorder="1" applyFont="1" applyNumberFormat="1">
      <alignment shrinkToFit="0" vertical="bottom" wrapText="0"/>
    </xf>
    <xf borderId="5" fillId="0" fontId="19" numFmtId="164" xfId="0" applyAlignment="1" applyBorder="1" applyFont="1" applyNumberFormat="1">
      <alignment horizontal="center" shrinkToFit="0" vertical="bottom" wrapText="0"/>
    </xf>
    <xf borderId="0" fillId="0" fontId="1" numFmtId="166" xfId="0" applyAlignment="1" applyFont="1" applyNumberFormat="1">
      <alignment shrinkToFit="0" vertical="bottom" wrapText="0"/>
    </xf>
    <xf borderId="18" fillId="12" fontId="5" numFmtId="0" xfId="0" applyAlignment="1" applyBorder="1" applyFill="1" applyFont="1">
      <alignment horizontal="left" shrinkToFit="0" vertical="center" wrapText="0"/>
    </xf>
    <xf borderId="18" fillId="12" fontId="22" numFmtId="164" xfId="0" applyAlignment="1" applyBorder="1" applyFill="1" applyFont="1" applyNumberFormat="1">
      <alignment horizontal="right" shrinkToFit="0" vertical="center" wrapText="0"/>
    </xf>
    <xf borderId="5" fillId="13" fontId="22" numFmtId="164" xfId="0" applyAlignment="1" applyBorder="1" applyFill="1" applyFont="1" applyNumberFormat="1">
      <alignment horizontal="right" shrinkToFit="0" vertical="center" wrapText="0"/>
    </xf>
    <xf borderId="5" fillId="13" fontId="22" numFmtId="164" xfId="0" applyAlignment="1" applyBorder="1" applyFill="1" applyFont="1" applyNumberFormat="1">
      <alignment shrinkToFit="0" vertical="bottom" wrapText="0"/>
    </xf>
    <xf borderId="1" fillId="13" fontId="22" numFmtId="164" xfId="0" applyAlignment="1" applyBorder="1" applyFill="1" applyFont="1" applyNumberFormat="1">
      <alignment shrinkToFit="0" vertical="bottom" wrapText="0"/>
    </xf>
    <xf borderId="5" fillId="14" fontId="22" numFmtId="164" xfId="0" applyAlignment="1" applyBorder="1" applyFill="1" applyFont="1" applyNumberFormat="1">
      <alignment horizontal="center" shrinkToFit="0" vertical="bottom" wrapText="0"/>
    </xf>
    <xf borderId="1" fillId="5" fontId="1" numFmtId="0" xfId="0" applyAlignment="1" applyBorder="1" applyFill="1" applyFont="1">
      <alignment horizontal="center" shrinkToFit="0" vertical="bottom" wrapText="0"/>
    </xf>
    <xf borderId="1" fillId="5" fontId="27" numFmtId="0" xfId="0" applyAlignment="1" applyBorder="1" applyFill="1" applyFont="1">
      <alignment shrinkToFit="0" vertical="bottom" wrapText="0"/>
    </xf>
    <xf borderId="1" fillId="7" fontId="1" numFmtId="0" xfId="0" applyAlignment="1" applyBorder="1" applyFill="1" applyFont="1">
      <alignment horizontal="center" shrinkToFit="0" vertical="bottom" wrapText="0"/>
    </xf>
    <xf borderId="1" fillId="7" fontId="34" numFmtId="0" xfId="0" applyAlignment="1" applyBorder="1" applyFill="1" applyFont="1">
      <alignment horizontal="center" shrinkToFit="0" vertical="bottom" wrapText="0"/>
    </xf>
  </cellXfs>
  <cellStyles count="1">
    <cellStyle xfId="0" name="Normal" builtinId="0"/>
  </cellStyles>
  <dxfs count="7">
    <dxf>
      <font>
        <b/>
        <color rgb="FFC00000"/>
      </font>
      <fill>
        <patternFill patternType="none"/>
      </fill>
      <border/>
    </dxf>
    <dxf>
      <font/>
      <fill>
        <patternFill patternType="solid">
          <fgColor rgb="FFF8CBAD"/>
          <bgColor rgb="FFF8CBAD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  <dxf>
      <font/>
      <fill>
        <patternFill patternType="solid">
          <fgColor rgb="FFC6E0B4"/>
          <bgColor rgb="FFC6E0B4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DEBF7"/>
          <bgColor rgb="FFDDEBF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showGridLines="0"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2.63" defaultRowHeight="15.0"/>
  <cols>
    <col customWidth="1" min="1" max="1" width="16.88"/>
    <col customWidth="1" min="2" max="2" width="19.88"/>
    <col customWidth="1" min="3" max="3" width="19.75"/>
    <col customWidth="1" min="4" max="4" width="15.88"/>
    <col customWidth="1" min="5" max="5" width="9.38"/>
    <col customWidth="1" min="6" max="6" width="13.0"/>
    <col customWidth="1" min="7" max="7" width="12.25"/>
    <col customWidth="1" min="8" max="8" width="12.38"/>
    <col customWidth="1" min="9" max="9" width="12.13"/>
    <col customWidth="1" min="10" max="13" width="11.0"/>
    <col customWidth="1" min="15" max="15" width="60.0"/>
    <col customWidth="1" min="16" max="16" width="12.0"/>
    <col customWidth="1" min="17" max="17" width="82.5"/>
    <col customWidth="1" min="18" max="18" width="12.75"/>
    <col customWidth="1" min="19" max="19" width="10.63"/>
    <col customWidth="1" min="24" max="33" width="14.0"/>
    <col customWidth="1" min="34" max="34" width="13.0"/>
  </cols>
  <sheetData>
    <row r="1" ht="13.5" customHeight="1">
      <c r="A1" s="1"/>
      <c r="B1" s="1"/>
      <c r="C1" s="1"/>
      <c r="D1" s="1"/>
      <c r="E1" s="1"/>
      <c r="F1" s="6" t="s">
        <v>3</v>
      </c>
      <c r="G1" s="7"/>
      <c r="H1" s="7"/>
      <c r="I1" s="7"/>
      <c r="J1" s="7"/>
      <c r="K1" s="7"/>
      <c r="L1" s="7"/>
      <c r="M1" s="7"/>
      <c r="N1" s="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0"/>
      <c r="AB1" s="10"/>
      <c r="AC1" s="10"/>
      <c r="AD1" s="10"/>
      <c r="AE1" s="10"/>
      <c r="AF1" s="10"/>
      <c r="AG1" s="10"/>
    </row>
    <row r="2" ht="13.5" customHeight="1">
      <c r="A2" s="12" t="s">
        <v>21</v>
      </c>
      <c r="B2" s="13"/>
      <c r="C2" s="13"/>
      <c r="D2" s="13"/>
      <c r="E2" s="13"/>
      <c r="F2" s="15">
        <v>46253.0</v>
      </c>
      <c r="G2" s="15">
        <v>46293.0</v>
      </c>
      <c r="H2" s="15">
        <v>46293.0</v>
      </c>
      <c r="I2" s="15"/>
      <c r="J2" s="15"/>
      <c r="K2" s="15"/>
      <c r="L2" s="16"/>
      <c r="M2" s="15"/>
      <c r="N2" s="17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0"/>
      <c r="AB2" s="10"/>
      <c r="AC2" s="10"/>
      <c r="AD2" s="10"/>
      <c r="AE2" s="10"/>
      <c r="AF2" s="10"/>
      <c r="AG2" s="10"/>
    </row>
    <row r="3" ht="13.5" customHeight="1">
      <c r="A3" s="12" t="s">
        <v>30</v>
      </c>
      <c r="B3" s="13"/>
      <c r="C3" s="13"/>
      <c r="D3" s="13"/>
      <c r="E3" s="13"/>
      <c r="F3" s="15">
        <v>46294.0</v>
      </c>
      <c r="G3" s="15">
        <v>46332.0</v>
      </c>
      <c r="H3" s="15">
        <v>46332.0</v>
      </c>
      <c r="I3" s="15"/>
      <c r="J3" s="15"/>
      <c r="K3" s="15"/>
      <c r="L3" s="16"/>
      <c r="M3" s="15"/>
      <c r="N3" s="1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0"/>
      <c r="AB3" s="10"/>
      <c r="AC3" s="19" t="s">
        <v>35</v>
      </c>
      <c r="AD3" s="22" t="s">
        <v>77</v>
      </c>
      <c r="AE3" s="10"/>
      <c r="AF3" s="10"/>
      <c r="AG3" s="10"/>
    </row>
    <row r="4" ht="13.5" customHeight="1">
      <c r="A4" s="12" t="s">
        <v>80</v>
      </c>
      <c r="B4" s="13"/>
      <c r="C4" s="13"/>
      <c r="D4" s="13"/>
      <c r="E4" s="13"/>
      <c r="F4" s="17">
        <v>17035.0</v>
      </c>
      <c r="G4" s="17">
        <v>17106.0</v>
      </c>
      <c r="H4" s="17">
        <v>17107.0</v>
      </c>
      <c r="I4" s="17" t="s">
        <v>83</v>
      </c>
      <c r="J4" s="17" t="s">
        <v>83</v>
      </c>
      <c r="K4" s="17" t="s">
        <v>83</v>
      </c>
      <c r="L4" s="25" t="s">
        <v>83</v>
      </c>
      <c r="M4" s="17" t="s">
        <v>83</v>
      </c>
      <c r="N4" s="17" t="s">
        <v>83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0"/>
      <c r="AB4" s="10"/>
      <c r="AC4" s="19" t="s">
        <v>90</v>
      </c>
      <c r="AD4" s="10"/>
      <c r="AE4" s="10"/>
      <c r="AF4" s="10"/>
      <c r="AG4" s="10"/>
    </row>
    <row r="5" ht="13.5" customHeight="1">
      <c r="A5" s="12" t="s">
        <v>91</v>
      </c>
      <c r="B5" s="13"/>
      <c r="C5" s="13"/>
      <c r="D5" s="27"/>
      <c r="E5" s="27"/>
      <c r="F5" s="28" t="s">
        <v>96</v>
      </c>
      <c r="G5" s="28" t="s">
        <v>96</v>
      </c>
      <c r="H5" s="28" t="s">
        <v>96</v>
      </c>
      <c r="I5" s="28" t="s">
        <v>96</v>
      </c>
      <c r="J5" s="28" t="s">
        <v>96</v>
      </c>
      <c r="K5" s="28" t="s">
        <v>96</v>
      </c>
      <c r="L5" s="29" t="s">
        <v>96</v>
      </c>
      <c r="M5" s="28" t="s">
        <v>96</v>
      </c>
      <c r="N5" s="30" t="s">
        <v>96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0"/>
      <c r="AB5" s="10"/>
      <c r="AC5" s="31" t="s">
        <v>105</v>
      </c>
      <c r="AD5" s="33">
        <f>MAX(0,ROUND(($G$3-TODAY())/30.4,2))</f>
        <v>0.53</v>
      </c>
      <c r="AE5" s="10"/>
      <c r="AF5" s="10"/>
      <c r="AG5" s="10"/>
    </row>
    <row r="6" ht="13.5" customHeight="1">
      <c r="A6" s="35"/>
      <c r="B6" s="36"/>
      <c r="C6" s="36"/>
      <c r="D6" s="37"/>
      <c r="E6" s="38"/>
      <c r="F6" s="38"/>
      <c r="G6" s="10"/>
      <c r="H6" s="39"/>
      <c r="I6" s="39"/>
      <c r="J6" s="10"/>
      <c r="K6" s="10"/>
      <c r="L6" s="39"/>
      <c r="M6" s="10"/>
      <c r="N6" s="41"/>
      <c r="O6" s="43"/>
      <c r="P6" s="43"/>
      <c r="Q6" s="1"/>
      <c r="R6" s="1"/>
      <c r="S6" s="1"/>
      <c r="T6" s="1"/>
      <c r="U6" s="1"/>
      <c r="V6" s="1"/>
      <c r="W6" s="1"/>
      <c r="X6" s="44" t="s">
        <v>140</v>
      </c>
      <c r="Y6" s="1"/>
      <c r="Z6" s="1"/>
      <c r="AA6" s="10"/>
      <c r="AB6" s="10"/>
      <c r="AC6" s="10"/>
      <c r="AD6" s="10"/>
      <c r="AE6" s="10"/>
      <c r="AF6" s="10"/>
      <c r="AG6" s="10"/>
    </row>
    <row r="7" ht="30.0" customHeight="1">
      <c r="A7" s="45" t="s">
        <v>1</v>
      </c>
      <c r="B7" s="45" t="s">
        <v>145</v>
      </c>
      <c r="C7" s="45" t="s">
        <v>146</v>
      </c>
      <c r="D7" s="45" t="s">
        <v>147</v>
      </c>
      <c r="E7" s="45" t="s">
        <v>148</v>
      </c>
      <c r="F7" s="46" t="s">
        <v>149</v>
      </c>
      <c r="G7" s="47" t="s">
        <v>149</v>
      </c>
      <c r="H7" s="47" t="s">
        <v>149</v>
      </c>
      <c r="I7" s="47" t="s">
        <v>149</v>
      </c>
      <c r="J7" s="47" t="s">
        <v>149</v>
      </c>
      <c r="K7" s="47" t="s">
        <v>149</v>
      </c>
      <c r="L7" s="47" t="s">
        <v>149</v>
      </c>
      <c r="M7" s="47" t="s">
        <v>149</v>
      </c>
      <c r="N7" s="45" t="s">
        <v>149</v>
      </c>
      <c r="O7" s="45" t="s">
        <v>162</v>
      </c>
      <c r="P7" s="45" t="s">
        <v>17</v>
      </c>
      <c r="Q7" s="1"/>
      <c r="R7" s="1"/>
      <c r="S7" s="1"/>
      <c r="T7" s="1"/>
      <c r="U7" s="1"/>
      <c r="V7" s="1"/>
      <c r="W7" s="1"/>
      <c r="X7" s="48" t="s">
        <v>163</v>
      </c>
      <c r="Y7" s="48" t="s">
        <v>166</v>
      </c>
      <c r="Z7" s="48" t="s">
        <v>167</v>
      </c>
      <c r="AA7" s="48" t="s">
        <v>168</v>
      </c>
      <c r="AB7" s="21" t="s">
        <v>169</v>
      </c>
      <c r="AC7" s="21" t="s">
        <v>171</v>
      </c>
      <c r="AD7" s="21" t="s">
        <v>173</v>
      </c>
      <c r="AE7" s="21" t="s">
        <v>174</v>
      </c>
      <c r="AF7" s="21" t="s">
        <v>175</v>
      </c>
      <c r="AG7" s="21" t="s">
        <v>176</v>
      </c>
      <c r="AH7" s="21" t="s">
        <v>177</v>
      </c>
    </row>
    <row r="8" ht="13.5" customHeight="1">
      <c r="A8" s="49" t="s">
        <v>179</v>
      </c>
      <c r="B8" s="50" t="s">
        <v>183</v>
      </c>
      <c r="C8" s="50" t="s">
        <v>184</v>
      </c>
      <c r="D8" s="50" t="s">
        <v>185</v>
      </c>
      <c r="E8" s="51">
        <v>10430.0</v>
      </c>
      <c r="F8" s="52"/>
      <c r="G8" s="53"/>
      <c r="H8" s="54"/>
      <c r="I8" s="55"/>
      <c r="J8" s="53"/>
      <c r="K8" s="53">
        <v>9000.0</v>
      </c>
      <c r="L8" s="55">
        <v>5000.0</v>
      </c>
      <c r="M8" s="53"/>
      <c r="N8" s="56"/>
      <c r="O8" s="57" t="str">
        <f t="shared" ref="O8:O669" si="1">IF(A8="","SIN SKU — cargar código para calcular",IF(X8="","SIN HISTORIAL DE VENTAS — artículo nuevo o código distinto en Ventas",IF(X8=0,IF(P8&gt;0,"SIN VENTAS Jun-Sep — no comprar ("&amp;TEXT(P8,"#,##0")&amp;" m disponibles)","SIN VENTAS Jun-Sep — no comprar"),IF(AA8&gt;0.1*Y8,"COMPRAR — faltan "&amp;TEXT(AA8,"#,##0")&amp;" m para 4 meses"&amp;IF(P8-E8&gt;0," (ya contando pedidos)",""),IF(AND(-AA8&gt;0.1*Y8,SUM(I8:M8)+IF($AD$3="SI",SUM(N8),0)&gt;0),"PEDIR MENOS — sobran "&amp;TEXT(-AA8,"#,##0")&amp;" m; revisar pedidos sin facturar ("&amp;TEXT(SUM(I8:M8)+IF($AD$3="SI",SUM(N8),0),"#,##0")&amp;" m)",IF(Z8&gt;8,"SOBRESTOCK — "&amp;TEXT(Z8,"0.0")&amp;" meses de cobertura","OK — cubierto ("&amp;TEXT(Z8,"0.0")&amp;" meses)"))))))</f>
        <v>PEDIR MENOS — sobran 3,623 m; revisar pedidos sin facturar (14,000 m)</v>
      </c>
      <c r="P8" s="58">
        <f t="shared" ref="P8:P669" si="2">E8+N(F8)+SUM(G8:M8)+IF($AD$3="SI",SUM(N8),0)</f>
        <v>24430</v>
      </c>
      <c r="Q8" s="59">
        <v>10000.0</v>
      </c>
      <c r="R8" s="1"/>
      <c r="S8" s="1"/>
      <c r="T8" s="1"/>
      <c r="U8" s="1"/>
      <c r="V8" s="1"/>
      <c r="W8" s="1"/>
      <c r="X8" s="60">
        <f>IFERROR(VLOOKUP($A8,Ventas!$A$2:$L$5000,12,FALSE()),"")</f>
        <v>5201.75</v>
      </c>
      <c r="Y8" s="60">
        <f t="shared" ref="Y8:Y669" si="3">IF(X8="","",ROUND(X8*4,0))</f>
        <v>20807</v>
      </c>
      <c r="Z8" s="61">
        <f t="shared" ref="Z8:Z669" si="4">IF(OR(X8="",X8=0),"",ROUND(P8/X8,1))</f>
        <v>4.7</v>
      </c>
      <c r="AA8" s="60">
        <f t="shared" ref="AA8:AA669" si="5">IF(Y8="","",Y8-P8)</f>
        <v>-3623</v>
      </c>
      <c r="AB8" s="62" t="str">
        <f t="shared" ref="AB8:AB669" si="6">IF(A8="","",IF(COUNTIF($A$8:$A$670,A8)&gt;1,"DUPLICADO",""))</f>
        <v/>
      </c>
      <c r="AC8" s="62" t="str">
        <f t="array" ref="AC8">IF(AH8&lt;&gt;"COMPRAR","",IF(MAX(INDEX(Ventas!$G$2:$G$5000,MATCH($A8,Ventas!$A$2:$A$5000,0)),INDEX(Ventas!$H$2:$H$5000,MATCH($A8,Ventas!$A$2:$A$5000,0)),INDEX(Ventas!$I$2:$I$5000,MATCH($A8,Ventas!$A$2:$A$5000,0)),INDEX(Ventas!$J$2:$J$5000,MATCH($A8,Ventas!$A$2:$A$5000,0)))&gt;0.5*AF8*4,"1 mes = "&amp;TEXT(MAX(INDEX(Ventas!$G$2:$G$5000,MATCH($A8,Ventas!$A$2:$A$5000,0)),INDEX(Ventas!$H$2:$H$5000,MATCH($A8,Ventas!$A$2:$A$5000,0)),INDEX(Ventas!$I$2:$I$5000,MATCH($A8,Ventas!$A$2:$A$5000,0)),INDEX(Ventas!$J$2:$J$5000,MATCH($A8,Ventas!$A$2:$A$5000,0)))/(AF8*4),"0%")&amp;" de 4 meses",""))</f>
        <v/>
      </c>
      <c r="AD8" s="62" t="str">
        <f t="shared" ref="AD8:AD669" si="7">IF(OR(X8="",X8=0),"",IF(E8+N(F8)&lt;X8*$AD$5,"SÍ — "&amp;TEXT(E8+N(F8),"#,##0")&amp;" m vs "&amp;TEXT(X8*$AD$5,"#,##0")&amp;" m",""))</f>
        <v/>
      </c>
      <c r="AE8" s="62" t="str">
        <f t="array" ref="AE8">IF(X8="","",IF(AND(E8=0,AVERAGE(INDEX(Ventas!$C$2:$I$5000,MATCH($A8,Ventas!$A$2:$A$5000,0),0))&gt;0,INDEX(Ventas!$J$2:$J$5000,MATCH($A8,Ventas!$A$2:$A$5000,0))&lt;0.5*AVERAGE(INDEX(Ventas!$C$2:$I$5000,MATCH($A8,Ventas!$A$2:$A$5000,0),0))),"SÍ — stock 0 y Sep cayó (prom Feb-Ago "&amp;TEXT(AVERAGE(INDEX(Ventas!$C$2:$I$5000,MATCH($A8,Ventas!$A$2:$A$5000,0),0)),"#,##0")&amp;")",""))</f>
        <v/>
      </c>
      <c r="AF8" s="60">
        <f t="array" ref="AF8">IF(X8="","",IF(AE8&lt;&gt;"",MAX(X8,AVERAGE(INDEX(Ventas!$C$2:$I$5000,MATCH($A8,Ventas!$A$2:$A$5000,0),0))),X8))</f>
        <v>5201.75</v>
      </c>
      <c r="AG8" s="60">
        <f t="shared" ref="AG8:AG669" si="8">IF(AF8="","",ROUND(AF8*4,0)-P8)</f>
        <v>-3623</v>
      </c>
      <c r="AH8" s="63" t="str">
        <f t="shared" ref="AH8:AH669" si="9">IF(A8="","",IF(AF8="","SIN HISTORIAL",IF(AF8=0,"SIN VENTAS",IF(AG8&gt;0.1*ROUND(AF8*4,0),"COMPRAR",IF(AND(-AG8&gt;0.1*ROUND(AF8*4,0),SUM(I8:M8)+IF($AD$3="SI",SUM(N8),0)&gt;0),"PEDIR MENOS",IF(P8/AF8&gt;8,"SOBRESTOCK","OK"))))))</f>
        <v>PEDIR MENOS</v>
      </c>
    </row>
    <row r="9" ht="13.5" customHeight="1">
      <c r="A9" s="64" t="s">
        <v>332</v>
      </c>
      <c r="B9" s="65" t="s">
        <v>183</v>
      </c>
      <c r="C9" s="65" t="s">
        <v>184</v>
      </c>
      <c r="D9" s="65" t="s">
        <v>336</v>
      </c>
      <c r="E9" s="51">
        <v>200.0</v>
      </c>
      <c r="F9" s="66"/>
      <c r="G9" s="53"/>
      <c r="H9" s="55">
        <v>2033.0</v>
      </c>
      <c r="I9" s="55"/>
      <c r="J9" s="53"/>
      <c r="K9" s="53">
        <v>2000.0</v>
      </c>
      <c r="L9" s="55"/>
      <c r="M9" s="53"/>
      <c r="N9" s="67"/>
      <c r="O9" s="57" t="str">
        <f t="shared" si="1"/>
        <v>PEDIR MENOS — sobran 522 m; revisar pedidos sin facturar (2,000 m)</v>
      </c>
      <c r="P9" s="58">
        <f t="shared" si="2"/>
        <v>4233</v>
      </c>
      <c r="Q9" s="1"/>
      <c r="R9" s="1"/>
      <c r="S9" s="1"/>
      <c r="T9" s="1"/>
      <c r="U9" s="1"/>
      <c r="V9" s="1"/>
      <c r="W9" s="1"/>
      <c r="X9" s="60">
        <f>IFERROR(VLOOKUP($A9,Ventas!$A$2:$L$5000,12,FALSE()),"")</f>
        <v>927.75</v>
      </c>
      <c r="Y9" s="60">
        <f t="shared" si="3"/>
        <v>3711</v>
      </c>
      <c r="Z9" s="61">
        <f t="shared" si="4"/>
        <v>4.6</v>
      </c>
      <c r="AA9" s="60">
        <f t="shared" si="5"/>
        <v>-522</v>
      </c>
      <c r="AB9" s="62" t="str">
        <f t="shared" si="6"/>
        <v/>
      </c>
      <c r="AC9" s="62" t="str">
        <f t="array" ref="AC9">IF(AH9&lt;&gt;"COMPRAR","",IF(MAX(INDEX(Ventas!$G$2:$G$5000,MATCH($A9,Ventas!$A$2:$A$5000,0)),INDEX(Ventas!$H$2:$H$5000,MATCH($A9,Ventas!$A$2:$A$5000,0)),INDEX(Ventas!$I$2:$I$5000,MATCH($A9,Ventas!$A$2:$A$5000,0)),INDEX(Ventas!$J$2:$J$5000,MATCH($A9,Ventas!$A$2:$A$5000,0)))&gt;0.5*AF9*4,"1 mes = "&amp;TEXT(MAX(INDEX(Ventas!$G$2:$G$5000,MATCH($A9,Ventas!$A$2:$A$5000,0)),INDEX(Ventas!$H$2:$H$5000,MATCH($A9,Ventas!$A$2:$A$5000,0)),INDEX(Ventas!$I$2:$I$5000,MATCH($A9,Ventas!$A$2:$A$5000,0)),INDEX(Ventas!$J$2:$J$5000,MATCH($A9,Ventas!$A$2:$A$5000,0)))/(AF9*4),"0%")&amp;" de 4 meses",""))</f>
        <v/>
      </c>
      <c r="AD9" s="62" t="str">
        <f t="shared" si="7"/>
        <v>SÍ — 200 m vs 492 m</v>
      </c>
      <c r="AE9" s="62" t="str">
        <f t="array" ref="AE9">IF(X9="","",IF(AND(E9=0,AVERAGE(INDEX(Ventas!$C$2:$I$5000,MATCH($A9,Ventas!$A$2:$A$5000,0),0))&gt;0,INDEX(Ventas!$J$2:$J$5000,MATCH($A9,Ventas!$A$2:$A$5000,0))&lt;0.5*AVERAGE(INDEX(Ventas!$C$2:$I$5000,MATCH($A9,Ventas!$A$2:$A$5000,0),0))),"SÍ — stock 0 y Sep cayó (prom Feb-Ago "&amp;TEXT(AVERAGE(INDEX(Ventas!$C$2:$I$5000,MATCH($A9,Ventas!$A$2:$A$5000,0),0)),"#,##0")&amp;")",""))</f>
        <v/>
      </c>
      <c r="AF9" s="60">
        <f t="array" ref="AF9">IF(X9="","",IF(AE9&lt;&gt;"",MAX(X9,AVERAGE(INDEX(Ventas!$C$2:$I$5000,MATCH($A9,Ventas!$A$2:$A$5000,0),0))),X9))</f>
        <v>927.75</v>
      </c>
      <c r="AG9" s="60">
        <f t="shared" si="8"/>
        <v>-522</v>
      </c>
      <c r="AH9" s="63" t="str">
        <f t="shared" si="9"/>
        <v>PEDIR MENOS</v>
      </c>
    </row>
    <row r="10" ht="13.5" customHeight="1">
      <c r="A10" s="49" t="s">
        <v>404</v>
      </c>
      <c r="B10" s="50" t="s">
        <v>183</v>
      </c>
      <c r="C10" s="50" t="s">
        <v>184</v>
      </c>
      <c r="D10" s="50" t="s">
        <v>405</v>
      </c>
      <c r="E10" s="51">
        <v>1120.0</v>
      </c>
      <c r="F10" s="52"/>
      <c r="G10" s="53"/>
      <c r="H10" s="54"/>
      <c r="I10" s="55"/>
      <c r="J10" s="53"/>
      <c r="K10" s="53"/>
      <c r="L10" s="55"/>
      <c r="M10" s="53"/>
      <c r="N10" s="56"/>
      <c r="O10" s="57" t="str">
        <f t="shared" si="1"/>
        <v>OK — cubierto (7.0 meses)</v>
      </c>
      <c r="P10" s="58">
        <f t="shared" si="2"/>
        <v>1120</v>
      </c>
      <c r="Q10" s="1"/>
      <c r="R10" s="1"/>
      <c r="S10" s="1"/>
      <c r="T10" s="1"/>
      <c r="U10" s="1"/>
      <c r="V10" s="1"/>
      <c r="W10" s="1"/>
      <c r="X10" s="60">
        <f>IFERROR(VLOOKUP($A10,Ventas!$A$2:$L$5000,12,FALSE()),"")</f>
        <v>160.75</v>
      </c>
      <c r="Y10" s="60">
        <f t="shared" si="3"/>
        <v>643</v>
      </c>
      <c r="Z10" s="61">
        <f t="shared" si="4"/>
        <v>7</v>
      </c>
      <c r="AA10" s="60">
        <f t="shared" si="5"/>
        <v>-477</v>
      </c>
      <c r="AB10" s="62" t="str">
        <f t="shared" si="6"/>
        <v/>
      </c>
      <c r="AC10" s="62" t="str">
        <f t="array" ref="AC10">IF(AH10&lt;&gt;"COMPRAR","",IF(MAX(INDEX(Ventas!$G$2:$G$5000,MATCH($A10,Ventas!$A$2:$A$5000,0)),INDEX(Ventas!$H$2:$H$5000,MATCH($A10,Ventas!$A$2:$A$5000,0)),INDEX(Ventas!$I$2:$I$5000,MATCH($A10,Ventas!$A$2:$A$5000,0)),INDEX(Ventas!$J$2:$J$5000,MATCH($A10,Ventas!$A$2:$A$5000,0)))&gt;0.5*AF10*4,"1 mes = "&amp;TEXT(MAX(INDEX(Ventas!$G$2:$G$5000,MATCH($A10,Ventas!$A$2:$A$5000,0)),INDEX(Ventas!$H$2:$H$5000,MATCH($A10,Ventas!$A$2:$A$5000,0)),INDEX(Ventas!$I$2:$I$5000,MATCH($A10,Ventas!$A$2:$A$5000,0)),INDEX(Ventas!$J$2:$J$5000,MATCH($A10,Ventas!$A$2:$A$5000,0)))/(AF10*4),"0%")&amp;" de 4 meses",""))</f>
        <v/>
      </c>
      <c r="AD10" s="62" t="str">
        <f t="shared" si="7"/>
        <v/>
      </c>
      <c r="AE10" s="62" t="str">
        <f t="array" ref="AE10">IF(X10="","",IF(AND(E10=0,AVERAGE(INDEX(Ventas!$C$2:$I$5000,MATCH($A10,Ventas!$A$2:$A$5000,0),0))&gt;0,INDEX(Ventas!$J$2:$J$5000,MATCH($A10,Ventas!$A$2:$A$5000,0))&lt;0.5*AVERAGE(INDEX(Ventas!$C$2:$I$5000,MATCH($A10,Ventas!$A$2:$A$5000,0),0))),"SÍ — stock 0 y Sep cayó (prom Feb-Ago "&amp;TEXT(AVERAGE(INDEX(Ventas!$C$2:$I$5000,MATCH($A10,Ventas!$A$2:$A$5000,0),0)),"#,##0")&amp;")",""))</f>
        <v/>
      </c>
      <c r="AF10" s="60">
        <f t="array" ref="AF10">IF(X10="","",IF(AE10&lt;&gt;"",MAX(X10,AVERAGE(INDEX(Ventas!$C$2:$I$5000,MATCH($A10,Ventas!$A$2:$A$5000,0),0))),X10))</f>
        <v>160.75</v>
      </c>
      <c r="AG10" s="60">
        <f t="shared" si="8"/>
        <v>-477</v>
      </c>
      <c r="AH10" s="63" t="str">
        <f t="shared" si="9"/>
        <v>OK</v>
      </c>
    </row>
    <row r="11" ht="13.5" customHeight="1">
      <c r="A11" s="64" t="s">
        <v>458</v>
      </c>
      <c r="B11" s="65" t="s">
        <v>183</v>
      </c>
      <c r="C11" s="65" t="s">
        <v>184</v>
      </c>
      <c r="D11" s="65" t="s">
        <v>459</v>
      </c>
      <c r="E11" s="51">
        <v>0.0</v>
      </c>
      <c r="F11" s="66"/>
      <c r="G11" s="53"/>
      <c r="H11" s="54"/>
      <c r="I11" s="55"/>
      <c r="J11" s="53"/>
      <c r="K11" s="53"/>
      <c r="L11" s="55">
        <v>1000.0</v>
      </c>
      <c r="M11" s="53"/>
      <c r="N11" s="67"/>
      <c r="O11" s="57" t="str">
        <f t="shared" si="1"/>
        <v>OK — cubierto (3.8 meses)</v>
      </c>
      <c r="P11" s="58">
        <f t="shared" si="2"/>
        <v>1000</v>
      </c>
      <c r="Q11" s="1"/>
      <c r="R11" s="1"/>
      <c r="S11" s="1"/>
      <c r="T11" s="1"/>
      <c r="U11" s="1"/>
      <c r="V11" s="1"/>
      <c r="W11" s="1"/>
      <c r="X11" s="60">
        <f>IFERROR(VLOOKUP($A11,Ventas!$A$2:$L$5000,12,FALSE()),"")</f>
        <v>261.25</v>
      </c>
      <c r="Y11" s="60">
        <f t="shared" si="3"/>
        <v>1045</v>
      </c>
      <c r="Z11" s="61">
        <f t="shared" si="4"/>
        <v>3.8</v>
      </c>
      <c r="AA11" s="60">
        <f t="shared" si="5"/>
        <v>45</v>
      </c>
      <c r="AB11" s="62" t="str">
        <f t="shared" si="6"/>
        <v/>
      </c>
      <c r="AC11" s="62" t="str">
        <f t="array" ref="AC11">IF(AH11&lt;&gt;"COMPRAR","",IF(MAX(INDEX(Ventas!$G$2:$G$5000,MATCH($A11,Ventas!$A$2:$A$5000,0)),INDEX(Ventas!$H$2:$H$5000,MATCH($A11,Ventas!$A$2:$A$5000,0)),INDEX(Ventas!$I$2:$I$5000,MATCH($A11,Ventas!$A$2:$A$5000,0)),INDEX(Ventas!$J$2:$J$5000,MATCH($A11,Ventas!$A$2:$A$5000,0)))&gt;0.5*AF11*4,"1 mes = "&amp;TEXT(MAX(INDEX(Ventas!$G$2:$G$5000,MATCH($A11,Ventas!$A$2:$A$5000,0)),INDEX(Ventas!$H$2:$H$5000,MATCH($A11,Ventas!$A$2:$A$5000,0)),INDEX(Ventas!$I$2:$I$5000,MATCH($A11,Ventas!$A$2:$A$5000,0)),INDEX(Ventas!$J$2:$J$5000,MATCH($A11,Ventas!$A$2:$A$5000,0)))/(AF11*4),"0%")&amp;" de 4 meses",""))</f>
        <v/>
      </c>
      <c r="AD11" s="62" t="str">
        <f t="shared" si="7"/>
        <v>SÍ — 0 m vs 138 m</v>
      </c>
      <c r="AE11" s="62" t="str">
        <f t="array" ref="AE11">IF(X11="","",IF(AND(E11=0,AVERAGE(INDEX(Ventas!$C$2:$I$5000,MATCH($A11,Ventas!$A$2:$A$5000,0),0))&gt;0,INDEX(Ventas!$J$2:$J$5000,MATCH($A11,Ventas!$A$2:$A$5000,0))&lt;0.5*AVERAGE(INDEX(Ventas!$C$2:$I$5000,MATCH($A11,Ventas!$A$2:$A$5000,0),0))),"SÍ — stock 0 y Sep cayó (prom Feb-Ago "&amp;TEXT(AVERAGE(INDEX(Ventas!$C$2:$I$5000,MATCH($A11,Ventas!$A$2:$A$5000,0),0)),"#,##0")&amp;")",""))</f>
        <v>SÍ — stock 0 y Sep cayó (prom Feb-Ago 344)</v>
      </c>
      <c r="AF11" s="60">
        <f t="array" ref="AF11">IF(X11="","",IF(AE11&lt;&gt;"",MAX(X11,AVERAGE(INDEX(Ventas!$C$2:$I$5000,MATCH($A11,Ventas!$A$2:$A$5000,0),0))),X11))</f>
        <v>343.5714286</v>
      </c>
      <c r="AG11" s="60">
        <f t="shared" si="8"/>
        <v>374</v>
      </c>
      <c r="AH11" s="63" t="str">
        <f t="shared" si="9"/>
        <v>COMPRAR</v>
      </c>
    </row>
    <row r="12" ht="13.5" customHeight="1">
      <c r="A12" s="49" t="s">
        <v>522</v>
      </c>
      <c r="B12" s="50" t="s">
        <v>183</v>
      </c>
      <c r="C12" s="50" t="s">
        <v>184</v>
      </c>
      <c r="D12" s="50" t="s">
        <v>524</v>
      </c>
      <c r="E12" s="51">
        <v>40.0</v>
      </c>
      <c r="F12" s="52"/>
      <c r="G12" s="53"/>
      <c r="H12" s="54"/>
      <c r="I12" s="55"/>
      <c r="J12" s="53"/>
      <c r="K12" s="53"/>
      <c r="L12" s="55">
        <v>800.0</v>
      </c>
      <c r="M12" s="53"/>
      <c r="N12" s="56"/>
      <c r="O12" s="57" t="str">
        <f t="shared" si="1"/>
        <v>PEDIR MENOS — sobran 560 m; revisar pedidos sin facturar (800 m)</v>
      </c>
      <c r="P12" s="58">
        <f t="shared" si="2"/>
        <v>840</v>
      </c>
      <c r="Q12" s="1"/>
      <c r="R12" s="1"/>
      <c r="S12" s="1"/>
      <c r="T12" s="1"/>
      <c r="U12" s="1"/>
      <c r="V12" s="1"/>
      <c r="W12" s="1"/>
      <c r="X12" s="60">
        <f>IFERROR(VLOOKUP($A12,Ventas!$A$2:$L$5000,12,FALSE()),"")</f>
        <v>70</v>
      </c>
      <c r="Y12" s="60">
        <f t="shared" si="3"/>
        <v>280</v>
      </c>
      <c r="Z12" s="61">
        <f t="shared" si="4"/>
        <v>12</v>
      </c>
      <c r="AA12" s="60">
        <f t="shared" si="5"/>
        <v>-560</v>
      </c>
      <c r="AB12" s="62" t="str">
        <f t="shared" si="6"/>
        <v/>
      </c>
      <c r="AC12" s="62" t="str">
        <f t="array" ref="AC12">IF(AH12&lt;&gt;"COMPRAR","",IF(MAX(INDEX(Ventas!$G$2:$G$5000,MATCH($A12,Ventas!$A$2:$A$5000,0)),INDEX(Ventas!$H$2:$H$5000,MATCH($A12,Ventas!$A$2:$A$5000,0)),INDEX(Ventas!$I$2:$I$5000,MATCH($A12,Ventas!$A$2:$A$5000,0)),INDEX(Ventas!$J$2:$J$5000,MATCH($A12,Ventas!$A$2:$A$5000,0)))&gt;0.5*AF12*4,"1 mes = "&amp;TEXT(MAX(INDEX(Ventas!$G$2:$G$5000,MATCH($A12,Ventas!$A$2:$A$5000,0)),INDEX(Ventas!$H$2:$H$5000,MATCH($A12,Ventas!$A$2:$A$5000,0)),INDEX(Ventas!$I$2:$I$5000,MATCH($A12,Ventas!$A$2:$A$5000,0)),INDEX(Ventas!$J$2:$J$5000,MATCH($A12,Ventas!$A$2:$A$5000,0)))/(AF12*4),"0%")&amp;" de 4 meses",""))</f>
        <v/>
      </c>
      <c r="AD12" s="62" t="str">
        <f t="shared" si="7"/>
        <v/>
      </c>
      <c r="AE12" s="62" t="str">
        <f t="array" ref="AE12">IF(X12="","",IF(AND(E12=0,AVERAGE(INDEX(Ventas!$C$2:$I$5000,MATCH($A12,Ventas!$A$2:$A$5000,0),0))&gt;0,INDEX(Ventas!$J$2:$J$5000,MATCH($A12,Ventas!$A$2:$A$5000,0))&lt;0.5*AVERAGE(INDEX(Ventas!$C$2:$I$5000,MATCH($A12,Ventas!$A$2:$A$5000,0),0))),"SÍ — stock 0 y Sep cayó (prom Feb-Ago "&amp;TEXT(AVERAGE(INDEX(Ventas!$C$2:$I$5000,MATCH($A12,Ventas!$A$2:$A$5000,0),0)),"#,##0")&amp;")",""))</f>
        <v/>
      </c>
      <c r="AF12" s="60">
        <f t="array" ref="AF12">IF(X12="","",IF(AE12&lt;&gt;"",MAX(X12,AVERAGE(INDEX(Ventas!$C$2:$I$5000,MATCH($A12,Ventas!$A$2:$A$5000,0),0))),X12))</f>
        <v>70</v>
      </c>
      <c r="AG12" s="60">
        <f t="shared" si="8"/>
        <v>-560</v>
      </c>
      <c r="AH12" s="63" t="str">
        <f t="shared" si="9"/>
        <v>PEDIR MENOS</v>
      </c>
    </row>
    <row r="13" ht="13.5" customHeight="1">
      <c r="A13" s="64"/>
      <c r="B13" s="50" t="s">
        <v>183</v>
      </c>
      <c r="C13" s="68" t="s">
        <v>184</v>
      </c>
      <c r="D13" s="68" t="s">
        <v>590</v>
      </c>
      <c r="E13" s="51"/>
      <c r="F13" s="66"/>
      <c r="G13" s="53"/>
      <c r="H13" s="54"/>
      <c r="I13" s="55"/>
      <c r="J13" s="53"/>
      <c r="K13" s="53"/>
      <c r="L13" s="69">
        <v>800.0</v>
      </c>
      <c r="M13" s="53"/>
      <c r="N13" s="67"/>
      <c r="O13" s="57" t="str">
        <f t="shared" si="1"/>
        <v>SIN SKU — cargar código para calcular</v>
      </c>
      <c r="P13" s="58">
        <f t="shared" si="2"/>
        <v>800</v>
      </c>
      <c r="Q13" s="1"/>
      <c r="R13" s="1"/>
      <c r="S13" s="1"/>
      <c r="T13" s="1"/>
      <c r="U13" s="1"/>
      <c r="V13" s="1"/>
      <c r="W13" s="1"/>
      <c r="X13" s="60" t="str">
        <f>IFERROR(VLOOKUP($A13,Ventas!$A$2:$L$5000,12,FALSE()),"")</f>
        <v/>
      </c>
      <c r="Y13" s="60" t="str">
        <f t="shared" si="3"/>
        <v/>
      </c>
      <c r="Z13" s="61" t="str">
        <f t="shared" si="4"/>
        <v/>
      </c>
      <c r="AA13" s="60" t="str">
        <f t="shared" si="5"/>
        <v/>
      </c>
      <c r="AB13" s="62" t="str">
        <f t="shared" si="6"/>
        <v/>
      </c>
      <c r="AC13" s="62" t="str">
        <f t="array" ref="AC13">IF(AH13&lt;&gt;"COMPRAR","",IF(MAX(INDEX(Ventas!$G$2:$G$5000,MATCH($A13,Ventas!$A$2:$A$5000,0)),INDEX(Ventas!$H$2:$H$5000,MATCH($A13,Ventas!$A$2:$A$5000,0)),INDEX(Ventas!$I$2:$I$5000,MATCH($A13,Ventas!$A$2:$A$5000,0)),INDEX(Ventas!$J$2:$J$5000,MATCH($A13,Ventas!$A$2:$A$5000,0)))&gt;0.5*AF13*4,"1 mes = "&amp;TEXT(MAX(INDEX(Ventas!$G$2:$G$5000,MATCH($A13,Ventas!$A$2:$A$5000,0)),INDEX(Ventas!$H$2:$H$5000,MATCH($A13,Ventas!$A$2:$A$5000,0)),INDEX(Ventas!$I$2:$I$5000,MATCH($A13,Ventas!$A$2:$A$5000,0)),INDEX(Ventas!$J$2:$J$5000,MATCH($A13,Ventas!$A$2:$A$5000,0)))/(AF13*4),"0%")&amp;" de 4 meses",""))</f>
        <v/>
      </c>
      <c r="AD13" s="62" t="str">
        <f t="shared" si="7"/>
        <v/>
      </c>
      <c r="AE13" s="62" t="str">
        <f t="array" ref="AE13">IF(X13="","",IF(AND(E13=0,AVERAGE(INDEX(Ventas!$C$2:$I$5000,MATCH($A13,Ventas!$A$2:$A$5000,0),0))&gt;0,INDEX(Ventas!$J$2:$J$5000,MATCH($A13,Ventas!$A$2:$A$5000,0))&lt;0.5*AVERAGE(INDEX(Ventas!$C$2:$I$5000,MATCH($A13,Ventas!$A$2:$A$5000,0),0))),"SÍ — stock 0 y Sep cayó (prom Feb-Ago "&amp;TEXT(AVERAGE(INDEX(Ventas!$C$2:$I$5000,MATCH($A13,Ventas!$A$2:$A$5000,0),0)),"#,##0")&amp;")",""))</f>
        <v/>
      </c>
      <c r="AF13" s="60" t="str">
        <f t="array" ref="AF13">IF(X13="","",IF(AE13&lt;&gt;"",MAX(X13,AVERAGE(INDEX(Ventas!$C$2:$I$5000,MATCH($A13,Ventas!$A$2:$A$5000,0),0))),X13))</f>
        <v/>
      </c>
      <c r="AG13" s="60" t="str">
        <f t="shared" si="8"/>
        <v/>
      </c>
      <c r="AH13" s="63" t="str">
        <f t="shared" si="9"/>
        <v/>
      </c>
    </row>
    <row r="14" ht="13.5" customHeight="1">
      <c r="A14" s="64" t="s">
        <v>643</v>
      </c>
      <c r="B14" s="65" t="s">
        <v>183</v>
      </c>
      <c r="C14" s="65" t="s">
        <v>184</v>
      </c>
      <c r="D14" s="65" t="s">
        <v>646</v>
      </c>
      <c r="E14" s="51">
        <v>1084.0</v>
      </c>
      <c r="F14" s="66"/>
      <c r="G14" s="53"/>
      <c r="H14" s="54"/>
      <c r="I14" s="55"/>
      <c r="J14" s="53"/>
      <c r="K14" s="53"/>
      <c r="L14" s="55"/>
      <c r="M14" s="53"/>
      <c r="N14" s="67"/>
      <c r="O14" s="57" t="str">
        <f t="shared" si="1"/>
        <v>SOBRESTOCK — 15.5 meses de cobertura</v>
      </c>
      <c r="P14" s="58">
        <f t="shared" si="2"/>
        <v>1084</v>
      </c>
      <c r="Q14" s="1"/>
      <c r="R14" s="1"/>
      <c r="S14" s="1"/>
      <c r="T14" s="1"/>
      <c r="U14" s="1"/>
      <c r="V14" s="1"/>
      <c r="W14" s="1"/>
      <c r="X14" s="60">
        <f>IFERROR(VLOOKUP($A14,Ventas!$A$2:$L$5000,12,FALSE()),"")</f>
        <v>70</v>
      </c>
      <c r="Y14" s="60">
        <f t="shared" si="3"/>
        <v>280</v>
      </c>
      <c r="Z14" s="61">
        <f t="shared" si="4"/>
        <v>15.5</v>
      </c>
      <c r="AA14" s="60">
        <f t="shared" si="5"/>
        <v>-804</v>
      </c>
      <c r="AB14" s="62" t="str">
        <f t="shared" si="6"/>
        <v/>
      </c>
      <c r="AC14" s="62" t="str">
        <f t="array" ref="AC14">IF(AH14&lt;&gt;"COMPRAR","",IF(MAX(INDEX(Ventas!$G$2:$G$5000,MATCH($A14,Ventas!$A$2:$A$5000,0)),INDEX(Ventas!$H$2:$H$5000,MATCH($A14,Ventas!$A$2:$A$5000,0)),INDEX(Ventas!$I$2:$I$5000,MATCH($A14,Ventas!$A$2:$A$5000,0)),INDEX(Ventas!$J$2:$J$5000,MATCH($A14,Ventas!$A$2:$A$5000,0)))&gt;0.5*AF14*4,"1 mes = "&amp;TEXT(MAX(INDEX(Ventas!$G$2:$G$5000,MATCH($A14,Ventas!$A$2:$A$5000,0)),INDEX(Ventas!$H$2:$H$5000,MATCH($A14,Ventas!$A$2:$A$5000,0)),INDEX(Ventas!$I$2:$I$5000,MATCH($A14,Ventas!$A$2:$A$5000,0)),INDEX(Ventas!$J$2:$J$5000,MATCH($A14,Ventas!$A$2:$A$5000,0)))/(AF14*4),"0%")&amp;" de 4 meses",""))</f>
        <v/>
      </c>
      <c r="AD14" s="62" t="str">
        <f t="shared" si="7"/>
        <v/>
      </c>
      <c r="AE14" s="62" t="str">
        <f t="array" ref="AE14">IF(X14="","",IF(AND(E14=0,AVERAGE(INDEX(Ventas!$C$2:$I$5000,MATCH($A14,Ventas!$A$2:$A$5000,0),0))&gt;0,INDEX(Ventas!$J$2:$J$5000,MATCH($A14,Ventas!$A$2:$A$5000,0))&lt;0.5*AVERAGE(INDEX(Ventas!$C$2:$I$5000,MATCH($A14,Ventas!$A$2:$A$5000,0),0))),"SÍ — stock 0 y Sep cayó (prom Feb-Ago "&amp;TEXT(AVERAGE(INDEX(Ventas!$C$2:$I$5000,MATCH($A14,Ventas!$A$2:$A$5000,0),0)),"#,##0")&amp;")",""))</f>
        <v/>
      </c>
      <c r="AF14" s="60">
        <f t="array" ref="AF14">IF(X14="","",IF(AE14&lt;&gt;"",MAX(X14,AVERAGE(INDEX(Ventas!$C$2:$I$5000,MATCH($A14,Ventas!$A$2:$A$5000,0),0))),X14))</f>
        <v>70</v>
      </c>
      <c r="AG14" s="60">
        <f t="shared" si="8"/>
        <v>-804</v>
      </c>
      <c r="AH14" s="63" t="str">
        <f t="shared" si="9"/>
        <v>SOBRESTOCK</v>
      </c>
    </row>
    <row r="15" ht="13.5" customHeight="1">
      <c r="A15" s="49" t="s">
        <v>692</v>
      </c>
      <c r="B15" s="50" t="s">
        <v>183</v>
      </c>
      <c r="C15" s="50" t="s">
        <v>184</v>
      </c>
      <c r="D15" s="50" t="s">
        <v>694</v>
      </c>
      <c r="E15" s="51">
        <v>1960.0</v>
      </c>
      <c r="F15" s="52"/>
      <c r="G15" s="53"/>
      <c r="H15" s="55"/>
      <c r="I15" s="55"/>
      <c r="J15" s="53"/>
      <c r="K15" s="53"/>
      <c r="L15" s="55"/>
      <c r="M15" s="53"/>
      <c r="N15" s="56"/>
      <c r="O15" s="57" t="str">
        <f t="shared" si="1"/>
        <v>SOBRESTOCK — 11.5 meses de cobertura</v>
      </c>
      <c r="P15" s="58">
        <f t="shared" si="2"/>
        <v>1960</v>
      </c>
      <c r="Q15" s="1"/>
      <c r="R15" s="1"/>
      <c r="S15" s="1"/>
      <c r="T15" s="1"/>
      <c r="U15" s="1"/>
      <c r="V15" s="1"/>
      <c r="W15" s="1"/>
      <c r="X15" s="60">
        <f>IFERROR(VLOOKUP($A15,Ventas!$A$2:$L$5000,12,FALSE()),"")</f>
        <v>170</v>
      </c>
      <c r="Y15" s="60">
        <f t="shared" si="3"/>
        <v>680</v>
      </c>
      <c r="Z15" s="61">
        <f t="shared" si="4"/>
        <v>11.5</v>
      </c>
      <c r="AA15" s="60">
        <f t="shared" si="5"/>
        <v>-1280</v>
      </c>
      <c r="AB15" s="62" t="str">
        <f t="shared" si="6"/>
        <v/>
      </c>
      <c r="AC15" s="62" t="str">
        <f t="array" ref="AC15">IF(AH15&lt;&gt;"COMPRAR","",IF(MAX(INDEX(Ventas!$G$2:$G$5000,MATCH($A15,Ventas!$A$2:$A$5000,0)),INDEX(Ventas!$H$2:$H$5000,MATCH($A15,Ventas!$A$2:$A$5000,0)),INDEX(Ventas!$I$2:$I$5000,MATCH($A15,Ventas!$A$2:$A$5000,0)),INDEX(Ventas!$J$2:$J$5000,MATCH($A15,Ventas!$A$2:$A$5000,0)))&gt;0.5*AF15*4,"1 mes = "&amp;TEXT(MAX(INDEX(Ventas!$G$2:$G$5000,MATCH($A15,Ventas!$A$2:$A$5000,0)),INDEX(Ventas!$H$2:$H$5000,MATCH($A15,Ventas!$A$2:$A$5000,0)),INDEX(Ventas!$I$2:$I$5000,MATCH($A15,Ventas!$A$2:$A$5000,0)),INDEX(Ventas!$J$2:$J$5000,MATCH($A15,Ventas!$A$2:$A$5000,0)))/(AF15*4),"0%")&amp;" de 4 meses",""))</f>
        <v/>
      </c>
      <c r="AD15" s="62" t="str">
        <f t="shared" si="7"/>
        <v/>
      </c>
      <c r="AE15" s="62" t="str">
        <f t="array" ref="AE15">IF(X15="","",IF(AND(E15=0,AVERAGE(INDEX(Ventas!$C$2:$I$5000,MATCH($A15,Ventas!$A$2:$A$5000,0),0))&gt;0,INDEX(Ventas!$J$2:$J$5000,MATCH($A15,Ventas!$A$2:$A$5000,0))&lt;0.5*AVERAGE(INDEX(Ventas!$C$2:$I$5000,MATCH($A15,Ventas!$A$2:$A$5000,0),0))),"SÍ — stock 0 y Sep cayó (prom Feb-Ago "&amp;TEXT(AVERAGE(INDEX(Ventas!$C$2:$I$5000,MATCH($A15,Ventas!$A$2:$A$5000,0),0)),"#,##0")&amp;")",""))</f>
        <v/>
      </c>
      <c r="AF15" s="60">
        <f t="array" ref="AF15">IF(X15="","",IF(AE15&lt;&gt;"",MAX(X15,AVERAGE(INDEX(Ventas!$C$2:$I$5000,MATCH($A15,Ventas!$A$2:$A$5000,0),0))),X15))</f>
        <v>170</v>
      </c>
      <c r="AG15" s="60">
        <f t="shared" si="8"/>
        <v>-1280</v>
      </c>
      <c r="AH15" s="63" t="str">
        <f t="shared" si="9"/>
        <v>SOBRESTOCK</v>
      </c>
    </row>
    <row r="16" ht="13.5" customHeight="1">
      <c r="A16" s="64" t="s">
        <v>745</v>
      </c>
      <c r="B16" s="65" t="s">
        <v>183</v>
      </c>
      <c r="C16" s="65" t="s">
        <v>184</v>
      </c>
      <c r="D16" s="65" t="s">
        <v>748</v>
      </c>
      <c r="E16" s="51">
        <v>520.0</v>
      </c>
      <c r="F16" s="66"/>
      <c r="G16" s="53"/>
      <c r="H16" s="54"/>
      <c r="I16" s="55"/>
      <c r="J16" s="53"/>
      <c r="K16" s="53"/>
      <c r="L16" s="55"/>
      <c r="M16" s="53"/>
      <c r="N16" s="67"/>
      <c r="O16" s="57" t="str">
        <f t="shared" si="1"/>
        <v>OK — cubierto (7.4 meses)</v>
      </c>
      <c r="P16" s="58">
        <f t="shared" si="2"/>
        <v>520</v>
      </c>
      <c r="Q16" s="1"/>
      <c r="R16" s="1"/>
      <c r="S16" s="1"/>
      <c r="T16" s="1"/>
      <c r="U16" s="1"/>
      <c r="V16" s="1"/>
      <c r="W16" s="1"/>
      <c r="X16" s="60">
        <f>IFERROR(VLOOKUP($A16,Ventas!$A$2:$L$5000,12,FALSE()),"")</f>
        <v>70</v>
      </c>
      <c r="Y16" s="60">
        <f t="shared" si="3"/>
        <v>280</v>
      </c>
      <c r="Z16" s="61">
        <f t="shared" si="4"/>
        <v>7.4</v>
      </c>
      <c r="AA16" s="60">
        <f t="shared" si="5"/>
        <v>-240</v>
      </c>
      <c r="AB16" s="62" t="str">
        <f t="shared" si="6"/>
        <v/>
      </c>
      <c r="AC16" s="62" t="str">
        <f t="array" ref="AC16">IF(AH16&lt;&gt;"COMPRAR","",IF(MAX(INDEX(Ventas!$G$2:$G$5000,MATCH($A16,Ventas!$A$2:$A$5000,0)),INDEX(Ventas!$H$2:$H$5000,MATCH($A16,Ventas!$A$2:$A$5000,0)),INDEX(Ventas!$I$2:$I$5000,MATCH($A16,Ventas!$A$2:$A$5000,0)),INDEX(Ventas!$J$2:$J$5000,MATCH($A16,Ventas!$A$2:$A$5000,0)))&gt;0.5*AF16*4,"1 mes = "&amp;TEXT(MAX(INDEX(Ventas!$G$2:$G$5000,MATCH($A16,Ventas!$A$2:$A$5000,0)),INDEX(Ventas!$H$2:$H$5000,MATCH($A16,Ventas!$A$2:$A$5000,0)),INDEX(Ventas!$I$2:$I$5000,MATCH($A16,Ventas!$A$2:$A$5000,0)),INDEX(Ventas!$J$2:$J$5000,MATCH($A16,Ventas!$A$2:$A$5000,0)))/(AF16*4),"0%")&amp;" de 4 meses",""))</f>
        <v/>
      </c>
      <c r="AD16" s="62" t="str">
        <f t="shared" si="7"/>
        <v/>
      </c>
      <c r="AE16" s="62" t="str">
        <f t="array" ref="AE16">IF(X16="","",IF(AND(E16=0,AVERAGE(INDEX(Ventas!$C$2:$I$5000,MATCH($A16,Ventas!$A$2:$A$5000,0),0))&gt;0,INDEX(Ventas!$J$2:$J$5000,MATCH($A16,Ventas!$A$2:$A$5000,0))&lt;0.5*AVERAGE(INDEX(Ventas!$C$2:$I$5000,MATCH($A16,Ventas!$A$2:$A$5000,0),0))),"SÍ — stock 0 y Sep cayó (prom Feb-Ago "&amp;TEXT(AVERAGE(INDEX(Ventas!$C$2:$I$5000,MATCH($A16,Ventas!$A$2:$A$5000,0),0)),"#,##0")&amp;")",""))</f>
        <v/>
      </c>
      <c r="AF16" s="60">
        <f t="array" ref="AF16">IF(X16="","",IF(AE16&lt;&gt;"",MAX(X16,AVERAGE(INDEX(Ventas!$C$2:$I$5000,MATCH($A16,Ventas!$A$2:$A$5000,0),0))),X16))</f>
        <v>70</v>
      </c>
      <c r="AG16" s="60">
        <f t="shared" si="8"/>
        <v>-240</v>
      </c>
      <c r="AH16" s="63" t="str">
        <f t="shared" si="9"/>
        <v>OK</v>
      </c>
    </row>
    <row r="17" ht="13.5" customHeight="1">
      <c r="A17" s="49" t="s">
        <v>791</v>
      </c>
      <c r="B17" s="50" t="s">
        <v>183</v>
      </c>
      <c r="C17" s="50" t="s">
        <v>184</v>
      </c>
      <c r="D17" s="50" t="s">
        <v>794</v>
      </c>
      <c r="E17" s="51">
        <v>1893.0</v>
      </c>
      <c r="F17" s="52"/>
      <c r="G17" s="53"/>
      <c r="H17" s="55"/>
      <c r="I17" s="55"/>
      <c r="J17" s="53"/>
      <c r="K17" s="53"/>
      <c r="L17" s="55"/>
      <c r="M17" s="53"/>
      <c r="N17" s="56"/>
      <c r="O17" s="57" t="str">
        <f t="shared" si="1"/>
        <v>SOBRESTOCK — 9.5 meses de cobertura</v>
      </c>
      <c r="P17" s="58">
        <f t="shared" si="2"/>
        <v>1893</v>
      </c>
      <c r="Q17" s="1"/>
      <c r="R17" s="1"/>
      <c r="S17" s="1"/>
      <c r="T17" s="1"/>
      <c r="U17" s="1"/>
      <c r="V17" s="1"/>
      <c r="W17" s="1"/>
      <c r="X17" s="60">
        <f>IFERROR(VLOOKUP($A17,Ventas!$A$2:$L$5000,12,FALSE()),"")</f>
        <v>200</v>
      </c>
      <c r="Y17" s="60">
        <f t="shared" si="3"/>
        <v>800</v>
      </c>
      <c r="Z17" s="61">
        <f t="shared" si="4"/>
        <v>9.5</v>
      </c>
      <c r="AA17" s="60">
        <f t="shared" si="5"/>
        <v>-1093</v>
      </c>
      <c r="AB17" s="62" t="str">
        <f t="shared" si="6"/>
        <v/>
      </c>
      <c r="AC17" s="62" t="str">
        <f t="array" ref="AC17">IF(AH17&lt;&gt;"COMPRAR","",IF(MAX(INDEX(Ventas!$G$2:$G$5000,MATCH($A17,Ventas!$A$2:$A$5000,0)),INDEX(Ventas!$H$2:$H$5000,MATCH($A17,Ventas!$A$2:$A$5000,0)),INDEX(Ventas!$I$2:$I$5000,MATCH($A17,Ventas!$A$2:$A$5000,0)),INDEX(Ventas!$J$2:$J$5000,MATCH($A17,Ventas!$A$2:$A$5000,0)))&gt;0.5*AF17*4,"1 mes = "&amp;TEXT(MAX(INDEX(Ventas!$G$2:$G$5000,MATCH($A17,Ventas!$A$2:$A$5000,0)),INDEX(Ventas!$H$2:$H$5000,MATCH($A17,Ventas!$A$2:$A$5000,0)),INDEX(Ventas!$I$2:$I$5000,MATCH($A17,Ventas!$A$2:$A$5000,0)),INDEX(Ventas!$J$2:$J$5000,MATCH($A17,Ventas!$A$2:$A$5000,0)))/(AF17*4),"0%")&amp;" de 4 meses",""))</f>
        <v/>
      </c>
      <c r="AD17" s="62" t="str">
        <f t="shared" si="7"/>
        <v/>
      </c>
      <c r="AE17" s="62" t="str">
        <f t="array" ref="AE17">IF(X17="","",IF(AND(E17=0,AVERAGE(INDEX(Ventas!$C$2:$I$5000,MATCH($A17,Ventas!$A$2:$A$5000,0),0))&gt;0,INDEX(Ventas!$J$2:$J$5000,MATCH($A17,Ventas!$A$2:$A$5000,0))&lt;0.5*AVERAGE(INDEX(Ventas!$C$2:$I$5000,MATCH($A17,Ventas!$A$2:$A$5000,0),0))),"SÍ — stock 0 y Sep cayó (prom Feb-Ago "&amp;TEXT(AVERAGE(INDEX(Ventas!$C$2:$I$5000,MATCH($A17,Ventas!$A$2:$A$5000,0),0)),"#,##0")&amp;")",""))</f>
        <v/>
      </c>
      <c r="AF17" s="60">
        <f t="array" ref="AF17">IF(X17="","",IF(AE17&lt;&gt;"",MAX(X17,AVERAGE(INDEX(Ventas!$C$2:$I$5000,MATCH($A17,Ventas!$A$2:$A$5000,0),0))),X17))</f>
        <v>200</v>
      </c>
      <c r="AG17" s="60">
        <f t="shared" si="8"/>
        <v>-1093</v>
      </c>
      <c r="AH17" s="63" t="str">
        <f t="shared" si="9"/>
        <v>SOBRESTOCK</v>
      </c>
    </row>
    <row r="18" ht="13.5" customHeight="1">
      <c r="A18" s="64" t="s">
        <v>843</v>
      </c>
      <c r="B18" s="65" t="s">
        <v>183</v>
      </c>
      <c r="C18" s="65" t="s">
        <v>184</v>
      </c>
      <c r="D18" s="65" t="s">
        <v>844</v>
      </c>
      <c r="E18" s="51">
        <v>512.0</v>
      </c>
      <c r="F18" s="66"/>
      <c r="G18" s="53"/>
      <c r="H18" s="55"/>
      <c r="I18" s="55"/>
      <c r="J18" s="53"/>
      <c r="K18" s="53"/>
      <c r="L18" s="55"/>
      <c r="M18" s="53"/>
      <c r="N18" s="67"/>
      <c r="O18" s="57" t="str">
        <f t="shared" si="1"/>
        <v>SIN VENTAS Jun-Sep — no comprar (512 m disponibles)</v>
      </c>
      <c r="P18" s="58">
        <f t="shared" si="2"/>
        <v>512</v>
      </c>
      <c r="Q18" s="1"/>
      <c r="R18" s="1"/>
      <c r="S18" s="1"/>
      <c r="T18" s="1"/>
      <c r="U18" s="1"/>
      <c r="V18" s="1"/>
      <c r="W18" s="1"/>
      <c r="X18" s="60">
        <f>IFERROR(VLOOKUP($A18,Ventas!$A$2:$L$5000,12,FALSE()),"")</f>
        <v>0</v>
      </c>
      <c r="Y18" s="60">
        <f t="shared" si="3"/>
        <v>0</v>
      </c>
      <c r="Z18" s="61" t="str">
        <f t="shared" si="4"/>
        <v/>
      </c>
      <c r="AA18" s="60">
        <f t="shared" si="5"/>
        <v>-512</v>
      </c>
      <c r="AB18" s="62" t="str">
        <f t="shared" si="6"/>
        <v/>
      </c>
      <c r="AC18" s="62" t="str">
        <f t="array" ref="AC18">IF(AH18&lt;&gt;"COMPRAR","",IF(MAX(INDEX(Ventas!$G$2:$G$5000,MATCH($A18,Ventas!$A$2:$A$5000,0)),INDEX(Ventas!$H$2:$H$5000,MATCH($A18,Ventas!$A$2:$A$5000,0)),INDEX(Ventas!$I$2:$I$5000,MATCH($A18,Ventas!$A$2:$A$5000,0)),INDEX(Ventas!$J$2:$J$5000,MATCH($A18,Ventas!$A$2:$A$5000,0)))&gt;0.5*AF18*4,"1 mes = "&amp;TEXT(MAX(INDEX(Ventas!$G$2:$G$5000,MATCH($A18,Ventas!$A$2:$A$5000,0)),INDEX(Ventas!$H$2:$H$5000,MATCH($A18,Ventas!$A$2:$A$5000,0)),INDEX(Ventas!$I$2:$I$5000,MATCH($A18,Ventas!$A$2:$A$5000,0)),INDEX(Ventas!$J$2:$J$5000,MATCH($A18,Ventas!$A$2:$A$5000,0)))/(AF18*4),"0%")&amp;" de 4 meses",""))</f>
        <v/>
      </c>
      <c r="AD18" s="62" t="str">
        <f t="shared" si="7"/>
        <v/>
      </c>
      <c r="AE18" s="62" t="str">
        <f t="array" ref="AE18">IF(X18="","",IF(AND(E18=0,AVERAGE(INDEX(Ventas!$C$2:$I$5000,MATCH($A18,Ventas!$A$2:$A$5000,0),0))&gt;0,INDEX(Ventas!$J$2:$J$5000,MATCH($A18,Ventas!$A$2:$A$5000,0))&lt;0.5*AVERAGE(INDEX(Ventas!$C$2:$I$5000,MATCH($A18,Ventas!$A$2:$A$5000,0),0))),"SÍ — stock 0 y Sep cayó (prom Feb-Ago "&amp;TEXT(AVERAGE(INDEX(Ventas!$C$2:$I$5000,MATCH($A18,Ventas!$A$2:$A$5000,0),0)),"#,##0")&amp;")",""))</f>
        <v/>
      </c>
      <c r="AF18" s="60">
        <f t="array" ref="AF18">IF(X18="","",IF(AE18&lt;&gt;"",MAX(X18,AVERAGE(INDEX(Ventas!$C$2:$I$5000,MATCH($A18,Ventas!$A$2:$A$5000,0),0))),X18))</f>
        <v>0</v>
      </c>
      <c r="AG18" s="60">
        <f t="shared" si="8"/>
        <v>-512</v>
      </c>
      <c r="AH18" s="63" t="str">
        <f t="shared" si="9"/>
        <v>SIN VENTAS</v>
      </c>
    </row>
    <row r="19" ht="13.5" customHeight="1">
      <c r="A19" s="49" t="s">
        <v>888</v>
      </c>
      <c r="B19" s="50" t="s">
        <v>183</v>
      </c>
      <c r="C19" s="50" t="s">
        <v>184</v>
      </c>
      <c r="D19" s="50" t="s">
        <v>890</v>
      </c>
      <c r="E19" s="51">
        <v>440.0</v>
      </c>
      <c r="F19" s="52"/>
      <c r="G19" s="53"/>
      <c r="H19" s="55"/>
      <c r="I19" s="55"/>
      <c r="J19" s="53"/>
      <c r="K19" s="53"/>
      <c r="L19" s="55"/>
      <c r="M19" s="53"/>
      <c r="N19" s="56"/>
      <c r="O19" s="57" t="str">
        <f t="shared" si="1"/>
        <v>SIN VENTAS Jun-Sep — no comprar (440 m disponibles)</v>
      </c>
      <c r="P19" s="58">
        <f t="shared" si="2"/>
        <v>440</v>
      </c>
      <c r="Q19" s="1"/>
      <c r="R19" s="1"/>
      <c r="S19" s="1"/>
      <c r="T19" s="1"/>
      <c r="U19" s="1"/>
      <c r="V19" s="1"/>
      <c r="W19" s="1"/>
      <c r="X19" s="60">
        <f>IFERROR(VLOOKUP($A19,Ventas!$A$2:$L$5000,12,FALSE()),"")</f>
        <v>0</v>
      </c>
      <c r="Y19" s="60">
        <f t="shared" si="3"/>
        <v>0</v>
      </c>
      <c r="Z19" s="61" t="str">
        <f t="shared" si="4"/>
        <v/>
      </c>
      <c r="AA19" s="60">
        <f t="shared" si="5"/>
        <v>-440</v>
      </c>
      <c r="AB19" s="62" t="str">
        <f t="shared" si="6"/>
        <v/>
      </c>
      <c r="AC19" s="62" t="str">
        <f t="array" ref="AC19">IF(AH19&lt;&gt;"COMPRAR","",IF(MAX(INDEX(Ventas!$G$2:$G$5000,MATCH($A19,Ventas!$A$2:$A$5000,0)),INDEX(Ventas!$H$2:$H$5000,MATCH($A19,Ventas!$A$2:$A$5000,0)),INDEX(Ventas!$I$2:$I$5000,MATCH($A19,Ventas!$A$2:$A$5000,0)),INDEX(Ventas!$J$2:$J$5000,MATCH($A19,Ventas!$A$2:$A$5000,0)))&gt;0.5*AF19*4,"1 mes = "&amp;TEXT(MAX(INDEX(Ventas!$G$2:$G$5000,MATCH($A19,Ventas!$A$2:$A$5000,0)),INDEX(Ventas!$H$2:$H$5000,MATCH($A19,Ventas!$A$2:$A$5000,0)),INDEX(Ventas!$I$2:$I$5000,MATCH($A19,Ventas!$A$2:$A$5000,0)),INDEX(Ventas!$J$2:$J$5000,MATCH($A19,Ventas!$A$2:$A$5000,0)))/(AF19*4),"0%")&amp;" de 4 meses",""))</f>
        <v/>
      </c>
      <c r="AD19" s="62" t="str">
        <f t="shared" si="7"/>
        <v/>
      </c>
      <c r="AE19" s="62" t="str">
        <f t="array" ref="AE19">IF(X19="","",IF(AND(E19=0,AVERAGE(INDEX(Ventas!$C$2:$I$5000,MATCH($A19,Ventas!$A$2:$A$5000,0),0))&gt;0,INDEX(Ventas!$J$2:$J$5000,MATCH($A19,Ventas!$A$2:$A$5000,0))&lt;0.5*AVERAGE(INDEX(Ventas!$C$2:$I$5000,MATCH($A19,Ventas!$A$2:$A$5000,0),0))),"SÍ — stock 0 y Sep cayó (prom Feb-Ago "&amp;TEXT(AVERAGE(INDEX(Ventas!$C$2:$I$5000,MATCH($A19,Ventas!$A$2:$A$5000,0),0)),"#,##0")&amp;")",""))</f>
        <v/>
      </c>
      <c r="AF19" s="60">
        <f t="array" ref="AF19">IF(X19="","",IF(AE19&lt;&gt;"",MAX(X19,AVERAGE(INDEX(Ventas!$C$2:$I$5000,MATCH($A19,Ventas!$A$2:$A$5000,0),0))),X19))</f>
        <v>0</v>
      </c>
      <c r="AG19" s="60">
        <f t="shared" si="8"/>
        <v>-440</v>
      </c>
      <c r="AH19" s="63" t="str">
        <f t="shared" si="9"/>
        <v>SIN VENTAS</v>
      </c>
    </row>
    <row r="20" ht="13.5" customHeight="1">
      <c r="A20" s="64" t="s">
        <v>862</v>
      </c>
      <c r="B20" s="65" t="s">
        <v>183</v>
      </c>
      <c r="C20" s="65" t="s">
        <v>184</v>
      </c>
      <c r="D20" s="65" t="s">
        <v>948</v>
      </c>
      <c r="E20" s="51">
        <v>502.0</v>
      </c>
      <c r="F20" s="66"/>
      <c r="G20" s="53"/>
      <c r="H20" s="55"/>
      <c r="I20" s="55"/>
      <c r="J20" s="53"/>
      <c r="K20" s="53"/>
      <c r="L20" s="55"/>
      <c r="M20" s="53"/>
      <c r="N20" s="67"/>
      <c r="O20" s="57" t="str">
        <f t="shared" si="1"/>
        <v>SIN VENTAS Jun-Sep — no comprar (502 m disponibles)</v>
      </c>
      <c r="P20" s="58">
        <f t="shared" si="2"/>
        <v>502</v>
      </c>
      <c r="Q20" s="1"/>
      <c r="R20" s="1"/>
      <c r="S20" s="1"/>
      <c r="T20" s="1"/>
      <c r="U20" s="1"/>
      <c r="V20" s="1"/>
      <c r="W20" s="1"/>
      <c r="X20" s="60">
        <f>IFERROR(VLOOKUP($A20,Ventas!$A$2:$L$5000,12,FALSE()),"")</f>
        <v>0</v>
      </c>
      <c r="Y20" s="60">
        <f t="shared" si="3"/>
        <v>0</v>
      </c>
      <c r="Z20" s="61" t="str">
        <f t="shared" si="4"/>
        <v/>
      </c>
      <c r="AA20" s="60">
        <f t="shared" si="5"/>
        <v>-502</v>
      </c>
      <c r="AB20" s="62" t="str">
        <f t="shared" si="6"/>
        <v/>
      </c>
      <c r="AC20" s="62" t="str">
        <f t="array" ref="AC20">IF(AH20&lt;&gt;"COMPRAR","",IF(MAX(INDEX(Ventas!$G$2:$G$5000,MATCH($A20,Ventas!$A$2:$A$5000,0)),INDEX(Ventas!$H$2:$H$5000,MATCH($A20,Ventas!$A$2:$A$5000,0)),INDEX(Ventas!$I$2:$I$5000,MATCH($A20,Ventas!$A$2:$A$5000,0)),INDEX(Ventas!$J$2:$J$5000,MATCH($A20,Ventas!$A$2:$A$5000,0)))&gt;0.5*AF20*4,"1 mes = "&amp;TEXT(MAX(INDEX(Ventas!$G$2:$G$5000,MATCH($A20,Ventas!$A$2:$A$5000,0)),INDEX(Ventas!$H$2:$H$5000,MATCH($A20,Ventas!$A$2:$A$5000,0)),INDEX(Ventas!$I$2:$I$5000,MATCH($A20,Ventas!$A$2:$A$5000,0)),INDEX(Ventas!$J$2:$J$5000,MATCH($A20,Ventas!$A$2:$A$5000,0)))/(AF20*4),"0%")&amp;" de 4 meses",""))</f>
        <v/>
      </c>
      <c r="AD20" s="62" t="str">
        <f t="shared" si="7"/>
        <v/>
      </c>
      <c r="AE20" s="62" t="str">
        <f t="array" ref="AE20">IF(X20="","",IF(AND(E20=0,AVERAGE(INDEX(Ventas!$C$2:$I$5000,MATCH($A20,Ventas!$A$2:$A$5000,0),0))&gt;0,INDEX(Ventas!$J$2:$J$5000,MATCH($A20,Ventas!$A$2:$A$5000,0))&lt;0.5*AVERAGE(INDEX(Ventas!$C$2:$I$5000,MATCH($A20,Ventas!$A$2:$A$5000,0),0))),"SÍ — stock 0 y Sep cayó (prom Feb-Ago "&amp;TEXT(AVERAGE(INDEX(Ventas!$C$2:$I$5000,MATCH($A20,Ventas!$A$2:$A$5000,0),0)),"#,##0")&amp;")",""))</f>
        <v/>
      </c>
      <c r="AF20" s="60">
        <f t="array" ref="AF20">IF(X20="","",IF(AE20&lt;&gt;"",MAX(X20,AVERAGE(INDEX(Ventas!$C$2:$I$5000,MATCH($A20,Ventas!$A$2:$A$5000,0),0))),X20))</f>
        <v>0</v>
      </c>
      <c r="AG20" s="60">
        <f t="shared" si="8"/>
        <v>-502</v>
      </c>
      <c r="AH20" s="63" t="str">
        <f t="shared" si="9"/>
        <v>SIN VENTAS</v>
      </c>
    </row>
    <row r="21" ht="13.5" customHeight="1">
      <c r="A21" s="49" t="s">
        <v>860</v>
      </c>
      <c r="B21" s="50" t="s">
        <v>183</v>
      </c>
      <c r="C21" s="50" t="s">
        <v>184</v>
      </c>
      <c r="D21" s="50" t="s">
        <v>1009</v>
      </c>
      <c r="E21" s="51">
        <v>0.0</v>
      </c>
      <c r="F21" s="52"/>
      <c r="G21" s="53"/>
      <c r="H21" s="55">
        <v>1000.0</v>
      </c>
      <c r="I21" s="55">
        <v>843.0</v>
      </c>
      <c r="J21" s="53"/>
      <c r="K21" s="53">
        <v>3000.0</v>
      </c>
      <c r="L21" s="55"/>
      <c r="M21" s="53"/>
      <c r="N21" s="56"/>
      <c r="O21" s="57" t="str">
        <f t="shared" si="1"/>
        <v>PEDIR MENOS — sobran 655 m; revisar pedidos sin facturar (3,843 m)</v>
      </c>
      <c r="P21" s="58">
        <f t="shared" si="2"/>
        <v>4843</v>
      </c>
      <c r="Q21" s="70" t="s">
        <v>1014</v>
      </c>
      <c r="R21" s="1"/>
      <c r="S21" s="1"/>
      <c r="T21" s="1"/>
      <c r="U21" s="1"/>
      <c r="V21" s="1"/>
      <c r="W21" s="1"/>
      <c r="X21" s="60">
        <f>IFERROR(VLOOKUP($A21,Ventas!$A$2:$L$5000,12,FALSE()),"")</f>
        <v>1047</v>
      </c>
      <c r="Y21" s="60">
        <f t="shared" si="3"/>
        <v>4188</v>
      </c>
      <c r="Z21" s="61">
        <f t="shared" si="4"/>
        <v>4.6</v>
      </c>
      <c r="AA21" s="60">
        <f t="shared" si="5"/>
        <v>-655</v>
      </c>
      <c r="AB21" s="62" t="str">
        <f t="shared" si="6"/>
        <v/>
      </c>
      <c r="AC21" s="62" t="str">
        <f t="array" ref="AC21">IF(AH21&lt;&gt;"COMPRAR","",IF(MAX(INDEX(Ventas!$G$2:$G$5000,MATCH($A21,Ventas!$A$2:$A$5000,0)),INDEX(Ventas!$H$2:$H$5000,MATCH($A21,Ventas!$A$2:$A$5000,0)),INDEX(Ventas!$I$2:$I$5000,MATCH($A21,Ventas!$A$2:$A$5000,0)),INDEX(Ventas!$J$2:$J$5000,MATCH($A21,Ventas!$A$2:$A$5000,0)))&gt;0.5*AF21*4,"1 mes = "&amp;TEXT(MAX(INDEX(Ventas!$G$2:$G$5000,MATCH($A21,Ventas!$A$2:$A$5000,0)),INDEX(Ventas!$H$2:$H$5000,MATCH($A21,Ventas!$A$2:$A$5000,0)),INDEX(Ventas!$I$2:$I$5000,MATCH($A21,Ventas!$A$2:$A$5000,0)),INDEX(Ventas!$J$2:$J$5000,MATCH($A21,Ventas!$A$2:$A$5000,0)))/(AF21*4),"0%")&amp;" de 4 meses",""))</f>
        <v/>
      </c>
      <c r="AD21" s="62" t="str">
        <f t="shared" si="7"/>
        <v>SÍ — 0 m vs 555 m</v>
      </c>
      <c r="AE21" s="62" t="str">
        <f t="array" ref="AE21">IF(X21="","",IF(AND(E21=0,AVERAGE(INDEX(Ventas!$C$2:$I$5000,MATCH($A21,Ventas!$A$2:$A$5000,0),0))&gt;0,INDEX(Ventas!$J$2:$J$5000,MATCH($A21,Ventas!$A$2:$A$5000,0))&lt;0.5*AVERAGE(INDEX(Ventas!$C$2:$I$5000,MATCH($A21,Ventas!$A$2:$A$5000,0),0))),"SÍ — stock 0 y Sep cayó (prom Feb-Ago "&amp;TEXT(AVERAGE(INDEX(Ventas!$C$2:$I$5000,MATCH($A21,Ventas!$A$2:$A$5000,0),0)),"#,##0")&amp;")",""))</f>
        <v>SÍ — stock 0 y Sep cayó (prom Feb-Ago 2,504)</v>
      </c>
      <c r="AF21" s="60">
        <f t="array" ref="AF21">IF(X21="","",IF(AE21&lt;&gt;"",MAX(X21,AVERAGE(INDEX(Ventas!$C$2:$I$5000,MATCH($A21,Ventas!$A$2:$A$5000,0),0))),X21))</f>
        <v>2504.428571</v>
      </c>
      <c r="AG21" s="60">
        <f t="shared" si="8"/>
        <v>5175</v>
      </c>
      <c r="AH21" s="63" t="str">
        <f t="shared" si="9"/>
        <v>COMPRAR</v>
      </c>
    </row>
    <row r="22" ht="13.5" customHeight="1">
      <c r="A22" s="64" t="s">
        <v>882</v>
      </c>
      <c r="B22" s="65" t="s">
        <v>183</v>
      </c>
      <c r="C22" s="65" t="s">
        <v>184</v>
      </c>
      <c r="D22" s="65" t="s">
        <v>1065</v>
      </c>
      <c r="E22" s="51">
        <v>2826.0</v>
      </c>
      <c r="F22" s="66"/>
      <c r="G22" s="53"/>
      <c r="H22" s="55"/>
      <c r="I22" s="55"/>
      <c r="J22" s="53"/>
      <c r="K22" s="53"/>
      <c r="L22" s="55"/>
      <c r="M22" s="53"/>
      <c r="N22" s="67"/>
      <c r="O22" s="57" t="str">
        <f t="shared" si="1"/>
        <v>SOBRESTOCK — 70.7 meses de cobertura</v>
      </c>
      <c r="P22" s="58">
        <f t="shared" si="2"/>
        <v>2826</v>
      </c>
      <c r="Q22" s="1"/>
      <c r="R22" s="1"/>
      <c r="S22" s="1"/>
      <c r="T22" s="1"/>
      <c r="U22" s="1"/>
      <c r="V22" s="1"/>
      <c r="W22" s="1"/>
      <c r="X22" s="60">
        <f>IFERROR(VLOOKUP($A22,Ventas!$A$2:$L$5000,12,FALSE()),"")</f>
        <v>40</v>
      </c>
      <c r="Y22" s="60">
        <f t="shared" si="3"/>
        <v>160</v>
      </c>
      <c r="Z22" s="61">
        <f t="shared" si="4"/>
        <v>70.7</v>
      </c>
      <c r="AA22" s="60">
        <f t="shared" si="5"/>
        <v>-2666</v>
      </c>
      <c r="AB22" s="62" t="str">
        <f t="shared" si="6"/>
        <v/>
      </c>
      <c r="AC22" s="62" t="str">
        <f t="array" ref="AC22">IF(AH22&lt;&gt;"COMPRAR","",IF(MAX(INDEX(Ventas!$G$2:$G$5000,MATCH($A22,Ventas!$A$2:$A$5000,0)),INDEX(Ventas!$H$2:$H$5000,MATCH($A22,Ventas!$A$2:$A$5000,0)),INDEX(Ventas!$I$2:$I$5000,MATCH($A22,Ventas!$A$2:$A$5000,0)),INDEX(Ventas!$J$2:$J$5000,MATCH($A22,Ventas!$A$2:$A$5000,0)))&gt;0.5*AF22*4,"1 mes = "&amp;TEXT(MAX(INDEX(Ventas!$G$2:$G$5000,MATCH($A22,Ventas!$A$2:$A$5000,0)),INDEX(Ventas!$H$2:$H$5000,MATCH($A22,Ventas!$A$2:$A$5000,0)),INDEX(Ventas!$I$2:$I$5000,MATCH($A22,Ventas!$A$2:$A$5000,0)),INDEX(Ventas!$J$2:$J$5000,MATCH($A22,Ventas!$A$2:$A$5000,0)))/(AF22*4),"0%")&amp;" de 4 meses",""))</f>
        <v/>
      </c>
      <c r="AD22" s="62" t="str">
        <f t="shared" si="7"/>
        <v/>
      </c>
      <c r="AE22" s="62" t="str">
        <f t="array" ref="AE22">IF(X22="","",IF(AND(E22=0,AVERAGE(INDEX(Ventas!$C$2:$I$5000,MATCH($A22,Ventas!$A$2:$A$5000,0),0))&gt;0,INDEX(Ventas!$J$2:$J$5000,MATCH($A22,Ventas!$A$2:$A$5000,0))&lt;0.5*AVERAGE(INDEX(Ventas!$C$2:$I$5000,MATCH($A22,Ventas!$A$2:$A$5000,0),0))),"SÍ — stock 0 y Sep cayó (prom Feb-Ago "&amp;TEXT(AVERAGE(INDEX(Ventas!$C$2:$I$5000,MATCH($A22,Ventas!$A$2:$A$5000,0),0)),"#,##0")&amp;")",""))</f>
        <v/>
      </c>
      <c r="AF22" s="60">
        <f t="array" ref="AF22">IF(X22="","",IF(AE22&lt;&gt;"",MAX(X22,AVERAGE(INDEX(Ventas!$C$2:$I$5000,MATCH($A22,Ventas!$A$2:$A$5000,0),0))),X22))</f>
        <v>40</v>
      </c>
      <c r="AG22" s="60">
        <f t="shared" si="8"/>
        <v>-2666</v>
      </c>
      <c r="AH22" s="63" t="str">
        <f t="shared" si="9"/>
        <v>SOBRESTOCK</v>
      </c>
    </row>
    <row r="23" ht="13.5" customHeight="1">
      <c r="A23" s="49" t="s">
        <v>799</v>
      </c>
      <c r="B23" s="50" t="s">
        <v>183</v>
      </c>
      <c r="C23" s="50" t="s">
        <v>1102</v>
      </c>
      <c r="D23" s="50" t="s">
        <v>1103</v>
      </c>
      <c r="E23" s="51">
        <v>0.0</v>
      </c>
      <c r="F23" s="52"/>
      <c r="G23" s="53"/>
      <c r="H23" s="55">
        <v>1880.0</v>
      </c>
      <c r="I23" s="55">
        <v>4082.0</v>
      </c>
      <c r="J23" s="53"/>
      <c r="K23" s="53">
        <v>6000.0</v>
      </c>
      <c r="L23" s="55">
        <v>6000.0</v>
      </c>
      <c r="M23" s="53"/>
      <c r="N23" s="71"/>
      <c r="O23" s="57" t="str">
        <f t="shared" si="1"/>
        <v>PEDIR MENOS — sobran 7,380 m; revisar pedidos sin facturar (16,082 m)</v>
      </c>
      <c r="P23" s="58">
        <f t="shared" si="2"/>
        <v>17962</v>
      </c>
      <c r="Q23" s="72">
        <v>10000.0</v>
      </c>
      <c r="R23" s="1"/>
      <c r="S23" s="1"/>
      <c r="T23" s="1"/>
      <c r="U23" s="1"/>
      <c r="V23" s="1"/>
      <c r="W23" s="1"/>
      <c r="X23" s="60">
        <f>IFERROR(VLOOKUP($A23,Ventas!$A$2:$L$5000,12,FALSE()),"")</f>
        <v>2645.5</v>
      </c>
      <c r="Y23" s="60">
        <f t="shared" si="3"/>
        <v>10582</v>
      </c>
      <c r="Z23" s="61">
        <f t="shared" si="4"/>
        <v>6.8</v>
      </c>
      <c r="AA23" s="60">
        <f t="shared" si="5"/>
        <v>-7380</v>
      </c>
      <c r="AB23" s="62" t="str">
        <f t="shared" si="6"/>
        <v/>
      </c>
      <c r="AC23" s="62" t="str">
        <f t="array" ref="AC23">IF(AH23&lt;&gt;"COMPRAR","",IF(MAX(INDEX(Ventas!$G$2:$G$5000,MATCH($A23,Ventas!$A$2:$A$5000,0)),INDEX(Ventas!$H$2:$H$5000,MATCH($A23,Ventas!$A$2:$A$5000,0)),INDEX(Ventas!$I$2:$I$5000,MATCH($A23,Ventas!$A$2:$A$5000,0)),INDEX(Ventas!$J$2:$J$5000,MATCH($A23,Ventas!$A$2:$A$5000,0)))&gt;0.5*AF23*4,"1 mes = "&amp;TEXT(MAX(INDEX(Ventas!$G$2:$G$5000,MATCH($A23,Ventas!$A$2:$A$5000,0)),INDEX(Ventas!$H$2:$H$5000,MATCH($A23,Ventas!$A$2:$A$5000,0)),INDEX(Ventas!$I$2:$I$5000,MATCH($A23,Ventas!$A$2:$A$5000,0)),INDEX(Ventas!$J$2:$J$5000,MATCH($A23,Ventas!$A$2:$A$5000,0)))/(AF23*4),"0%")&amp;" de 4 meses",""))</f>
        <v/>
      </c>
      <c r="AD23" s="62" t="str">
        <f t="shared" si="7"/>
        <v>SÍ — 0 m vs 1,402 m</v>
      </c>
      <c r="AE23" s="62" t="str">
        <f t="array" ref="AE23">IF(X23="","",IF(AND(E23=0,AVERAGE(INDEX(Ventas!$C$2:$I$5000,MATCH($A23,Ventas!$A$2:$A$5000,0),0))&gt;0,INDEX(Ventas!$J$2:$J$5000,MATCH($A23,Ventas!$A$2:$A$5000,0))&lt;0.5*AVERAGE(INDEX(Ventas!$C$2:$I$5000,MATCH($A23,Ventas!$A$2:$A$5000,0),0))),"SÍ — stock 0 y Sep cayó (prom Feb-Ago "&amp;TEXT(AVERAGE(INDEX(Ventas!$C$2:$I$5000,MATCH($A23,Ventas!$A$2:$A$5000,0),0)),"#,##0")&amp;")",""))</f>
        <v/>
      </c>
      <c r="AF23" s="60">
        <f t="array" ref="AF23">IF(X23="","",IF(AE23&lt;&gt;"",MAX(X23,AVERAGE(INDEX(Ventas!$C$2:$I$5000,MATCH($A23,Ventas!$A$2:$A$5000,0),0))),X23))</f>
        <v>2645.5</v>
      </c>
      <c r="AG23" s="60">
        <f t="shared" si="8"/>
        <v>-7380</v>
      </c>
      <c r="AH23" s="63" t="str">
        <f t="shared" si="9"/>
        <v>PEDIR MENOS</v>
      </c>
    </row>
    <row r="24" ht="13.5" customHeight="1">
      <c r="A24" s="64" t="s">
        <v>1166</v>
      </c>
      <c r="B24" s="65" t="s">
        <v>183</v>
      </c>
      <c r="C24" s="65" t="s">
        <v>1102</v>
      </c>
      <c r="D24" s="65" t="s">
        <v>336</v>
      </c>
      <c r="E24" s="51">
        <v>0.0</v>
      </c>
      <c r="F24" s="66"/>
      <c r="G24" s="53"/>
      <c r="H24" s="55">
        <v>1000.0</v>
      </c>
      <c r="I24" s="55">
        <v>1199.0</v>
      </c>
      <c r="J24" s="53"/>
      <c r="K24" s="53"/>
      <c r="L24" s="55"/>
      <c r="M24" s="53"/>
      <c r="N24" s="73"/>
      <c r="O24" s="57" t="str">
        <f t="shared" si="1"/>
        <v>SIN HISTORIAL DE VENTAS — artículo nuevo o código distinto en Ventas</v>
      </c>
      <c r="P24" s="58">
        <f t="shared" si="2"/>
        <v>2199</v>
      </c>
      <c r="Q24" s="72">
        <v>10000.0</v>
      </c>
      <c r="R24" s="1"/>
      <c r="S24" s="1"/>
      <c r="T24" s="1"/>
      <c r="U24" s="1"/>
      <c r="V24" s="1"/>
      <c r="W24" s="1"/>
      <c r="X24" s="60" t="str">
        <f>IFERROR(VLOOKUP($A24,Ventas!$A$2:$L$5000,12,FALSE()),"")</f>
        <v/>
      </c>
      <c r="Y24" s="60" t="str">
        <f t="shared" si="3"/>
        <v/>
      </c>
      <c r="Z24" s="61" t="str">
        <f t="shared" si="4"/>
        <v/>
      </c>
      <c r="AA24" s="60" t="str">
        <f t="shared" si="5"/>
        <v/>
      </c>
      <c r="AB24" s="62" t="str">
        <f t="shared" si="6"/>
        <v/>
      </c>
      <c r="AC24" s="62" t="str">
        <f t="array" ref="AC24">IF(AH24&lt;&gt;"COMPRAR","",IF(MAX(INDEX(Ventas!$G$2:$G$5000,MATCH($A24,Ventas!$A$2:$A$5000,0)),INDEX(Ventas!$H$2:$H$5000,MATCH($A24,Ventas!$A$2:$A$5000,0)),INDEX(Ventas!$I$2:$I$5000,MATCH($A24,Ventas!$A$2:$A$5000,0)),INDEX(Ventas!$J$2:$J$5000,MATCH($A24,Ventas!$A$2:$A$5000,0)))&gt;0.5*AF24*4,"1 mes = "&amp;TEXT(MAX(INDEX(Ventas!$G$2:$G$5000,MATCH($A24,Ventas!$A$2:$A$5000,0)),INDEX(Ventas!$H$2:$H$5000,MATCH($A24,Ventas!$A$2:$A$5000,0)),INDEX(Ventas!$I$2:$I$5000,MATCH($A24,Ventas!$A$2:$A$5000,0)),INDEX(Ventas!$J$2:$J$5000,MATCH($A24,Ventas!$A$2:$A$5000,0)))/(AF24*4),"0%")&amp;" de 4 meses",""))</f>
        <v/>
      </c>
      <c r="AD24" s="62" t="str">
        <f t="shared" si="7"/>
        <v/>
      </c>
      <c r="AE24" s="62" t="str">
        <f t="array" ref="AE24">IF(X24="","",IF(AND(E24=0,AVERAGE(INDEX(Ventas!$C$2:$I$5000,MATCH($A24,Ventas!$A$2:$A$5000,0),0))&gt;0,INDEX(Ventas!$J$2:$J$5000,MATCH($A24,Ventas!$A$2:$A$5000,0))&lt;0.5*AVERAGE(INDEX(Ventas!$C$2:$I$5000,MATCH($A24,Ventas!$A$2:$A$5000,0),0))),"SÍ — stock 0 y Sep cayó (prom Feb-Ago "&amp;TEXT(AVERAGE(INDEX(Ventas!$C$2:$I$5000,MATCH($A24,Ventas!$A$2:$A$5000,0),0)),"#,##0")&amp;")",""))</f>
        <v/>
      </c>
      <c r="AF24" s="60" t="str">
        <f t="array" ref="AF24">IF(X24="","",IF(AE24&lt;&gt;"",MAX(X24,AVERAGE(INDEX(Ventas!$C$2:$I$5000,MATCH($A24,Ventas!$A$2:$A$5000,0),0))),X24))</f>
        <v/>
      </c>
      <c r="AG24" s="60" t="str">
        <f t="shared" si="8"/>
        <v/>
      </c>
      <c r="AH24" s="63" t="str">
        <f t="shared" si="9"/>
        <v>SIN HISTORIAL</v>
      </c>
    </row>
    <row r="25" ht="13.5" customHeight="1">
      <c r="A25" s="49" t="s">
        <v>789</v>
      </c>
      <c r="B25" s="50" t="s">
        <v>183</v>
      </c>
      <c r="C25" s="50" t="s">
        <v>1102</v>
      </c>
      <c r="D25" s="50" t="s">
        <v>1009</v>
      </c>
      <c r="E25" s="51">
        <v>0.0</v>
      </c>
      <c r="F25" s="52"/>
      <c r="G25" s="53"/>
      <c r="H25" s="55">
        <v>1000.0</v>
      </c>
      <c r="I25" s="55">
        <v>1079.0</v>
      </c>
      <c r="J25" s="53"/>
      <c r="K25" s="53">
        <v>2000.0</v>
      </c>
      <c r="L25" s="55"/>
      <c r="M25" s="53"/>
      <c r="N25" s="74"/>
      <c r="O25" s="57" t="str">
        <f t="shared" si="1"/>
        <v>COMPRAR — faltan 1,382 m para 4 meses (ya contando pedidos)</v>
      </c>
      <c r="P25" s="58">
        <f t="shared" si="2"/>
        <v>4079</v>
      </c>
      <c r="Q25" s="70" t="s">
        <v>1225</v>
      </c>
      <c r="T25" s="1"/>
      <c r="U25" s="1"/>
      <c r="V25" s="1"/>
      <c r="W25" s="1"/>
      <c r="X25" s="60">
        <f>IFERROR(VLOOKUP($A25,Ventas!$A$2:$L$5000,12,FALSE()),"")</f>
        <v>1365.25</v>
      </c>
      <c r="Y25" s="60">
        <f t="shared" si="3"/>
        <v>5461</v>
      </c>
      <c r="Z25" s="61">
        <f t="shared" si="4"/>
        <v>3</v>
      </c>
      <c r="AA25" s="60">
        <f t="shared" si="5"/>
        <v>1382</v>
      </c>
      <c r="AB25" s="62" t="str">
        <f t="shared" si="6"/>
        <v/>
      </c>
      <c r="AC25" s="62" t="str">
        <f t="array" ref="AC25">IF(AH25&lt;&gt;"COMPRAR","",IF(MAX(INDEX(Ventas!$G$2:$G$5000,MATCH($A25,Ventas!$A$2:$A$5000,0)),INDEX(Ventas!$H$2:$H$5000,MATCH($A25,Ventas!$A$2:$A$5000,0)),INDEX(Ventas!$I$2:$I$5000,MATCH($A25,Ventas!$A$2:$A$5000,0)),INDEX(Ventas!$J$2:$J$5000,MATCH($A25,Ventas!$A$2:$A$5000,0)))&gt;0.5*AF25*4,"1 mes = "&amp;TEXT(MAX(INDEX(Ventas!$G$2:$G$5000,MATCH($A25,Ventas!$A$2:$A$5000,0)),INDEX(Ventas!$H$2:$H$5000,MATCH($A25,Ventas!$A$2:$A$5000,0)),INDEX(Ventas!$I$2:$I$5000,MATCH($A25,Ventas!$A$2:$A$5000,0)),INDEX(Ventas!$J$2:$J$5000,MATCH($A25,Ventas!$A$2:$A$5000,0)))/(AF25*4),"0%")&amp;" de 4 meses",""))</f>
        <v/>
      </c>
      <c r="AD25" s="62" t="str">
        <f t="shared" si="7"/>
        <v>SÍ — 0 m vs 724 m</v>
      </c>
      <c r="AE25" s="62" t="str">
        <f t="array" ref="AE25">IF(X25="","",IF(AND(E25=0,AVERAGE(INDEX(Ventas!$C$2:$I$5000,MATCH($A25,Ventas!$A$2:$A$5000,0),0))&gt;0,INDEX(Ventas!$J$2:$J$5000,MATCH($A25,Ventas!$A$2:$A$5000,0))&lt;0.5*AVERAGE(INDEX(Ventas!$C$2:$I$5000,MATCH($A25,Ventas!$A$2:$A$5000,0),0))),"SÍ — stock 0 y Sep cayó (prom Feb-Ago "&amp;TEXT(AVERAGE(INDEX(Ventas!$C$2:$I$5000,MATCH($A25,Ventas!$A$2:$A$5000,0),0)),"#,##0")&amp;")",""))</f>
        <v>SÍ — stock 0 y Sep cayó (prom Feb-Ago 1,145)</v>
      </c>
      <c r="AF25" s="60">
        <f t="array" ref="AF25">IF(X25="","",IF(AE25&lt;&gt;"",MAX(X25,AVERAGE(INDEX(Ventas!$C$2:$I$5000,MATCH($A25,Ventas!$A$2:$A$5000,0),0))),X25))</f>
        <v>1365.25</v>
      </c>
      <c r="AG25" s="60">
        <f t="shared" si="8"/>
        <v>1382</v>
      </c>
      <c r="AH25" s="63" t="str">
        <f t="shared" si="9"/>
        <v>COMPRAR</v>
      </c>
    </row>
    <row r="26" ht="13.5" customHeight="1">
      <c r="A26" s="64" t="s">
        <v>801</v>
      </c>
      <c r="B26" s="65" t="s">
        <v>183</v>
      </c>
      <c r="C26" s="65" t="s">
        <v>1102</v>
      </c>
      <c r="D26" s="65" t="s">
        <v>524</v>
      </c>
      <c r="E26" s="51">
        <v>40.0</v>
      </c>
      <c r="F26" s="66"/>
      <c r="G26" s="53"/>
      <c r="H26" s="55"/>
      <c r="I26" s="55"/>
      <c r="J26" s="53"/>
      <c r="K26" s="53"/>
      <c r="L26" s="55"/>
      <c r="M26" s="53"/>
      <c r="N26" s="73"/>
      <c r="O26" s="57" t="str">
        <f t="shared" si="1"/>
        <v>COMPRAR — faltan 226 m para 4 meses</v>
      </c>
      <c r="P26" s="58">
        <f t="shared" si="2"/>
        <v>40</v>
      </c>
      <c r="Q26" s="1"/>
      <c r="R26" s="1"/>
      <c r="S26" s="1"/>
      <c r="T26" s="1"/>
      <c r="U26" s="1"/>
      <c r="V26" s="1"/>
      <c r="W26" s="1"/>
      <c r="X26" s="60">
        <f>IFERROR(VLOOKUP($A26,Ventas!$A$2:$L$5000,12,FALSE()),"")</f>
        <v>66.5</v>
      </c>
      <c r="Y26" s="60">
        <f t="shared" si="3"/>
        <v>266</v>
      </c>
      <c r="Z26" s="61">
        <f t="shared" si="4"/>
        <v>0.6</v>
      </c>
      <c r="AA26" s="60">
        <f t="shared" si="5"/>
        <v>226</v>
      </c>
      <c r="AB26" s="62" t="str">
        <f t="shared" si="6"/>
        <v/>
      </c>
      <c r="AC26" s="62" t="str">
        <f t="array" ref="AC26">IF(AH26&lt;&gt;"COMPRAR","",IF(MAX(INDEX(Ventas!$G$2:$G$5000,MATCH($A26,Ventas!$A$2:$A$5000,0)),INDEX(Ventas!$H$2:$H$5000,MATCH($A26,Ventas!$A$2:$A$5000,0)),INDEX(Ventas!$I$2:$I$5000,MATCH($A26,Ventas!$A$2:$A$5000,0)),INDEX(Ventas!$J$2:$J$5000,MATCH($A26,Ventas!$A$2:$A$5000,0)))&gt;0.5*AF26*4,"1 mes = "&amp;TEXT(MAX(INDEX(Ventas!$G$2:$G$5000,MATCH($A26,Ventas!$A$2:$A$5000,0)),INDEX(Ventas!$H$2:$H$5000,MATCH($A26,Ventas!$A$2:$A$5000,0)),INDEX(Ventas!$I$2:$I$5000,MATCH($A26,Ventas!$A$2:$A$5000,0)),INDEX(Ventas!$J$2:$J$5000,MATCH($A26,Ventas!$A$2:$A$5000,0)))/(AF26*4),"0%")&amp;" de 4 meses",""))</f>
        <v>1 mes = 100% de 4 meses</v>
      </c>
      <c r="AD26" s="62" t="str">
        <f t="shared" si="7"/>
        <v/>
      </c>
      <c r="AE26" s="62" t="str">
        <f t="array" ref="AE26">IF(X26="","",IF(AND(E26=0,AVERAGE(INDEX(Ventas!$C$2:$I$5000,MATCH($A26,Ventas!$A$2:$A$5000,0),0))&gt;0,INDEX(Ventas!$J$2:$J$5000,MATCH($A26,Ventas!$A$2:$A$5000,0))&lt;0.5*AVERAGE(INDEX(Ventas!$C$2:$I$5000,MATCH($A26,Ventas!$A$2:$A$5000,0),0))),"SÍ — stock 0 y Sep cayó (prom Feb-Ago "&amp;TEXT(AVERAGE(INDEX(Ventas!$C$2:$I$5000,MATCH($A26,Ventas!$A$2:$A$5000,0),0)),"#,##0")&amp;")",""))</f>
        <v/>
      </c>
      <c r="AF26" s="60">
        <f t="array" ref="AF26">IF(X26="","",IF(AE26&lt;&gt;"",MAX(X26,AVERAGE(INDEX(Ventas!$C$2:$I$5000,MATCH($A26,Ventas!$A$2:$A$5000,0),0))),X26))</f>
        <v>66.5</v>
      </c>
      <c r="AG26" s="60">
        <f t="shared" si="8"/>
        <v>226</v>
      </c>
      <c r="AH26" s="63" t="str">
        <f t="shared" si="9"/>
        <v>COMPRAR</v>
      </c>
    </row>
    <row r="27" ht="13.5" customHeight="1">
      <c r="A27" s="49" t="s">
        <v>1326</v>
      </c>
      <c r="B27" s="50" t="s">
        <v>1327</v>
      </c>
      <c r="C27" s="50" t="s">
        <v>1328</v>
      </c>
      <c r="D27" s="50" t="s">
        <v>1329</v>
      </c>
      <c r="E27" s="51">
        <v>4552.0</v>
      </c>
      <c r="F27" s="52"/>
      <c r="G27" s="53"/>
      <c r="H27" s="54"/>
      <c r="I27" s="55"/>
      <c r="J27" s="53"/>
      <c r="K27" s="53"/>
      <c r="L27" s="55"/>
      <c r="M27" s="53"/>
      <c r="N27" s="74"/>
      <c r="O27" s="57" t="str">
        <f t="shared" si="1"/>
        <v>SOBRESTOCK — 606.9 meses de cobertura</v>
      </c>
      <c r="P27" s="58">
        <f t="shared" si="2"/>
        <v>4552</v>
      </c>
      <c r="Q27" s="1"/>
      <c r="R27" s="1"/>
      <c r="S27" s="1"/>
      <c r="T27" s="1"/>
      <c r="U27" s="1"/>
      <c r="V27" s="1"/>
      <c r="W27" s="1"/>
      <c r="X27" s="60">
        <f>IFERROR(VLOOKUP($A27,Ventas!$A$2:$L$5000,12,FALSE()),"")</f>
        <v>7.5</v>
      </c>
      <c r="Y27" s="60">
        <f t="shared" si="3"/>
        <v>30</v>
      </c>
      <c r="Z27" s="61">
        <f t="shared" si="4"/>
        <v>606.9</v>
      </c>
      <c r="AA27" s="60">
        <f t="shared" si="5"/>
        <v>-4522</v>
      </c>
      <c r="AB27" s="62" t="str">
        <f t="shared" si="6"/>
        <v/>
      </c>
      <c r="AC27" s="62" t="str">
        <f t="array" ref="AC27">IF(AH27&lt;&gt;"COMPRAR","",IF(MAX(INDEX(Ventas!$G$2:$G$5000,MATCH($A27,Ventas!$A$2:$A$5000,0)),INDEX(Ventas!$H$2:$H$5000,MATCH($A27,Ventas!$A$2:$A$5000,0)),INDEX(Ventas!$I$2:$I$5000,MATCH($A27,Ventas!$A$2:$A$5000,0)),INDEX(Ventas!$J$2:$J$5000,MATCH($A27,Ventas!$A$2:$A$5000,0)))&gt;0.5*AF27*4,"1 mes = "&amp;TEXT(MAX(INDEX(Ventas!$G$2:$G$5000,MATCH($A27,Ventas!$A$2:$A$5000,0)),INDEX(Ventas!$H$2:$H$5000,MATCH($A27,Ventas!$A$2:$A$5000,0)),INDEX(Ventas!$I$2:$I$5000,MATCH($A27,Ventas!$A$2:$A$5000,0)),INDEX(Ventas!$J$2:$J$5000,MATCH($A27,Ventas!$A$2:$A$5000,0)))/(AF27*4),"0%")&amp;" de 4 meses",""))</f>
        <v/>
      </c>
      <c r="AD27" s="62" t="str">
        <f t="shared" si="7"/>
        <v/>
      </c>
      <c r="AE27" s="62" t="str">
        <f t="array" ref="AE27">IF(X27="","",IF(AND(E27=0,AVERAGE(INDEX(Ventas!$C$2:$I$5000,MATCH($A27,Ventas!$A$2:$A$5000,0),0))&gt;0,INDEX(Ventas!$J$2:$J$5000,MATCH($A27,Ventas!$A$2:$A$5000,0))&lt;0.5*AVERAGE(INDEX(Ventas!$C$2:$I$5000,MATCH($A27,Ventas!$A$2:$A$5000,0),0))),"SÍ — stock 0 y Sep cayó (prom Feb-Ago "&amp;TEXT(AVERAGE(INDEX(Ventas!$C$2:$I$5000,MATCH($A27,Ventas!$A$2:$A$5000,0),0)),"#,##0")&amp;")",""))</f>
        <v/>
      </c>
      <c r="AF27" s="60">
        <f t="array" ref="AF27">IF(X27="","",IF(AE27&lt;&gt;"",MAX(X27,AVERAGE(INDEX(Ventas!$C$2:$I$5000,MATCH($A27,Ventas!$A$2:$A$5000,0),0))),X27))</f>
        <v>7.5</v>
      </c>
      <c r="AG27" s="60">
        <f t="shared" si="8"/>
        <v>-4522</v>
      </c>
      <c r="AH27" s="63" t="str">
        <f t="shared" si="9"/>
        <v>SOBRESTOCK</v>
      </c>
    </row>
    <row r="28" ht="13.5" customHeight="1">
      <c r="A28" s="64" t="s">
        <v>1372</v>
      </c>
      <c r="B28" s="65" t="s">
        <v>1327</v>
      </c>
      <c r="C28" s="65" t="s">
        <v>1374</v>
      </c>
      <c r="D28" s="65" t="s">
        <v>336</v>
      </c>
      <c r="E28" s="51">
        <v>845.0</v>
      </c>
      <c r="F28" s="66"/>
      <c r="G28" s="53"/>
      <c r="H28" s="55"/>
      <c r="I28" s="55"/>
      <c r="J28" s="53"/>
      <c r="K28" s="53"/>
      <c r="L28" s="55"/>
      <c r="M28" s="53"/>
      <c r="N28" s="73"/>
      <c r="O28" s="57" t="str">
        <f t="shared" si="1"/>
        <v>SOBRESTOCK — 56.3 meses de cobertura</v>
      </c>
      <c r="P28" s="58">
        <f t="shared" si="2"/>
        <v>845</v>
      </c>
      <c r="Q28" s="1"/>
      <c r="R28" s="1"/>
      <c r="S28" s="1"/>
      <c r="T28" s="1"/>
      <c r="U28" s="1"/>
      <c r="V28" s="1"/>
      <c r="W28" s="1"/>
      <c r="X28" s="60">
        <f>IFERROR(VLOOKUP($A28,Ventas!$A$2:$L$5000,12,FALSE()),"")</f>
        <v>15</v>
      </c>
      <c r="Y28" s="60">
        <f t="shared" si="3"/>
        <v>60</v>
      </c>
      <c r="Z28" s="61">
        <f t="shared" si="4"/>
        <v>56.3</v>
      </c>
      <c r="AA28" s="60">
        <f t="shared" si="5"/>
        <v>-785</v>
      </c>
      <c r="AB28" s="62" t="str">
        <f t="shared" si="6"/>
        <v/>
      </c>
      <c r="AC28" s="62" t="str">
        <f t="array" ref="AC28">IF(AH28&lt;&gt;"COMPRAR","",IF(MAX(INDEX(Ventas!$G$2:$G$5000,MATCH($A28,Ventas!$A$2:$A$5000,0)),INDEX(Ventas!$H$2:$H$5000,MATCH($A28,Ventas!$A$2:$A$5000,0)),INDEX(Ventas!$I$2:$I$5000,MATCH($A28,Ventas!$A$2:$A$5000,0)),INDEX(Ventas!$J$2:$J$5000,MATCH($A28,Ventas!$A$2:$A$5000,0)))&gt;0.5*AF28*4,"1 mes = "&amp;TEXT(MAX(INDEX(Ventas!$G$2:$G$5000,MATCH($A28,Ventas!$A$2:$A$5000,0)),INDEX(Ventas!$H$2:$H$5000,MATCH($A28,Ventas!$A$2:$A$5000,0)),INDEX(Ventas!$I$2:$I$5000,MATCH($A28,Ventas!$A$2:$A$5000,0)),INDEX(Ventas!$J$2:$J$5000,MATCH($A28,Ventas!$A$2:$A$5000,0)))/(AF28*4),"0%")&amp;" de 4 meses",""))</f>
        <v/>
      </c>
      <c r="AD28" s="62" t="str">
        <f t="shared" si="7"/>
        <v/>
      </c>
      <c r="AE28" s="62" t="str">
        <f t="array" ref="AE28">IF(X28="","",IF(AND(E28=0,AVERAGE(INDEX(Ventas!$C$2:$I$5000,MATCH($A28,Ventas!$A$2:$A$5000,0),0))&gt;0,INDEX(Ventas!$J$2:$J$5000,MATCH($A28,Ventas!$A$2:$A$5000,0))&lt;0.5*AVERAGE(INDEX(Ventas!$C$2:$I$5000,MATCH($A28,Ventas!$A$2:$A$5000,0),0))),"SÍ — stock 0 y Sep cayó (prom Feb-Ago "&amp;TEXT(AVERAGE(INDEX(Ventas!$C$2:$I$5000,MATCH($A28,Ventas!$A$2:$A$5000,0),0)),"#,##0")&amp;")",""))</f>
        <v/>
      </c>
      <c r="AF28" s="60">
        <f t="array" ref="AF28">IF(X28="","",IF(AE28&lt;&gt;"",MAX(X28,AVERAGE(INDEX(Ventas!$C$2:$I$5000,MATCH($A28,Ventas!$A$2:$A$5000,0),0))),X28))</f>
        <v>15</v>
      </c>
      <c r="AG28" s="60">
        <f t="shared" si="8"/>
        <v>-785</v>
      </c>
      <c r="AH28" s="63" t="str">
        <f t="shared" si="9"/>
        <v>SOBRESTOCK</v>
      </c>
    </row>
    <row r="29" ht="13.5" customHeight="1">
      <c r="A29" s="49" t="s">
        <v>876</v>
      </c>
      <c r="B29" s="50" t="s">
        <v>1327</v>
      </c>
      <c r="C29" s="50" t="s">
        <v>1438</v>
      </c>
      <c r="D29" s="50" t="s">
        <v>1329</v>
      </c>
      <c r="E29" s="51">
        <v>0.0</v>
      </c>
      <c r="F29" s="52"/>
      <c r="G29" s="53"/>
      <c r="H29" s="54"/>
      <c r="I29" s="55"/>
      <c r="J29" s="53"/>
      <c r="K29" s="53"/>
      <c r="L29" s="55"/>
      <c r="M29" s="53"/>
      <c r="N29" s="74"/>
      <c r="O29" s="57" t="str">
        <f t="shared" si="1"/>
        <v>COMPRAR — faltan 99 m para 4 meses</v>
      </c>
      <c r="P29" s="58">
        <f t="shared" si="2"/>
        <v>0</v>
      </c>
      <c r="Q29" s="70" t="s">
        <v>1443</v>
      </c>
      <c r="U29" s="1"/>
      <c r="V29" s="1"/>
      <c r="W29" s="1"/>
      <c r="X29" s="60">
        <f>IFERROR(VLOOKUP($A29,Ventas!$A$2:$L$5000,12,FALSE()),"")</f>
        <v>24.7</v>
      </c>
      <c r="Y29" s="60">
        <f t="shared" si="3"/>
        <v>99</v>
      </c>
      <c r="Z29" s="61">
        <f t="shared" si="4"/>
        <v>0</v>
      </c>
      <c r="AA29" s="60">
        <f t="shared" si="5"/>
        <v>99</v>
      </c>
      <c r="AB29" s="62" t="str">
        <f t="shared" si="6"/>
        <v/>
      </c>
      <c r="AC29" s="62" t="str">
        <f t="array" ref="AC29">IF(AH29&lt;&gt;"COMPRAR","",IF(MAX(INDEX(Ventas!$G$2:$G$5000,MATCH($A29,Ventas!$A$2:$A$5000,0)),INDEX(Ventas!$H$2:$H$5000,MATCH($A29,Ventas!$A$2:$A$5000,0)),INDEX(Ventas!$I$2:$I$5000,MATCH($A29,Ventas!$A$2:$A$5000,0)),INDEX(Ventas!$J$2:$J$5000,MATCH($A29,Ventas!$A$2:$A$5000,0)))&gt;0.5*AF29*4,"1 mes = "&amp;TEXT(MAX(INDEX(Ventas!$G$2:$G$5000,MATCH($A29,Ventas!$A$2:$A$5000,0)),INDEX(Ventas!$H$2:$H$5000,MATCH($A29,Ventas!$A$2:$A$5000,0)),INDEX(Ventas!$I$2:$I$5000,MATCH($A29,Ventas!$A$2:$A$5000,0)),INDEX(Ventas!$J$2:$J$5000,MATCH($A29,Ventas!$A$2:$A$5000,0)))/(AF29*4),"0%")&amp;" de 4 meses",""))</f>
        <v/>
      </c>
      <c r="AD29" s="62" t="str">
        <f t="shared" si="7"/>
        <v>SÍ — 0 m vs 13 m</v>
      </c>
      <c r="AE29" s="62" t="str">
        <f t="array" ref="AE29">IF(X29="","",IF(AND(E29=0,AVERAGE(INDEX(Ventas!$C$2:$I$5000,MATCH($A29,Ventas!$A$2:$A$5000,0),0))&gt;0,INDEX(Ventas!$J$2:$J$5000,MATCH($A29,Ventas!$A$2:$A$5000,0))&lt;0.5*AVERAGE(INDEX(Ventas!$C$2:$I$5000,MATCH($A29,Ventas!$A$2:$A$5000,0),0))),"SÍ — stock 0 y Sep cayó (prom Feb-Ago "&amp;TEXT(AVERAGE(INDEX(Ventas!$C$2:$I$5000,MATCH($A29,Ventas!$A$2:$A$5000,0),0)),"#,##0")&amp;")",""))</f>
        <v>SÍ — stock 0 y Sep cayó (prom Feb-Ago 512)</v>
      </c>
      <c r="AF29" s="60">
        <f t="array" ref="AF29">IF(X29="","",IF(AE29&lt;&gt;"",MAX(X29,AVERAGE(INDEX(Ventas!$C$2:$I$5000,MATCH($A29,Ventas!$A$2:$A$5000,0),0))),X29))</f>
        <v>511.6857143</v>
      </c>
      <c r="AG29" s="60">
        <f t="shared" si="8"/>
        <v>2047</v>
      </c>
      <c r="AH29" s="63" t="str">
        <f t="shared" si="9"/>
        <v>COMPRAR</v>
      </c>
    </row>
    <row r="30" ht="13.5" customHeight="1">
      <c r="A30" s="64" t="s">
        <v>1498</v>
      </c>
      <c r="B30" s="65" t="s">
        <v>1327</v>
      </c>
      <c r="C30" s="65" t="s">
        <v>1499</v>
      </c>
      <c r="D30" s="65" t="s">
        <v>1329</v>
      </c>
      <c r="E30" s="51">
        <v>0.0</v>
      </c>
      <c r="F30" s="66"/>
      <c r="G30" s="53"/>
      <c r="H30" s="54"/>
      <c r="I30" s="55"/>
      <c r="J30" s="53"/>
      <c r="K30" s="53"/>
      <c r="L30" s="55"/>
      <c r="M30" s="53"/>
      <c r="N30" s="73"/>
      <c r="O30" s="57" t="str">
        <f t="shared" si="1"/>
        <v>SIN VENTAS Jun-Sep — no comprar</v>
      </c>
      <c r="P30" s="58">
        <f t="shared" si="2"/>
        <v>0</v>
      </c>
      <c r="Q30" s="1" t="s">
        <v>1443</v>
      </c>
      <c r="U30" s="1"/>
      <c r="V30" s="1"/>
      <c r="W30" s="1"/>
      <c r="X30" s="60">
        <f>IFERROR(VLOOKUP($A30,Ventas!$A$2:$L$5000,12,FALSE()),"")</f>
        <v>0</v>
      </c>
      <c r="Y30" s="60">
        <f t="shared" si="3"/>
        <v>0</v>
      </c>
      <c r="Z30" s="61" t="str">
        <f t="shared" si="4"/>
        <v/>
      </c>
      <c r="AA30" s="60">
        <f t="shared" si="5"/>
        <v>0</v>
      </c>
      <c r="AB30" s="62" t="str">
        <f t="shared" si="6"/>
        <v/>
      </c>
      <c r="AC30" s="62" t="str">
        <f t="array" ref="AC30">IF(AH30&lt;&gt;"COMPRAR","",IF(MAX(INDEX(Ventas!$G$2:$G$5000,MATCH($A30,Ventas!$A$2:$A$5000,0)),INDEX(Ventas!$H$2:$H$5000,MATCH($A30,Ventas!$A$2:$A$5000,0)),INDEX(Ventas!$I$2:$I$5000,MATCH($A30,Ventas!$A$2:$A$5000,0)),INDEX(Ventas!$J$2:$J$5000,MATCH($A30,Ventas!$A$2:$A$5000,0)))&gt;0.5*AF30*4,"1 mes = "&amp;TEXT(MAX(INDEX(Ventas!$G$2:$G$5000,MATCH($A30,Ventas!$A$2:$A$5000,0)),INDEX(Ventas!$H$2:$H$5000,MATCH($A30,Ventas!$A$2:$A$5000,0)),INDEX(Ventas!$I$2:$I$5000,MATCH($A30,Ventas!$A$2:$A$5000,0)),INDEX(Ventas!$J$2:$J$5000,MATCH($A30,Ventas!$A$2:$A$5000,0)))/(AF30*4),"0%")&amp;" de 4 meses",""))</f>
        <v/>
      </c>
      <c r="AD30" s="62" t="str">
        <f t="shared" si="7"/>
        <v/>
      </c>
      <c r="AE30" s="62" t="str">
        <f t="array" ref="AE30">IF(X30="","",IF(AND(E30=0,AVERAGE(INDEX(Ventas!$C$2:$I$5000,MATCH($A30,Ventas!$A$2:$A$5000,0),0))&gt;0,INDEX(Ventas!$J$2:$J$5000,MATCH($A30,Ventas!$A$2:$A$5000,0))&lt;0.5*AVERAGE(INDEX(Ventas!$C$2:$I$5000,MATCH($A30,Ventas!$A$2:$A$5000,0),0))),"SÍ — stock 0 y Sep cayó (prom Feb-Ago "&amp;TEXT(AVERAGE(INDEX(Ventas!$C$2:$I$5000,MATCH($A30,Ventas!$A$2:$A$5000,0),0)),"#,##0")&amp;")",""))</f>
        <v>SÍ — stock 0 y Sep cayó (prom Feb-Ago 172)</v>
      </c>
      <c r="AF30" s="60">
        <f t="array" ref="AF30">IF(X30="","",IF(AE30&lt;&gt;"",MAX(X30,AVERAGE(INDEX(Ventas!$C$2:$I$5000,MATCH($A30,Ventas!$A$2:$A$5000,0),0))),X30))</f>
        <v>172.1428571</v>
      </c>
      <c r="AG30" s="60">
        <f t="shared" si="8"/>
        <v>689</v>
      </c>
      <c r="AH30" s="63" t="str">
        <f t="shared" si="9"/>
        <v>COMPRAR</v>
      </c>
    </row>
    <row r="31" ht="13.5" customHeight="1">
      <c r="A31" s="49" t="s">
        <v>1546</v>
      </c>
      <c r="B31" s="50" t="s">
        <v>1327</v>
      </c>
      <c r="C31" s="50" t="s">
        <v>1547</v>
      </c>
      <c r="D31" s="50" t="s">
        <v>1329</v>
      </c>
      <c r="E31" s="51">
        <v>0.0</v>
      </c>
      <c r="F31" s="52"/>
      <c r="G31" s="53"/>
      <c r="H31" s="54"/>
      <c r="I31" s="55"/>
      <c r="J31" s="53"/>
      <c r="K31" s="53"/>
      <c r="L31" s="55"/>
      <c r="M31" s="53"/>
      <c r="N31" s="74"/>
      <c r="O31" s="57" t="str">
        <f t="shared" si="1"/>
        <v>SIN VENTAS Jun-Sep — no comprar</v>
      </c>
      <c r="P31" s="58">
        <f t="shared" si="2"/>
        <v>0</v>
      </c>
      <c r="Q31" s="1" t="s">
        <v>1443</v>
      </c>
      <c r="U31" s="1"/>
      <c r="V31" s="1"/>
      <c r="W31" s="1"/>
      <c r="X31" s="60">
        <f>IFERROR(VLOOKUP($A31,Ventas!$A$2:$L$5000,12,FALSE()),"")</f>
        <v>0</v>
      </c>
      <c r="Y31" s="60">
        <f t="shared" si="3"/>
        <v>0</v>
      </c>
      <c r="Z31" s="61" t="str">
        <f t="shared" si="4"/>
        <v/>
      </c>
      <c r="AA31" s="60">
        <f t="shared" si="5"/>
        <v>0</v>
      </c>
      <c r="AB31" s="62" t="str">
        <f t="shared" si="6"/>
        <v/>
      </c>
      <c r="AC31" s="62" t="str">
        <f t="array" ref="AC31">IF(AH31&lt;&gt;"COMPRAR","",IF(MAX(INDEX(Ventas!$G$2:$G$5000,MATCH($A31,Ventas!$A$2:$A$5000,0)),INDEX(Ventas!$H$2:$H$5000,MATCH($A31,Ventas!$A$2:$A$5000,0)),INDEX(Ventas!$I$2:$I$5000,MATCH($A31,Ventas!$A$2:$A$5000,0)),INDEX(Ventas!$J$2:$J$5000,MATCH($A31,Ventas!$A$2:$A$5000,0)))&gt;0.5*AF31*4,"1 mes = "&amp;TEXT(MAX(INDEX(Ventas!$G$2:$G$5000,MATCH($A31,Ventas!$A$2:$A$5000,0)),INDEX(Ventas!$H$2:$H$5000,MATCH($A31,Ventas!$A$2:$A$5000,0)),INDEX(Ventas!$I$2:$I$5000,MATCH($A31,Ventas!$A$2:$A$5000,0)),INDEX(Ventas!$J$2:$J$5000,MATCH($A31,Ventas!$A$2:$A$5000,0)))/(AF31*4),"0%")&amp;" de 4 meses",""))</f>
        <v/>
      </c>
      <c r="AD31" s="62" t="str">
        <f t="shared" si="7"/>
        <v/>
      </c>
      <c r="AE31" s="62" t="str">
        <f t="array" ref="AE31">IF(X31="","",IF(AND(E31=0,AVERAGE(INDEX(Ventas!$C$2:$I$5000,MATCH($A31,Ventas!$A$2:$A$5000,0),0))&gt;0,INDEX(Ventas!$J$2:$J$5000,MATCH($A31,Ventas!$A$2:$A$5000,0))&lt;0.5*AVERAGE(INDEX(Ventas!$C$2:$I$5000,MATCH($A31,Ventas!$A$2:$A$5000,0),0))),"SÍ — stock 0 y Sep cayó (prom Feb-Ago "&amp;TEXT(AVERAGE(INDEX(Ventas!$C$2:$I$5000,MATCH($A31,Ventas!$A$2:$A$5000,0),0)),"#,##0")&amp;")",""))</f>
        <v>SÍ — stock 0 y Sep cayó (prom Feb-Ago 97)</v>
      </c>
      <c r="AF31" s="60">
        <f t="array" ref="AF31">IF(X31="","",IF(AE31&lt;&gt;"",MAX(X31,AVERAGE(INDEX(Ventas!$C$2:$I$5000,MATCH($A31,Ventas!$A$2:$A$5000,0),0))),X31))</f>
        <v>96.64285714</v>
      </c>
      <c r="AG31" s="60">
        <f t="shared" si="8"/>
        <v>387</v>
      </c>
      <c r="AH31" s="63" t="str">
        <f t="shared" si="9"/>
        <v>COMPRAR</v>
      </c>
    </row>
    <row r="32" ht="13.5" customHeight="1">
      <c r="A32" s="64" t="s">
        <v>874</v>
      </c>
      <c r="B32" s="65" t="s">
        <v>1327</v>
      </c>
      <c r="C32" s="65" t="s">
        <v>1438</v>
      </c>
      <c r="D32" s="65" t="s">
        <v>336</v>
      </c>
      <c r="E32" s="51">
        <v>400.0</v>
      </c>
      <c r="F32" s="66"/>
      <c r="G32" s="53"/>
      <c r="H32" s="55"/>
      <c r="I32" s="55"/>
      <c r="J32" s="53"/>
      <c r="K32" s="53"/>
      <c r="L32" s="55"/>
      <c r="M32" s="53"/>
      <c r="N32" s="73"/>
      <c r="O32" s="57" t="str">
        <f t="shared" si="1"/>
        <v>SOBRESTOCK — 10.4 meses de cobertura</v>
      </c>
      <c r="P32" s="58">
        <f t="shared" si="2"/>
        <v>400</v>
      </c>
      <c r="Q32" s="1" t="s">
        <v>1443</v>
      </c>
      <c r="U32" s="1"/>
      <c r="V32" s="1"/>
      <c r="W32" s="1"/>
      <c r="X32" s="60">
        <f>IFERROR(VLOOKUP($A32,Ventas!$A$2:$L$5000,12,FALSE()),"")</f>
        <v>38.5</v>
      </c>
      <c r="Y32" s="60">
        <f t="shared" si="3"/>
        <v>154</v>
      </c>
      <c r="Z32" s="61">
        <f t="shared" si="4"/>
        <v>10.4</v>
      </c>
      <c r="AA32" s="60">
        <f t="shared" si="5"/>
        <v>-246</v>
      </c>
      <c r="AB32" s="62" t="str">
        <f t="shared" si="6"/>
        <v/>
      </c>
      <c r="AC32" s="62" t="str">
        <f t="array" ref="AC32">IF(AH32&lt;&gt;"COMPRAR","",IF(MAX(INDEX(Ventas!$G$2:$G$5000,MATCH($A32,Ventas!$A$2:$A$5000,0)),INDEX(Ventas!$H$2:$H$5000,MATCH($A32,Ventas!$A$2:$A$5000,0)),INDEX(Ventas!$I$2:$I$5000,MATCH($A32,Ventas!$A$2:$A$5000,0)),INDEX(Ventas!$J$2:$J$5000,MATCH($A32,Ventas!$A$2:$A$5000,0)))&gt;0.5*AF32*4,"1 mes = "&amp;TEXT(MAX(INDEX(Ventas!$G$2:$G$5000,MATCH($A32,Ventas!$A$2:$A$5000,0)),INDEX(Ventas!$H$2:$H$5000,MATCH($A32,Ventas!$A$2:$A$5000,0)),INDEX(Ventas!$I$2:$I$5000,MATCH($A32,Ventas!$A$2:$A$5000,0)),INDEX(Ventas!$J$2:$J$5000,MATCH($A32,Ventas!$A$2:$A$5000,0)))/(AF32*4),"0%")&amp;" de 4 meses",""))</f>
        <v/>
      </c>
      <c r="AD32" s="62" t="str">
        <f t="shared" si="7"/>
        <v/>
      </c>
      <c r="AE32" s="62" t="str">
        <f t="array" ref="AE32">IF(X32="","",IF(AND(E32=0,AVERAGE(INDEX(Ventas!$C$2:$I$5000,MATCH($A32,Ventas!$A$2:$A$5000,0),0))&gt;0,INDEX(Ventas!$J$2:$J$5000,MATCH($A32,Ventas!$A$2:$A$5000,0))&lt;0.5*AVERAGE(INDEX(Ventas!$C$2:$I$5000,MATCH($A32,Ventas!$A$2:$A$5000,0),0))),"SÍ — stock 0 y Sep cayó (prom Feb-Ago "&amp;TEXT(AVERAGE(INDEX(Ventas!$C$2:$I$5000,MATCH($A32,Ventas!$A$2:$A$5000,0),0)),"#,##0")&amp;")",""))</f>
        <v/>
      </c>
      <c r="AF32" s="60">
        <f t="array" ref="AF32">IF(X32="","",IF(AE32&lt;&gt;"",MAX(X32,AVERAGE(INDEX(Ventas!$C$2:$I$5000,MATCH($A32,Ventas!$A$2:$A$5000,0),0))),X32))</f>
        <v>38.5</v>
      </c>
      <c r="AG32" s="60">
        <f t="shared" si="8"/>
        <v>-246</v>
      </c>
      <c r="AH32" s="63" t="str">
        <f t="shared" si="9"/>
        <v>SOBRESTOCK</v>
      </c>
    </row>
    <row r="33" ht="13.5" customHeight="1">
      <c r="A33" s="49" t="s">
        <v>1669</v>
      </c>
      <c r="B33" s="50" t="s">
        <v>1327</v>
      </c>
      <c r="C33" s="50" t="s">
        <v>1499</v>
      </c>
      <c r="D33" s="50" t="s">
        <v>336</v>
      </c>
      <c r="E33" s="51">
        <v>0.0</v>
      </c>
      <c r="F33" s="52"/>
      <c r="G33" s="53"/>
      <c r="H33" s="55"/>
      <c r="I33" s="55"/>
      <c r="J33" s="53"/>
      <c r="K33" s="53"/>
      <c r="L33" s="55"/>
      <c r="M33" s="53"/>
      <c r="N33" s="74"/>
      <c r="O33" s="57" t="str">
        <f t="shared" si="1"/>
        <v>COMPRAR — faltan 120 m para 4 meses</v>
      </c>
      <c r="P33" s="58">
        <f t="shared" si="2"/>
        <v>0</v>
      </c>
      <c r="Q33" s="1" t="s">
        <v>1443</v>
      </c>
      <c r="U33" s="1"/>
      <c r="V33" s="1"/>
      <c r="W33" s="1"/>
      <c r="X33" s="60">
        <f>IFERROR(VLOOKUP($A33,Ventas!$A$2:$L$5000,12,FALSE()),"")</f>
        <v>30</v>
      </c>
      <c r="Y33" s="60">
        <f t="shared" si="3"/>
        <v>120</v>
      </c>
      <c r="Z33" s="61">
        <f t="shared" si="4"/>
        <v>0</v>
      </c>
      <c r="AA33" s="60">
        <f t="shared" si="5"/>
        <v>120</v>
      </c>
      <c r="AB33" s="62" t="str">
        <f t="shared" si="6"/>
        <v/>
      </c>
      <c r="AC33" s="62" t="str">
        <f t="array" ref="AC33">IF(AH33&lt;&gt;"COMPRAR","",IF(MAX(INDEX(Ventas!$G$2:$G$5000,MATCH($A33,Ventas!$A$2:$A$5000,0)),INDEX(Ventas!$H$2:$H$5000,MATCH($A33,Ventas!$A$2:$A$5000,0)),INDEX(Ventas!$I$2:$I$5000,MATCH($A33,Ventas!$A$2:$A$5000,0)),INDEX(Ventas!$J$2:$J$5000,MATCH($A33,Ventas!$A$2:$A$5000,0)))&gt;0.5*AF33*4,"1 mes = "&amp;TEXT(MAX(INDEX(Ventas!$G$2:$G$5000,MATCH($A33,Ventas!$A$2:$A$5000,0)),INDEX(Ventas!$H$2:$H$5000,MATCH($A33,Ventas!$A$2:$A$5000,0)),INDEX(Ventas!$I$2:$I$5000,MATCH($A33,Ventas!$A$2:$A$5000,0)),INDEX(Ventas!$J$2:$J$5000,MATCH($A33,Ventas!$A$2:$A$5000,0)))/(AF33*4),"0%")&amp;" de 4 meses",""))</f>
        <v/>
      </c>
      <c r="AD33" s="62" t="str">
        <f t="shared" si="7"/>
        <v>SÍ — 0 m vs 16 m</v>
      </c>
      <c r="AE33" s="62" t="str">
        <f t="array" ref="AE33">IF(X33="","",IF(AND(E33=0,AVERAGE(INDEX(Ventas!$C$2:$I$5000,MATCH($A33,Ventas!$A$2:$A$5000,0),0))&gt;0,INDEX(Ventas!$J$2:$J$5000,MATCH($A33,Ventas!$A$2:$A$5000,0))&lt;0.5*AVERAGE(INDEX(Ventas!$C$2:$I$5000,MATCH($A33,Ventas!$A$2:$A$5000,0),0))),"SÍ — stock 0 y Sep cayó (prom Feb-Ago "&amp;TEXT(AVERAGE(INDEX(Ventas!$C$2:$I$5000,MATCH($A33,Ventas!$A$2:$A$5000,0),0)),"#,##0")&amp;")",""))</f>
        <v/>
      </c>
      <c r="AF33" s="60">
        <f t="array" ref="AF33">IF(X33="","",IF(AE33&lt;&gt;"",MAX(X33,AVERAGE(INDEX(Ventas!$C$2:$I$5000,MATCH($A33,Ventas!$A$2:$A$5000,0),0))),X33))</f>
        <v>30</v>
      </c>
      <c r="AG33" s="60">
        <f t="shared" si="8"/>
        <v>120</v>
      </c>
      <c r="AH33" s="63" t="str">
        <f t="shared" si="9"/>
        <v>COMPRAR</v>
      </c>
    </row>
    <row r="34" ht="13.5" customHeight="1">
      <c r="A34" s="64" t="s">
        <v>1722</v>
      </c>
      <c r="B34" s="65" t="s">
        <v>1327</v>
      </c>
      <c r="C34" s="65" t="s">
        <v>1723</v>
      </c>
      <c r="D34" s="65" t="s">
        <v>336</v>
      </c>
      <c r="E34" s="51">
        <v>387.0</v>
      </c>
      <c r="F34" s="66"/>
      <c r="G34" s="53"/>
      <c r="H34" s="55"/>
      <c r="I34" s="55"/>
      <c r="J34" s="53"/>
      <c r="K34" s="53"/>
      <c r="L34" s="55"/>
      <c r="M34" s="53"/>
      <c r="N34" s="73"/>
      <c r="O34" s="57" t="str">
        <f t="shared" si="1"/>
        <v>SOBRESTOCK — 25.8 meses de cobertura</v>
      </c>
      <c r="P34" s="58">
        <f t="shared" si="2"/>
        <v>387</v>
      </c>
      <c r="Q34" s="1" t="s">
        <v>1443</v>
      </c>
      <c r="U34" s="1"/>
      <c r="V34" s="1"/>
      <c r="W34" s="1"/>
      <c r="X34" s="60">
        <f>IFERROR(VLOOKUP($A34,Ventas!$A$2:$L$5000,12,FALSE()),"")</f>
        <v>15</v>
      </c>
      <c r="Y34" s="60">
        <f t="shared" si="3"/>
        <v>60</v>
      </c>
      <c r="Z34" s="61">
        <f t="shared" si="4"/>
        <v>25.8</v>
      </c>
      <c r="AA34" s="60">
        <f t="shared" si="5"/>
        <v>-327</v>
      </c>
      <c r="AB34" s="62" t="str">
        <f t="shared" si="6"/>
        <v/>
      </c>
      <c r="AC34" s="62" t="str">
        <f t="array" ref="AC34">IF(AH34&lt;&gt;"COMPRAR","",IF(MAX(INDEX(Ventas!$G$2:$G$5000,MATCH($A34,Ventas!$A$2:$A$5000,0)),INDEX(Ventas!$H$2:$H$5000,MATCH($A34,Ventas!$A$2:$A$5000,0)),INDEX(Ventas!$I$2:$I$5000,MATCH($A34,Ventas!$A$2:$A$5000,0)),INDEX(Ventas!$J$2:$J$5000,MATCH($A34,Ventas!$A$2:$A$5000,0)))&gt;0.5*AF34*4,"1 mes = "&amp;TEXT(MAX(INDEX(Ventas!$G$2:$G$5000,MATCH($A34,Ventas!$A$2:$A$5000,0)),INDEX(Ventas!$H$2:$H$5000,MATCH($A34,Ventas!$A$2:$A$5000,0)),INDEX(Ventas!$I$2:$I$5000,MATCH($A34,Ventas!$A$2:$A$5000,0)),INDEX(Ventas!$J$2:$J$5000,MATCH($A34,Ventas!$A$2:$A$5000,0)))/(AF34*4),"0%")&amp;" de 4 meses",""))</f>
        <v/>
      </c>
      <c r="AD34" s="62" t="str">
        <f t="shared" si="7"/>
        <v/>
      </c>
      <c r="AE34" s="62" t="str">
        <f t="array" ref="AE34">IF(X34="","",IF(AND(E34=0,AVERAGE(INDEX(Ventas!$C$2:$I$5000,MATCH($A34,Ventas!$A$2:$A$5000,0),0))&gt;0,INDEX(Ventas!$J$2:$J$5000,MATCH($A34,Ventas!$A$2:$A$5000,0))&lt;0.5*AVERAGE(INDEX(Ventas!$C$2:$I$5000,MATCH($A34,Ventas!$A$2:$A$5000,0),0))),"SÍ — stock 0 y Sep cayó (prom Feb-Ago "&amp;TEXT(AVERAGE(INDEX(Ventas!$C$2:$I$5000,MATCH($A34,Ventas!$A$2:$A$5000,0),0)),"#,##0")&amp;")",""))</f>
        <v/>
      </c>
      <c r="AF34" s="60">
        <f t="array" ref="AF34">IF(X34="","",IF(AE34&lt;&gt;"",MAX(X34,AVERAGE(INDEX(Ventas!$C$2:$I$5000,MATCH($A34,Ventas!$A$2:$A$5000,0),0))),X34))</f>
        <v>15</v>
      </c>
      <c r="AG34" s="60">
        <f t="shared" si="8"/>
        <v>-327</v>
      </c>
      <c r="AH34" s="63" t="str">
        <f t="shared" si="9"/>
        <v>SOBRESTOCK</v>
      </c>
    </row>
    <row r="35" ht="13.5" customHeight="1">
      <c r="A35" s="49" t="s">
        <v>872</v>
      </c>
      <c r="B35" s="50" t="s">
        <v>1327</v>
      </c>
      <c r="C35" s="50" t="s">
        <v>1784</v>
      </c>
      <c r="D35" s="50" t="s">
        <v>1329</v>
      </c>
      <c r="E35" s="51">
        <v>0.0</v>
      </c>
      <c r="F35" s="52"/>
      <c r="G35" s="53"/>
      <c r="H35" s="55"/>
      <c r="I35" s="55"/>
      <c r="J35" s="53"/>
      <c r="K35" s="53"/>
      <c r="L35" s="55">
        <v>4000.0</v>
      </c>
      <c r="M35" s="53"/>
      <c r="N35" s="74"/>
      <c r="O35" s="57" t="str">
        <f t="shared" si="1"/>
        <v>PEDIR MENOS — sobran 413 m; revisar pedidos sin facturar (4,000 m)</v>
      </c>
      <c r="P35" s="58">
        <f t="shared" si="2"/>
        <v>4000</v>
      </c>
      <c r="Q35" s="1" t="s">
        <v>1443</v>
      </c>
      <c r="U35" s="1"/>
      <c r="V35" s="1"/>
      <c r="W35" s="1"/>
      <c r="X35" s="60">
        <f>IFERROR(VLOOKUP($A35,Ventas!$A$2:$L$5000,12,FALSE()),"")</f>
        <v>896.75</v>
      </c>
      <c r="Y35" s="60">
        <f t="shared" si="3"/>
        <v>3587</v>
      </c>
      <c r="Z35" s="61">
        <f t="shared" si="4"/>
        <v>4.5</v>
      </c>
      <c r="AA35" s="60">
        <f t="shared" si="5"/>
        <v>-413</v>
      </c>
      <c r="AB35" s="62" t="str">
        <f t="shared" si="6"/>
        <v/>
      </c>
      <c r="AC35" s="62" t="str">
        <f t="array" ref="AC35">IF(AH35&lt;&gt;"COMPRAR","",IF(MAX(INDEX(Ventas!$G$2:$G$5000,MATCH($A35,Ventas!$A$2:$A$5000,0)),INDEX(Ventas!$H$2:$H$5000,MATCH($A35,Ventas!$A$2:$A$5000,0)),INDEX(Ventas!$I$2:$I$5000,MATCH($A35,Ventas!$A$2:$A$5000,0)),INDEX(Ventas!$J$2:$J$5000,MATCH($A35,Ventas!$A$2:$A$5000,0)))&gt;0.5*AF35*4,"1 mes = "&amp;TEXT(MAX(INDEX(Ventas!$G$2:$G$5000,MATCH($A35,Ventas!$A$2:$A$5000,0)),INDEX(Ventas!$H$2:$H$5000,MATCH($A35,Ventas!$A$2:$A$5000,0)),INDEX(Ventas!$I$2:$I$5000,MATCH($A35,Ventas!$A$2:$A$5000,0)),INDEX(Ventas!$J$2:$J$5000,MATCH($A35,Ventas!$A$2:$A$5000,0)))/(AF35*4),"0%")&amp;" de 4 meses",""))</f>
        <v/>
      </c>
      <c r="AD35" s="62" t="str">
        <f t="shared" si="7"/>
        <v>SÍ — 0 m vs 475 m</v>
      </c>
      <c r="AE35" s="62" t="str">
        <f t="array" ref="AE35">IF(X35="","",IF(AND(E35=0,AVERAGE(INDEX(Ventas!$C$2:$I$5000,MATCH($A35,Ventas!$A$2:$A$5000,0),0))&gt;0,INDEX(Ventas!$J$2:$J$5000,MATCH($A35,Ventas!$A$2:$A$5000,0))&lt;0.5*AVERAGE(INDEX(Ventas!$C$2:$I$5000,MATCH($A35,Ventas!$A$2:$A$5000,0),0))),"SÍ — stock 0 y Sep cayó (prom Feb-Ago "&amp;TEXT(AVERAGE(INDEX(Ventas!$C$2:$I$5000,MATCH($A35,Ventas!$A$2:$A$5000,0),0)),"#,##0")&amp;")",""))</f>
        <v>SÍ — stock 0 y Sep cayó (prom Feb-Ago 1,140)</v>
      </c>
      <c r="AF35" s="60">
        <f t="array" ref="AF35">IF(X35="","",IF(AE35&lt;&gt;"",MAX(X35,AVERAGE(INDEX(Ventas!$C$2:$I$5000,MATCH($A35,Ventas!$A$2:$A$5000,0),0))),X35))</f>
        <v>1139.714286</v>
      </c>
      <c r="AG35" s="60">
        <f t="shared" si="8"/>
        <v>559</v>
      </c>
      <c r="AH35" s="63" t="str">
        <f t="shared" si="9"/>
        <v>COMPRAR</v>
      </c>
    </row>
    <row r="36" ht="13.5" customHeight="1">
      <c r="A36" s="64" t="s">
        <v>868</v>
      </c>
      <c r="B36" s="65" t="s">
        <v>1327</v>
      </c>
      <c r="C36" s="65" t="s">
        <v>1853</v>
      </c>
      <c r="D36" s="65" t="s">
        <v>336</v>
      </c>
      <c r="E36" s="51">
        <v>0.0</v>
      </c>
      <c r="F36" s="66"/>
      <c r="G36" s="53"/>
      <c r="H36" s="55"/>
      <c r="I36" s="55"/>
      <c r="J36" s="53"/>
      <c r="K36" s="53"/>
      <c r="L36" s="55"/>
      <c r="M36" s="53"/>
      <c r="N36" s="73"/>
      <c r="O36" s="57" t="str">
        <f t="shared" si="1"/>
        <v>SIN VENTAS Jun-Sep — no comprar</v>
      </c>
      <c r="P36" s="58">
        <f t="shared" si="2"/>
        <v>0</v>
      </c>
      <c r="Q36" s="1" t="s">
        <v>1443</v>
      </c>
      <c r="U36" s="1"/>
      <c r="V36" s="1"/>
      <c r="W36" s="1"/>
      <c r="X36" s="60">
        <f>IFERROR(VLOOKUP($A36,Ventas!$A$2:$L$5000,12,FALSE()),"")</f>
        <v>0</v>
      </c>
      <c r="Y36" s="60">
        <f t="shared" si="3"/>
        <v>0</v>
      </c>
      <c r="Z36" s="61" t="str">
        <f t="shared" si="4"/>
        <v/>
      </c>
      <c r="AA36" s="60">
        <f t="shared" si="5"/>
        <v>0</v>
      </c>
      <c r="AB36" s="62" t="str">
        <f t="shared" si="6"/>
        <v/>
      </c>
      <c r="AC36" s="62" t="str">
        <f t="array" ref="AC36">IF(AH36&lt;&gt;"COMPRAR","",IF(MAX(INDEX(Ventas!$G$2:$G$5000,MATCH($A36,Ventas!$A$2:$A$5000,0)),INDEX(Ventas!$H$2:$H$5000,MATCH($A36,Ventas!$A$2:$A$5000,0)),INDEX(Ventas!$I$2:$I$5000,MATCH($A36,Ventas!$A$2:$A$5000,0)),INDEX(Ventas!$J$2:$J$5000,MATCH($A36,Ventas!$A$2:$A$5000,0)))&gt;0.5*AF36*4,"1 mes = "&amp;TEXT(MAX(INDEX(Ventas!$G$2:$G$5000,MATCH($A36,Ventas!$A$2:$A$5000,0)),INDEX(Ventas!$H$2:$H$5000,MATCH($A36,Ventas!$A$2:$A$5000,0)),INDEX(Ventas!$I$2:$I$5000,MATCH($A36,Ventas!$A$2:$A$5000,0)),INDEX(Ventas!$J$2:$J$5000,MATCH($A36,Ventas!$A$2:$A$5000,0)))/(AF36*4),"0%")&amp;" de 4 meses",""))</f>
        <v/>
      </c>
      <c r="AD36" s="62" t="str">
        <f t="shared" si="7"/>
        <v/>
      </c>
      <c r="AE36" s="62" t="str">
        <f t="array" ref="AE36">IF(X36="","",IF(AND(E36=0,AVERAGE(INDEX(Ventas!$C$2:$I$5000,MATCH($A36,Ventas!$A$2:$A$5000,0),0))&gt;0,INDEX(Ventas!$J$2:$J$5000,MATCH($A36,Ventas!$A$2:$A$5000,0))&lt;0.5*AVERAGE(INDEX(Ventas!$C$2:$I$5000,MATCH($A36,Ventas!$A$2:$A$5000,0),0))),"SÍ — stock 0 y Sep cayó (prom Feb-Ago "&amp;TEXT(AVERAGE(INDEX(Ventas!$C$2:$I$5000,MATCH($A36,Ventas!$A$2:$A$5000,0),0)),"#,##0")&amp;")",""))</f>
        <v/>
      </c>
      <c r="AF36" s="60">
        <f t="array" ref="AF36">IF(X36="","",IF(AE36&lt;&gt;"",MAX(X36,AVERAGE(INDEX(Ventas!$C$2:$I$5000,MATCH($A36,Ventas!$A$2:$A$5000,0),0))),X36))</f>
        <v>0</v>
      </c>
      <c r="AG36" s="60">
        <f t="shared" si="8"/>
        <v>0</v>
      </c>
      <c r="AH36" s="63" t="str">
        <f t="shared" si="9"/>
        <v>SIN VENTAS</v>
      </c>
    </row>
    <row r="37" ht="13.5" customHeight="1">
      <c r="A37" s="49" t="s">
        <v>797</v>
      </c>
      <c r="B37" s="50" t="s">
        <v>1327</v>
      </c>
      <c r="C37" s="50" t="s">
        <v>1909</v>
      </c>
      <c r="D37" s="50" t="s">
        <v>1911</v>
      </c>
      <c r="E37" s="51">
        <v>2014.0</v>
      </c>
      <c r="F37" s="52"/>
      <c r="G37" s="53"/>
      <c r="H37" s="55"/>
      <c r="I37" s="55"/>
      <c r="J37" s="53"/>
      <c r="K37" s="53"/>
      <c r="L37" s="55"/>
      <c r="M37" s="53"/>
      <c r="N37" s="74"/>
      <c r="O37" s="57" t="str">
        <f t="shared" si="1"/>
        <v>SOBRESTOCK — 37.5 meses de cobertura</v>
      </c>
      <c r="P37" s="58">
        <f t="shared" si="2"/>
        <v>2014</v>
      </c>
      <c r="Q37" s="1" t="s">
        <v>1443</v>
      </c>
      <c r="U37" s="1"/>
      <c r="V37" s="1"/>
      <c r="W37" s="1"/>
      <c r="X37" s="60">
        <f>IFERROR(VLOOKUP($A37,Ventas!$A$2:$L$5000,12,FALSE()),"")</f>
        <v>53.75</v>
      </c>
      <c r="Y37" s="60">
        <f t="shared" si="3"/>
        <v>215</v>
      </c>
      <c r="Z37" s="61">
        <f t="shared" si="4"/>
        <v>37.5</v>
      </c>
      <c r="AA37" s="60">
        <f t="shared" si="5"/>
        <v>-1799</v>
      </c>
      <c r="AB37" s="62" t="str">
        <f t="shared" si="6"/>
        <v/>
      </c>
      <c r="AC37" s="62" t="str">
        <f t="array" ref="AC37">IF(AH37&lt;&gt;"COMPRAR","",IF(MAX(INDEX(Ventas!$G$2:$G$5000,MATCH($A37,Ventas!$A$2:$A$5000,0)),INDEX(Ventas!$H$2:$H$5000,MATCH($A37,Ventas!$A$2:$A$5000,0)),INDEX(Ventas!$I$2:$I$5000,MATCH($A37,Ventas!$A$2:$A$5000,0)),INDEX(Ventas!$J$2:$J$5000,MATCH($A37,Ventas!$A$2:$A$5000,0)))&gt;0.5*AF37*4,"1 mes = "&amp;TEXT(MAX(INDEX(Ventas!$G$2:$G$5000,MATCH($A37,Ventas!$A$2:$A$5000,0)),INDEX(Ventas!$H$2:$H$5000,MATCH($A37,Ventas!$A$2:$A$5000,0)),INDEX(Ventas!$I$2:$I$5000,MATCH($A37,Ventas!$A$2:$A$5000,0)),INDEX(Ventas!$J$2:$J$5000,MATCH($A37,Ventas!$A$2:$A$5000,0)))/(AF37*4),"0%")&amp;" de 4 meses",""))</f>
        <v/>
      </c>
      <c r="AD37" s="62" t="str">
        <f t="shared" si="7"/>
        <v/>
      </c>
      <c r="AE37" s="62" t="str">
        <f t="array" ref="AE37">IF(X37="","",IF(AND(E37=0,AVERAGE(INDEX(Ventas!$C$2:$I$5000,MATCH($A37,Ventas!$A$2:$A$5000,0),0))&gt;0,INDEX(Ventas!$J$2:$J$5000,MATCH($A37,Ventas!$A$2:$A$5000,0))&lt;0.5*AVERAGE(INDEX(Ventas!$C$2:$I$5000,MATCH($A37,Ventas!$A$2:$A$5000,0),0))),"SÍ — stock 0 y Sep cayó (prom Feb-Ago "&amp;TEXT(AVERAGE(INDEX(Ventas!$C$2:$I$5000,MATCH($A37,Ventas!$A$2:$A$5000,0),0)),"#,##0")&amp;")",""))</f>
        <v/>
      </c>
      <c r="AF37" s="60">
        <f t="array" ref="AF37">IF(X37="","",IF(AE37&lt;&gt;"",MAX(X37,AVERAGE(INDEX(Ventas!$C$2:$I$5000,MATCH($A37,Ventas!$A$2:$A$5000,0),0))),X37))</f>
        <v>53.75</v>
      </c>
      <c r="AG37" s="60">
        <f t="shared" si="8"/>
        <v>-1799</v>
      </c>
      <c r="AH37" s="63" t="str">
        <f t="shared" si="9"/>
        <v>SOBRESTOCK</v>
      </c>
    </row>
    <row r="38" ht="13.5" customHeight="1">
      <c r="A38" s="64" t="s">
        <v>870</v>
      </c>
      <c r="B38" s="65" t="s">
        <v>1327</v>
      </c>
      <c r="C38" s="65" t="s">
        <v>1960</v>
      </c>
      <c r="D38" s="65" t="s">
        <v>1009</v>
      </c>
      <c r="E38" s="51">
        <v>0.0</v>
      </c>
      <c r="F38" s="66"/>
      <c r="G38" s="53"/>
      <c r="H38" s="55"/>
      <c r="I38" s="55">
        <v>1000.0</v>
      </c>
      <c r="J38" s="53"/>
      <c r="K38" s="53"/>
      <c r="L38" s="55">
        <v>1500.0</v>
      </c>
      <c r="M38" s="53"/>
      <c r="N38" s="73"/>
      <c r="O38" s="57" t="str">
        <f t="shared" si="1"/>
        <v>PEDIR MENOS — sobran 1,690 m; revisar pedidos sin facturar (2,500 m)</v>
      </c>
      <c r="P38" s="58">
        <f t="shared" si="2"/>
        <v>2500</v>
      </c>
      <c r="Q38" s="1" t="s">
        <v>1443</v>
      </c>
      <c r="U38" s="1"/>
      <c r="V38" s="1"/>
      <c r="W38" s="1"/>
      <c r="X38" s="60">
        <f>IFERROR(VLOOKUP($A38,Ventas!$A$2:$L$5000,12,FALSE()),"")</f>
        <v>202.5</v>
      </c>
      <c r="Y38" s="60">
        <f t="shared" si="3"/>
        <v>810</v>
      </c>
      <c r="Z38" s="61">
        <f t="shared" si="4"/>
        <v>12.3</v>
      </c>
      <c r="AA38" s="60">
        <f t="shared" si="5"/>
        <v>-1690</v>
      </c>
      <c r="AB38" s="62" t="str">
        <f t="shared" si="6"/>
        <v/>
      </c>
      <c r="AC38" s="62" t="str">
        <f t="array" ref="AC38">IF(AH38&lt;&gt;"COMPRAR","",IF(MAX(INDEX(Ventas!$G$2:$G$5000,MATCH($A38,Ventas!$A$2:$A$5000,0)),INDEX(Ventas!$H$2:$H$5000,MATCH($A38,Ventas!$A$2:$A$5000,0)),INDEX(Ventas!$I$2:$I$5000,MATCH($A38,Ventas!$A$2:$A$5000,0)),INDEX(Ventas!$J$2:$J$5000,MATCH($A38,Ventas!$A$2:$A$5000,0)))&gt;0.5*AF38*4,"1 mes = "&amp;TEXT(MAX(INDEX(Ventas!$G$2:$G$5000,MATCH($A38,Ventas!$A$2:$A$5000,0)),INDEX(Ventas!$H$2:$H$5000,MATCH($A38,Ventas!$A$2:$A$5000,0)),INDEX(Ventas!$I$2:$I$5000,MATCH($A38,Ventas!$A$2:$A$5000,0)),INDEX(Ventas!$J$2:$J$5000,MATCH($A38,Ventas!$A$2:$A$5000,0)))/(AF38*4),"0%")&amp;" de 4 meses",""))</f>
        <v/>
      </c>
      <c r="AD38" s="62" t="str">
        <f t="shared" si="7"/>
        <v>SÍ — 0 m vs 107 m</v>
      </c>
      <c r="AE38" s="62" t="str">
        <f t="array" ref="AE38">IF(X38="","",IF(AND(E38=0,AVERAGE(INDEX(Ventas!$C$2:$I$5000,MATCH($A38,Ventas!$A$2:$A$5000,0),0))&gt;0,INDEX(Ventas!$J$2:$J$5000,MATCH($A38,Ventas!$A$2:$A$5000,0))&lt;0.5*AVERAGE(INDEX(Ventas!$C$2:$I$5000,MATCH($A38,Ventas!$A$2:$A$5000,0),0))),"SÍ — stock 0 y Sep cayó (prom Feb-Ago "&amp;TEXT(AVERAGE(INDEX(Ventas!$C$2:$I$5000,MATCH($A38,Ventas!$A$2:$A$5000,0),0)),"#,##0")&amp;")",""))</f>
        <v>SÍ — stock 0 y Sep cayó (prom Feb-Ago 529)</v>
      </c>
      <c r="AF38" s="60">
        <f t="array" ref="AF38">IF(X38="","",IF(AE38&lt;&gt;"",MAX(X38,AVERAGE(INDEX(Ventas!$C$2:$I$5000,MATCH($A38,Ventas!$A$2:$A$5000,0),0))),X38))</f>
        <v>529.1428571</v>
      </c>
      <c r="AG38" s="60">
        <f t="shared" si="8"/>
        <v>-383</v>
      </c>
      <c r="AH38" s="63" t="str">
        <f t="shared" si="9"/>
        <v>PEDIR MENOS</v>
      </c>
    </row>
    <row r="39" ht="13.5" customHeight="1">
      <c r="A39" s="49" t="s">
        <v>2015</v>
      </c>
      <c r="B39" s="50" t="s">
        <v>1327</v>
      </c>
      <c r="C39" s="50" t="s">
        <v>2016</v>
      </c>
      <c r="D39" s="50" t="s">
        <v>1329</v>
      </c>
      <c r="E39" s="51">
        <v>1535.0</v>
      </c>
      <c r="F39" s="52"/>
      <c r="G39" s="53"/>
      <c r="H39" s="55"/>
      <c r="I39" s="55"/>
      <c r="J39" s="53"/>
      <c r="K39" s="53"/>
      <c r="L39" s="55"/>
      <c r="M39" s="53"/>
      <c r="N39" s="74"/>
      <c r="O39" s="57" t="str">
        <f t="shared" si="1"/>
        <v>OK — cubierto (5.0 meses)</v>
      </c>
      <c r="P39" s="58">
        <f t="shared" si="2"/>
        <v>1535</v>
      </c>
      <c r="Q39" s="1" t="s">
        <v>1443</v>
      </c>
      <c r="U39" s="1"/>
      <c r="V39" s="1"/>
      <c r="W39" s="1"/>
      <c r="X39" s="60">
        <f>IFERROR(VLOOKUP($A39,Ventas!$A$2:$L$5000,12,FALSE()),"")</f>
        <v>307</v>
      </c>
      <c r="Y39" s="60">
        <f t="shared" si="3"/>
        <v>1228</v>
      </c>
      <c r="Z39" s="61">
        <f t="shared" si="4"/>
        <v>5</v>
      </c>
      <c r="AA39" s="60">
        <f t="shared" si="5"/>
        <v>-307</v>
      </c>
      <c r="AB39" s="62" t="str">
        <f t="shared" si="6"/>
        <v/>
      </c>
      <c r="AC39" s="62" t="str">
        <f t="array" ref="AC39">IF(AH39&lt;&gt;"COMPRAR","",IF(MAX(INDEX(Ventas!$G$2:$G$5000,MATCH($A39,Ventas!$A$2:$A$5000,0)),INDEX(Ventas!$H$2:$H$5000,MATCH($A39,Ventas!$A$2:$A$5000,0)),INDEX(Ventas!$I$2:$I$5000,MATCH($A39,Ventas!$A$2:$A$5000,0)),INDEX(Ventas!$J$2:$J$5000,MATCH($A39,Ventas!$A$2:$A$5000,0)))&gt;0.5*AF39*4,"1 mes = "&amp;TEXT(MAX(INDEX(Ventas!$G$2:$G$5000,MATCH($A39,Ventas!$A$2:$A$5000,0)),INDEX(Ventas!$H$2:$H$5000,MATCH($A39,Ventas!$A$2:$A$5000,0)),INDEX(Ventas!$I$2:$I$5000,MATCH($A39,Ventas!$A$2:$A$5000,0)),INDEX(Ventas!$J$2:$J$5000,MATCH($A39,Ventas!$A$2:$A$5000,0)))/(AF39*4),"0%")&amp;" de 4 meses",""))</f>
        <v/>
      </c>
      <c r="AD39" s="62" t="str">
        <f t="shared" si="7"/>
        <v/>
      </c>
      <c r="AE39" s="62" t="str">
        <f t="array" ref="AE39">IF(X39="","",IF(AND(E39=0,AVERAGE(INDEX(Ventas!$C$2:$I$5000,MATCH($A39,Ventas!$A$2:$A$5000,0),0))&gt;0,INDEX(Ventas!$J$2:$J$5000,MATCH($A39,Ventas!$A$2:$A$5000,0))&lt;0.5*AVERAGE(INDEX(Ventas!$C$2:$I$5000,MATCH($A39,Ventas!$A$2:$A$5000,0),0))),"SÍ — stock 0 y Sep cayó (prom Feb-Ago "&amp;TEXT(AVERAGE(INDEX(Ventas!$C$2:$I$5000,MATCH($A39,Ventas!$A$2:$A$5000,0),0)),"#,##0")&amp;")",""))</f>
        <v/>
      </c>
      <c r="AF39" s="60">
        <f t="array" ref="AF39">IF(X39="","",IF(AE39&lt;&gt;"",MAX(X39,AVERAGE(INDEX(Ventas!$C$2:$I$5000,MATCH($A39,Ventas!$A$2:$A$5000,0),0))),X39))</f>
        <v>307</v>
      </c>
      <c r="AG39" s="60">
        <f t="shared" si="8"/>
        <v>-307</v>
      </c>
      <c r="AH39" s="63" t="str">
        <f t="shared" si="9"/>
        <v>OK</v>
      </c>
    </row>
    <row r="40" ht="13.5" customHeight="1">
      <c r="A40" s="64" t="s">
        <v>792</v>
      </c>
      <c r="B40" s="65" t="s">
        <v>1327</v>
      </c>
      <c r="C40" s="65" t="s">
        <v>2061</v>
      </c>
      <c r="D40" s="65" t="s">
        <v>1329</v>
      </c>
      <c r="E40" s="51">
        <v>2724.0</v>
      </c>
      <c r="F40" s="66"/>
      <c r="G40" s="53"/>
      <c r="H40" s="55"/>
      <c r="I40" s="55"/>
      <c r="J40" s="53"/>
      <c r="K40" s="53"/>
      <c r="L40" s="55"/>
      <c r="M40" s="53"/>
      <c r="N40" s="73"/>
      <c r="O40" s="57" t="str">
        <f t="shared" si="1"/>
        <v>SOBRESTOCK — 33.2 meses de cobertura</v>
      </c>
      <c r="P40" s="58">
        <f t="shared" si="2"/>
        <v>2724</v>
      </c>
      <c r="Q40" s="1" t="s">
        <v>1443</v>
      </c>
      <c r="U40" s="1"/>
      <c r="V40" s="1"/>
      <c r="W40" s="1"/>
      <c r="X40" s="60">
        <f>IFERROR(VLOOKUP($A40,Ventas!$A$2:$L$5000,12,FALSE()),"")</f>
        <v>82</v>
      </c>
      <c r="Y40" s="60">
        <f t="shared" si="3"/>
        <v>328</v>
      </c>
      <c r="Z40" s="61">
        <f t="shared" si="4"/>
        <v>33.2</v>
      </c>
      <c r="AA40" s="60">
        <f t="shared" si="5"/>
        <v>-2396</v>
      </c>
      <c r="AB40" s="62" t="str">
        <f t="shared" si="6"/>
        <v/>
      </c>
      <c r="AC40" s="62" t="str">
        <f t="array" ref="AC40">IF(AH40&lt;&gt;"COMPRAR","",IF(MAX(INDEX(Ventas!$G$2:$G$5000,MATCH($A40,Ventas!$A$2:$A$5000,0)),INDEX(Ventas!$H$2:$H$5000,MATCH($A40,Ventas!$A$2:$A$5000,0)),INDEX(Ventas!$I$2:$I$5000,MATCH($A40,Ventas!$A$2:$A$5000,0)),INDEX(Ventas!$J$2:$J$5000,MATCH($A40,Ventas!$A$2:$A$5000,0)))&gt;0.5*AF40*4,"1 mes = "&amp;TEXT(MAX(INDEX(Ventas!$G$2:$G$5000,MATCH($A40,Ventas!$A$2:$A$5000,0)),INDEX(Ventas!$H$2:$H$5000,MATCH($A40,Ventas!$A$2:$A$5000,0)),INDEX(Ventas!$I$2:$I$5000,MATCH($A40,Ventas!$A$2:$A$5000,0)),INDEX(Ventas!$J$2:$J$5000,MATCH($A40,Ventas!$A$2:$A$5000,0)))/(AF40*4),"0%")&amp;" de 4 meses",""))</f>
        <v/>
      </c>
      <c r="AD40" s="62" t="str">
        <f t="shared" si="7"/>
        <v/>
      </c>
      <c r="AE40" s="62" t="str">
        <f t="array" ref="AE40">IF(X40="","",IF(AND(E40=0,AVERAGE(INDEX(Ventas!$C$2:$I$5000,MATCH($A40,Ventas!$A$2:$A$5000,0),0))&gt;0,INDEX(Ventas!$J$2:$J$5000,MATCH($A40,Ventas!$A$2:$A$5000,0))&lt;0.5*AVERAGE(INDEX(Ventas!$C$2:$I$5000,MATCH($A40,Ventas!$A$2:$A$5000,0),0))),"SÍ — stock 0 y Sep cayó (prom Feb-Ago "&amp;TEXT(AVERAGE(INDEX(Ventas!$C$2:$I$5000,MATCH($A40,Ventas!$A$2:$A$5000,0),0)),"#,##0")&amp;")",""))</f>
        <v/>
      </c>
      <c r="AF40" s="60">
        <f t="array" ref="AF40">IF(X40="","",IF(AE40&lt;&gt;"",MAX(X40,AVERAGE(INDEX(Ventas!$C$2:$I$5000,MATCH($A40,Ventas!$A$2:$A$5000,0),0))),X40))</f>
        <v>82</v>
      </c>
      <c r="AG40" s="60">
        <f t="shared" si="8"/>
        <v>-2396</v>
      </c>
      <c r="AH40" s="63" t="str">
        <f t="shared" si="9"/>
        <v>SOBRESTOCK</v>
      </c>
    </row>
    <row r="41" ht="13.5" customHeight="1">
      <c r="A41" s="49" t="s">
        <v>866</v>
      </c>
      <c r="B41" s="50" t="s">
        <v>1327</v>
      </c>
      <c r="C41" s="50" t="s">
        <v>2100</v>
      </c>
      <c r="D41" s="50" t="s">
        <v>1329</v>
      </c>
      <c r="E41" s="51">
        <v>1204.0</v>
      </c>
      <c r="F41" s="52"/>
      <c r="G41" s="53"/>
      <c r="H41" s="55"/>
      <c r="I41" s="55"/>
      <c r="J41" s="53"/>
      <c r="K41" s="53"/>
      <c r="L41" s="55"/>
      <c r="M41" s="53"/>
      <c r="N41" s="74"/>
      <c r="O41" s="57" t="str">
        <f t="shared" si="1"/>
        <v>OK — cubierto (4.2 meses)</v>
      </c>
      <c r="P41" s="58">
        <f t="shared" si="2"/>
        <v>1204</v>
      </c>
      <c r="Q41" s="1" t="s">
        <v>1443</v>
      </c>
      <c r="U41" s="1"/>
      <c r="V41" s="1"/>
      <c r="W41" s="1"/>
      <c r="X41" s="60">
        <f>IFERROR(VLOOKUP($A41,Ventas!$A$2:$L$5000,12,FALSE()),"")</f>
        <v>285</v>
      </c>
      <c r="Y41" s="60">
        <f t="shared" si="3"/>
        <v>1140</v>
      </c>
      <c r="Z41" s="61">
        <f t="shared" si="4"/>
        <v>4.2</v>
      </c>
      <c r="AA41" s="60">
        <f t="shared" si="5"/>
        <v>-64</v>
      </c>
      <c r="AB41" s="62" t="str">
        <f t="shared" si="6"/>
        <v/>
      </c>
      <c r="AC41" s="62" t="str">
        <f t="array" ref="AC41">IF(AH41&lt;&gt;"COMPRAR","",IF(MAX(INDEX(Ventas!$G$2:$G$5000,MATCH($A41,Ventas!$A$2:$A$5000,0)),INDEX(Ventas!$H$2:$H$5000,MATCH($A41,Ventas!$A$2:$A$5000,0)),INDEX(Ventas!$I$2:$I$5000,MATCH($A41,Ventas!$A$2:$A$5000,0)),INDEX(Ventas!$J$2:$J$5000,MATCH($A41,Ventas!$A$2:$A$5000,0)))&gt;0.5*AF41*4,"1 mes = "&amp;TEXT(MAX(INDEX(Ventas!$G$2:$G$5000,MATCH($A41,Ventas!$A$2:$A$5000,0)),INDEX(Ventas!$H$2:$H$5000,MATCH($A41,Ventas!$A$2:$A$5000,0)),INDEX(Ventas!$I$2:$I$5000,MATCH($A41,Ventas!$A$2:$A$5000,0)),INDEX(Ventas!$J$2:$J$5000,MATCH($A41,Ventas!$A$2:$A$5000,0)))/(AF41*4),"0%")&amp;" de 4 meses",""))</f>
        <v/>
      </c>
      <c r="AD41" s="62" t="str">
        <f t="shared" si="7"/>
        <v/>
      </c>
      <c r="AE41" s="62" t="str">
        <f t="array" ref="AE41">IF(X41="","",IF(AND(E41=0,AVERAGE(INDEX(Ventas!$C$2:$I$5000,MATCH($A41,Ventas!$A$2:$A$5000,0),0))&gt;0,INDEX(Ventas!$J$2:$J$5000,MATCH($A41,Ventas!$A$2:$A$5000,0))&lt;0.5*AVERAGE(INDEX(Ventas!$C$2:$I$5000,MATCH($A41,Ventas!$A$2:$A$5000,0),0))),"SÍ — stock 0 y Sep cayó (prom Feb-Ago "&amp;TEXT(AVERAGE(INDEX(Ventas!$C$2:$I$5000,MATCH($A41,Ventas!$A$2:$A$5000,0),0)),"#,##0")&amp;")",""))</f>
        <v/>
      </c>
      <c r="AF41" s="60">
        <f t="array" ref="AF41">IF(X41="","",IF(AE41&lt;&gt;"",MAX(X41,AVERAGE(INDEX(Ventas!$C$2:$I$5000,MATCH($A41,Ventas!$A$2:$A$5000,0),0))),X41))</f>
        <v>285</v>
      </c>
      <c r="AG41" s="60">
        <f t="shared" si="8"/>
        <v>-64</v>
      </c>
      <c r="AH41" s="63" t="str">
        <f t="shared" si="9"/>
        <v>OK</v>
      </c>
    </row>
    <row r="42" ht="13.5" customHeight="1">
      <c r="A42" s="64" t="s">
        <v>864</v>
      </c>
      <c r="B42" s="65" t="s">
        <v>1327</v>
      </c>
      <c r="C42" s="65" t="s">
        <v>2178</v>
      </c>
      <c r="D42" s="65" t="s">
        <v>1009</v>
      </c>
      <c r="E42" s="51">
        <v>30.0</v>
      </c>
      <c r="F42" s="66"/>
      <c r="G42" s="53"/>
      <c r="H42" s="55"/>
      <c r="I42" s="55"/>
      <c r="J42" s="53"/>
      <c r="K42" s="53"/>
      <c r="L42" s="55"/>
      <c r="M42" s="53"/>
      <c r="N42" s="73"/>
      <c r="O42" s="57" t="str">
        <f t="shared" si="1"/>
        <v>COMPRAR — faltan 1,525 m para 4 meses</v>
      </c>
      <c r="P42" s="58">
        <f t="shared" si="2"/>
        <v>30</v>
      </c>
      <c r="Q42" s="1" t="s">
        <v>1443</v>
      </c>
      <c r="U42" s="1"/>
      <c r="V42" s="1"/>
      <c r="W42" s="1"/>
      <c r="X42" s="60">
        <f>IFERROR(VLOOKUP($A42,Ventas!$A$2:$L$5000,12,FALSE()),"")</f>
        <v>388.75</v>
      </c>
      <c r="Y42" s="60">
        <f t="shared" si="3"/>
        <v>1555</v>
      </c>
      <c r="Z42" s="61">
        <f t="shared" si="4"/>
        <v>0.1</v>
      </c>
      <c r="AA42" s="60">
        <f t="shared" si="5"/>
        <v>1525</v>
      </c>
      <c r="AB42" s="62" t="str">
        <f t="shared" si="6"/>
        <v/>
      </c>
      <c r="AC42" s="62" t="str">
        <f t="array" ref="AC42">IF(AH42&lt;&gt;"COMPRAR","",IF(MAX(INDEX(Ventas!$G$2:$G$5000,MATCH($A42,Ventas!$A$2:$A$5000,0)),INDEX(Ventas!$H$2:$H$5000,MATCH($A42,Ventas!$A$2:$A$5000,0)),INDEX(Ventas!$I$2:$I$5000,MATCH($A42,Ventas!$A$2:$A$5000,0)),INDEX(Ventas!$J$2:$J$5000,MATCH($A42,Ventas!$A$2:$A$5000,0)))&gt;0.5*AF42*4,"1 mes = "&amp;TEXT(MAX(INDEX(Ventas!$G$2:$G$5000,MATCH($A42,Ventas!$A$2:$A$5000,0)),INDEX(Ventas!$H$2:$H$5000,MATCH($A42,Ventas!$A$2:$A$5000,0)),INDEX(Ventas!$I$2:$I$5000,MATCH($A42,Ventas!$A$2:$A$5000,0)),INDEX(Ventas!$J$2:$J$5000,MATCH($A42,Ventas!$A$2:$A$5000,0)))/(AF42*4),"0%")&amp;" de 4 meses",""))</f>
        <v/>
      </c>
      <c r="AD42" s="62" t="str">
        <f t="shared" si="7"/>
        <v>SÍ — 30 m vs 206 m</v>
      </c>
      <c r="AE42" s="62" t="str">
        <f t="array" ref="AE42">IF(X42="","",IF(AND(E42=0,AVERAGE(INDEX(Ventas!$C$2:$I$5000,MATCH($A42,Ventas!$A$2:$A$5000,0),0))&gt;0,INDEX(Ventas!$J$2:$J$5000,MATCH($A42,Ventas!$A$2:$A$5000,0))&lt;0.5*AVERAGE(INDEX(Ventas!$C$2:$I$5000,MATCH($A42,Ventas!$A$2:$A$5000,0),0))),"SÍ — stock 0 y Sep cayó (prom Feb-Ago "&amp;TEXT(AVERAGE(INDEX(Ventas!$C$2:$I$5000,MATCH($A42,Ventas!$A$2:$A$5000,0),0)),"#,##0")&amp;")",""))</f>
        <v/>
      </c>
      <c r="AF42" s="60">
        <f t="array" ref="AF42">IF(X42="","",IF(AE42&lt;&gt;"",MAX(X42,AVERAGE(INDEX(Ventas!$C$2:$I$5000,MATCH($A42,Ventas!$A$2:$A$5000,0),0))),X42))</f>
        <v>388.75</v>
      </c>
      <c r="AG42" s="60">
        <f t="shared" si="8"/>
        <v>1525</v>
      </c>
      <c r="AH42" s="63" t="str">
        <f t="shared" si="9"/>
        <v>COMPRAR</v>
      </c>
    </row>
    <row r="43" ht="13.5" customHeight="1">
      <c r="A43" s="49"/>
      <c r="B43" s="65" t="s">
        <v>1327</v>
      </c>
      <c r="C43" s="77" t="s">
        <v>2245</v>
      </c>
      <c r="D43" s="77" t="s">
        <v>1329</v>
      </c>
      <c r="E43" s="51"/>
      <c r="F43" s="52"/>
      <c r="G43" s="53"/>
      <c r="H43" s="55"/>
      <c r="I43" s="55"/>
      <c r="J43" s="53"/>
      <c r="K43" s="53"/>
      <c r="L43" s="69">
        <v>3000.0</v>
      </c>
      <c r="M43" s="53"/>
      <c r="N43" s="74"/>
      <c r="O43" s="57" t="str">
        <f t="shared" si="1"/>
        <v>SIN SKU — cargar código para calcular</v>
      </c>
      <c r="P43" s="58">
        <f t="shared" si="2"/>
        <v>3000</v>
      </c>
      <c r="Q43" s="78"/>
      <c r="R43" s="1"/>
      <c r="S43" s="1"/>
      <c r="T43" s="1"/>
      <c r="U43" s="1"/>
      <c r="V43" s="1"/>
      <c r="W43" s="1"/>
      <c r="X43" s="60" t="str">
        <f>IFERROR(VLOOKUP($A43,Ventas!$A$2:$L$5000,12,FALSE()),"")</f>
        <v/>
      </c>
      <c r="Y43" s="60" t="str">
        <f t="shared" si="3"/>
        <v/>
      </c>
      <c r="Z43" s="61" t="str">
        <f t="shared" si="4"/>
        <v/>
      </c>
      <c r="AA43" s="60" t="str">
        <f t="shared" si="5"/>
        <v/>
      </c>
      <c r="AB43" s="62" t="str">
        <f t="shared" si="6"/>
        <v/>
      </c>
      <c r="AC43" s="62" t="str">
        <f t="array" ref="AC43">IF(AH43&lt;&gt;"COMPRAR","",IF(MAX(INDEX(Ventas!$G$2:$G$5000,MATCH($A43,Ventas!$A$2:$A$5000,0)),INDEX(Ventas!$H$2:$H$5000,MATCH($A43,Ventas!$A$2:$A$5000,0)),INDEX(Ventas!$I$2:$I$5000,MATCH($A43,Ventas!$A$2:$A$5000,0)),INDEX(Ventas!$J$2:$J$5000,MATCH($A43,Ventas!$A$2:$A$5000,0)))&gt;0.5*AF43*4,"1 mes = "&amp;TEXT(MAX(INDEX(Ventas!$G$2:$G$5000,MATCH($A43,Ventas!$A$2:$A$5000,0)),INDEX(Ventas!$H$2:$H$5000,MATCH($A43,Ventas!$A$2:$A$5000,0)),INDEX(Ventas!$I$2:$I$5000,MATCH($A43,Ventas!$A$2:$A$5000,0)),INDEX(Ventas!$J$2:$J$5000,MATCH($A43,Ventas!$A$2:$A$5000,0)))/(AF43*4),"0%")&amp;" de 4 meses",""))</f>
        <v/>
      </c>
      <c r="AD43" s="62" t="str">
        <f t="shared" si="7"/>
        <v/>
      </c>
      <c r="AE43" s="62" t="str">
        <f t="array" ref="AE43">IF(X43="","",IF(AND(E43=0,AVERAGE(INDEX(Ventas!$C$2:$I$5000,MATCH($A43,Ventas!$A$2:$A$5000,0),0))&gt;0,INDEX(Ventas!$J$2:$J$5000,MATCH($A43,Ventas!$A$2:$A$5000,0))&lt;0.5*AVERAGE(INDEX(Ventas!$C$2:$I$5000,MATCH($A43,Ventas!$A$2:$A$5000,0),0))),"SÍ — stock 0 y Sep cayó (prom Feb-Ago "&amp;TEXT(AVERAGE(INDEX(Ventas!$C$2:$I$5000,MATCH($A43,Ventas!$A$2:$A$5000,0),0)),"#,##0")&amp;")",""))</f>
        <v/>
      </c>
      <c r="AF43" s="60" t="str">
        <f t="array" ref="AF43">IF(X43="","",IF(AE43&lt;&gt;"",MAX(X43,AVERAGE(INDEX(Ventas!$C$2:$I$5000,MATCH($A43,Ventas!$A$2:$A$5000,0),0))),X43))</f>
        <v/>
      </c>
      <c r="AG43" s="60" t="str">
        <f t="shared" si="8"/>
        <v/>
      </c>
      <c r="AH43" s="63" t="str">
        <f t="shared" si="9"/>
        <v/>
      </c>
    </row>
    <row r="44" ht="13.5" customHeight="1">
      <c r="A44" s="49"/>
      <c r="B44" s="65" t="s">
        <v>1327</v>
      </c>
      <c r="C44" s="77" t="s">
        <v>2311</v>
      </c>
      <c r="D44" s="77" t="s">
        <v>1009</v>
      </c>
      <c r="E44" s="51"/>
      <c r="F44" s="52"/>
      <c r="G44" s="53"/>
      <c r="H44" s="55"/>
      <c r="I44" s="55"/>
      <c r="J44" s="53"/>
      <c r="K44" s="53"/>
      <c r="L44" s="69">
        <v>1500.0</v>
      </c>
      <c r="M44" s="53"/>
      <c r="N44" s="74"/>
      <c r="O44" s="57" t="str">
        <f t="shared" si="1"/>
        <v>SIN SKU — cargar código para calcular</v>
      </c>
      <c r="P44" s="58">
        <f t="shared" si="2"/>
        <v>1500</v>
      </c>
      <c r="Q44" s="78"/>
      <c r="R44" s="1"/>
      <c r="S44" s="1"/>
      <c r="T44" s="1"/>
      <c r="U44" s="1"/>
      <c r="V44" s="1"/>
      <c r="W44" s="1"/>
      <c r="X44" s="60" t="str">
        <f>IFERROR(VLOOKUP($A44,Ventas!$A$2:$L$5000,12,FALSE()),"")</f>
        <v/>
      </c>
      <c r="Y44" s="60" t="str">
        <f t="shared" si="3"/>
        <v/>
      </c>
      <c r="Z44" s="61" t="str">
        <f t="shared" si="4"/>
        <v/>
      </c>
      <c r="AA44" s="60" t="str">
        <f t="shared" si="5"/>
        <v/>
      </c>
      <c r="AB44" s="62" t="str">
        <f t="shared" si="6"/>
        <v/>
      </c>
      <c r="AC44" s="62" t="str">
        <f t="array" ref="AC44">IF(AH44&lt;&gt;"COMPRAR","",IF(MAX(INDEX(Ventas!$G$2:$G$5000,MATCH($A44,Ventas!$A$2:$A$5000,0)),INDEX(Ventas!$H$2:$H$5000,MATCH($A44,Ventas!$A$2:$A$5000,0)),INDEX(Ventas!$I$2:$I$5000,MATCH($A44,Ventas!$A$2:$A$5000,0)),INDEX(Ventas!$J$2:$J$5000,MATCH($A44,Ventas!$A$2:$A$5000,0)))&gt;0.5*AF44*4,"1 mes = "&amp;TEXT(MAX(INDEX(Ventas!$G$2:$G$5000,MATCH($A44,Ventas!$A$2:$A$5000,0)),INDEX(Ventas!$H$2:$H$5000,MATCH($A44,Ventas!$A$2:$A$5000,0)),INDEX(Ventas!$I$2:$I$5000,MATCH($A44,Ventas!$A$2:$A$5000,0)),INDEX(Ventas!$J$2:$J$5000,MATCH($A44,Ventas!$A$2:$A$5000,0)))/(AF44*4),"0%")&amp;" de 4 meses",""))</f>
        <v/>
      </c>
      <c r="AD44" s="62" t="str">
        <f t="shared" si="7"/>
        <v/>
      </c>
      <c r="AE44" s="62" t="str">
        <f t="array" ref="AE44">IF(X44="","",IF(AND(E44=0,AVERAGE(INDEX(Ventas!$C$2:$I$5000,MATCH($A44,Ventas!$A$2:$A$5000,0),0))&gt;0,INDEX(Ventas!$J$2:$J$5000,MATCH($A44,Ventas!$A$2:$A$5000,0))&lt;0.5*AVERAGE(INDEX(Ventas!$C$2:$I$5000,MATCH($A44,Ventas!$A$2:$A$5000,0),0))),"SÍ — stock 0 y Sep cayó (prom Feb-Ago "&amp;TEXT(AVERAGE(INDEX(Ventas!$C$2:$I$5000,MATCH($A44,Ventas!$A$2:$A$5000,0),0)),"#,##0")&amp;")",""))</f>
        <v/>
      </c>
      <c r="AF44" s="60" t="str">
        <f t="array" ref="AF44">IF(X44="","",IF(AE44&lt;&gt;"",MAX(X44,AVERAGE(INDEX(Ventas!$C$2:$I$5000,MATCH($A44,Ventas!$A$2:$A$5000,0),0))),X44))</f>
        <v/>
      </c>
      <c r="AG44" s="60" t="str">
        <f t="shared" si="8"/>
        <v/>
      </c>
      <c r="AH44" s="63" t="str">
        <f t="shared" si="9"/>
        <v/>
      </c>
    </row>
    <row r="45" ht="13.5" customHeight="1">
      <c r="A45" s="49" t="s">
        <v>2371</v>
      </c>
      <c r="B45" s="50" t="s">
        <v>183</v>
      </c>
      <c r="C45" s="50" t="s">
        <v>2372</v>
      </c>
      <c r="D45" s="50" t="s">
        <v>1329</v>
      </c>
      <c r="E45" s="51">
        <v>8860.0</v>
      </c>
      <c r="F45" s="52"/>
      <c r="G45" s="53"/>
      <c r="H45" s="55"/>
      <c r="I45" s="55"/>
      <c r="J45" s="53"/>
      <c r="K45" s="53"/>
      <c r="L45" s="55">
        <v>4000.0</v>
      </c>
      <c r="M45" s="53"/>
      <c r="N45" s="74"/>
      <c r="O45" s="57" t="str">
        <f t="shared" si="1"/>
        <v>PEDIR MENOS — sobran 3,637 m; revisar pedidos sin facturar (4,000 m)</v>
      </c>
      <c r="P45" s="58">
        <f t="shared" si="2"/>
        <v>12860</v>
      </c>
      <c r="Q45" s="59">
        <v>5000.0</v>
      </c>
      <c r="R45" s="1"/>
      <c r="S45" s="1"/>
      <c r="T45" s="1"/>
      <c r="U45" s="1"/>
      <c r="V45" s="1"/>
      <c r="W45" s="1"/>
      <c r="X45" s="60">
        <f>IFERROR(VLOOKUP($A45,Ventas!$A$2:$L$5000,12,FALSE()),"")</f>
        <v>2305.75</v>
      </c>
      <c r="Y45" s="60">
        <f t="shared" si="3"/>
        <v>9223</v>
      </c>
      <c r="Z45" s="61">
        <f t="shared" si="4"/>
        <v>5.6</v>
      </c>
      <c r="AA45" s="60">
        <f t="shared" si="5"/>
        <v>-3637</v>
      </c>
      <c r="AB45" s="62" t="str">
        <f t="shared" si="6"/>
        <v/>
      </c>
      <c r="AC45" s="62" t="str">
        <f t="array" ref="AC45">IF(AH45&lt;&gt;"COMPRAR","",IF(MAX(INDEX(Ventas!$G$2:$G$5000,MATCH($A45,Ventas!$A$2:$A$5000,0)),INDEX(Ventas!$H$2:$H$5000,MATCH($A45,Ventas!$A$2:$A$5000,0)),INDEX(Ventas!$I$2:$I$5000,MATCH($A45,Ventas!$A$2:$A$5000,0)),INDEX(Ventas!$J$2:$J$5000,MATCH($A45,Ventas!$A$2:$A$5000,0)))&gt;0.5*AF45*4,"1 mes = "&amp;TEXT(MAX(INDEX(Ventas!$G$2:$G$5000,MATCH($A45,Ventas!$A$2:$A$5000,0)),INDEX(Ventas!$H$2:$H$5000,MATCH($A45,Ventas!$A$2:$A$5000,0)),INDEX(Ventas!$I$2:$I$5000,MATCH($A45,Ventas!$A$2:$A$5000,0)),INDEX(Ventas!$J$2:$J$5000,MATCH($A45,Ventas!$A$2:$A$5000,0)))/(AF45*4),"0%")&amp;" de 4 meses",""))</f>
        <v/>
      </c>
      <c r="AD45" s="62" t="str">
        <f t="shared" si="7"/>
        <v/>
      </c>
      <c r="AE45" s="62" t="str">
        <f t="array" ref="AE45">IF(X45="","",IF(AND(E45=0,AVERAGE(INDEX(Ventas!$C$2:$I$5000,MATCH($A45,Ventas!$A$2:$A$5000,0),0))&gt;0,INDEX(Ventas!$J$2:$J$5000,MATCH($A45,Ventas!$A$2:$A$5000,0))&lt;0.5*AVERAGE(INDEX(Ventas!$C$2:$I$5000,MATCH($A45,Ventas!$A$2:$A$5000,0),0))),"SÍ — stock 0 y Sep cayó (prom Feb-Ago "&amp;TEXT(AVERAGE(INDEX(Ventas!$C$2:$I$5000,MATCH($A45,Ventas!$A$2:$A$5000,0),0)),"#,##0")&amp;")",""))</f>
        <v/>
      </c>
      <c r="AF45" s="60">
        <f t="array" ref="AF45">IF(X45="","",IF(AE45&lt;&gt;"",MAX(X45,AVERAGE(INDEX(Ventas!$C$2:$I$5000,MATCH($A45,Ventas!$A$2:$A$5000,0),0))),X45))</f>
        <v>2305.75</v>
      </c>
      <c r="AG45" s="60">
        <f t="shared" si="8"/>
        <v>-3637</v>
      </c>
      <c r="AH45" s="63" t="str">
        <f t="shared" si="9"/>
        <v>PEDIR MENOS</v>
      </c>
    </row>
    <row r="46" ht="13.5" customHeight="1">
      <c r="A46" s="64" t="s">
        <v>2445</v>
      </c>
      <c r="B46" s="65" t="s">
        <v>183</v>
      </c>
      <c r="C46" s="65" t="s">
        <v>2372</v>
      </c>
      <c r="D46" s="65" t="s">
        <v>646</v>
      </c>
      <c r="E46" s="51">
        <v>2518.0</v>
      </c>
      <c r="F46" s="66"/>
      <c r="G46" s="53"/>
      <c r="H46" s="55"/>
      <c r="I46" s="55"/>
      <c r="J46" s="53"/>
      <c r="K46" s="53"/>
      <c r="L46" s="55"/>
      <c r="M46" s="53"/>
      <c r="N46" s="73"/>
      <c r="O46" s="57" t="str">
        <f t="shared" si="1"/>
        <v>SOBRESTOCK — 229.4 meses de cobertura</v>
      </c>
      <c r="P46" s="58">
        <f t="shared" si="2"/>
        <v>2518</v>
      </c>
      <c r="Q46" s="1"/>
      <c r="R46" s="1"/>
      <c r="S46" s="1"/>
      <c r="T46" s="1"/>
      <c r="U46" s="1"/>
      <c r="V46" s="1"/>
      <c r="W46" s="1"/>
      <c r="X46" s="60">
        <f>IFERROR(VLOOKUP($A46,Ventas!$A$2:$L$5000,12,FALSE()),"")</f>
        <v>10.975</v>
      </c>
      <c r="Y46" s="60">
        <f t="shared" si="3"/>
        <v>44</v>
      </c>
      <c r="Z46" s="61">
        <f t="shared" si="4"/>
        <v>229.4</v>
      </c>
      <c r="AA46" s="60">
        <f t="shared" si="5"/>
        <v>-2474</v>
      </c>
      <c r="AB46" s="62" t="str">
        <f t="shared" si="6"/>
        <v/>
      </c>
      <c r="AC46" s="62" t="str">
        <f t="array" ref="AC46">IF(AH46&lt;&gt;"COMPRAR","",IF(MAX(INDEX(Ventas!$G$2:$G$5000,MATCH($A46,Ventas!$A$2:$A$5000,0)),INDEX(Ventas!$H$2:$H$5000,MATCH($A46,Ventas!$A$2:$A$5000,0)),INDEX(Ventas!$I$2:$I$5000,MATCH($A46,Ventas!$A$2:$A$5000,0)),INDEX(Ventas!$J$2:$J$5000,MATCH($A46,Ventas!$A$2:$A$5000,0)))&gt;0.5*AF46*4,"1 mes = "&amp;TEXT(MAX(INDEX(Ventas!$G$2:$G$5000,MATCH($A46,Ventas!$A$2:$A$5000,0)),INDEX(Ventas!$H$2:$H$5000,MATCH($A46,Ventas!$A$2:$A$5000,0)),INDEX(Ventas!$I$2:$I$5000,MATCH($A46,Ventas!$A$2:$A$5000,0)),INDEX(Ventas!$J$2:$J$5000,MATCH($A46,Ventas!$A$2:$A$5000,0)))/(AF46*4),"0%")&amp;" de 4 meses",""))</f>
        <v/>
      </c>
      <c r="AD46" s="62" t="str">
        <f t="shared" si="7"/>
        <v/>
      </c>
      <c r="AE46" s="62" t="str">
        <f t="array" ref="AE46">IF(X46="","",IF(AND(E46=0,AVERAGE(INDEX(Ventas!$C$2:$I$5000,MATCH($A46,Ventas!$A$2:$A$5000,0),0))&gt;0,INDEX(Ventas!$J$2:$J$5000,MATCH($A46,Ventas!$A$2:$A$5000,0))&lt;0.5*AVERAGE(INDEX(Ventas!$C$2:$I$5000,MATCH($A46,Ventas!$A$2:$A$5000,0),0))),"SÍ — stock 0 y Sep cayó (prom Feb-Ago "&amp;TEXT(AVERAGE(INDEX(Ventas!$C$2:$I$5000,MATCH($A46,Ventas!$A$2:$A$5000,0),0)),"#,##0")&amp;")",""))</f>
        <v/>
      </c>
      <c r="AF46" s="60">
        <f t="array" ref="AF46">IF(X46="","",IF(AE46&lt;&gt;"",MAX(X46,AVERAGE(INDEX(Ventas!$C$2:$I$5000,MATCH($A46,Ventas!$A$2:$A$5000,0),0))),X46))</f>
        <v>10.975</v>
      </c>
      <c r="AG46" s="60">
        <f t="shared" si="8"/>
        <v>-2474</v>
      </c>
      <c r="AH46" s="63" t="str">
        <f t="shared" si="9"/>
        <v>SOBRESTOCK</v>
      </c>
    </row>
    <row r="47" ht="13.5" customHeight="1">
      <c r="A47" s="49" t="s">
        <v>2510</v>
      </c>
      <c r="B47" s="50" t="s">
        <v>183</v>
      </c>
      <c r="C47" s="50" t="s">
        <v>2372</v>
      </c>
      <c r="D47" s="50" t="s">
        <v>336</v>
      </c>
      <c r="E47" s="51">
        <v>851.0</v>
      </c>
      <c r="F47" s="52"/>
      <c r="G47" s="53"/>
      <c r="H47" s="55"/>
      <c r="I47" s="55">
        <v>1097.0</v>
      </c>
      <c r="J47" s="53"/>
      <c r="K47" s="53"/>
      <c r="L47" s="55"/>
      <c r="M47" s="53"/>
      <c r="N47" s="74"/>
      <c r="O47" s="57" t="str">
        <f t="shared" si="1"/>
        <v>COMPRAR — faltan 678 m para 4 meses (ya contando pedidos)</v>
      </c>
      <c r="P47" s="58">
        <f t="shared" si="2"/>
        <v>1948</v>
      </c>
      <c r="Q47" s="1"/>
      <c r="R47" s="1"/>
      <c r="S47" s="1"/>
      <c r="T47" s="1"/>
      <c r="U47" s="1"/>
      <c r="V47" s="1"/>
      <c r="W47" s="1"/>
      <c r="X47" s="60">
        <f>IFERROR(VLOOKUP($A47,Ventas!$A$2:$L$5000,12,FALSE()),"")</f>
        <v>656.5</v>
      </c>
      <c r="Y47" s="60">
        <f t="shared" si="3"/>
        <v>2626</v>
      </c>
      <c r="Z47" s="61">
        <f t="shared" si="4"/>
        <v>3</v>
      </c>
      <c r="AA47" s="60">
        <f t="shared" si="5"/>
        <v>678</v>
      </c>
      <c r="AB47" s="62" t="str">
        <f t="shared" si="6"/>
        <v/>
      </c>
      <c r="AC47" s="62" t="str">
        <f t="array" ref="AC47">IF(AH47&lt;&gt;"COMPRAR","",IF(MAX(INDEX(Ventas!$G$2:$G$5000,MATCH($A47,Ventas!$A$2:$A$5000,0)),INDEX(Ventas!$H$2:$H$5000,MATCH($A47,Ventas!$A$2:$A$5000,0)),INDEX(Ventas!$I$2:$I$5000,MATCH($A47,Ventas!$A$2:$A$5000,0)),INDEX(Ventas!$J$2:$J$5000,MATCH($A47,Ventas!$A$2:$A$5000,0)))&gt;0.5*AF47*4,"1 mes = "&amp;TEXT(MAX(INDEX(Ventas!$G$2:$G$5000,MATCH($A47,Ventas!$A$2:$A$5000,0)),INDEX(Ventas!$H$2:$H$5000,MATCH($A47,Ventas!$A$2:$A$5000,0)),INDEX(Ventas!$I$2:$I$5000,MATCH($A47,Ventas!$A$2:$A$5000,0)),INDEX(Ventas!$J$2:$J$5000,MATCH($A47,Ventas!$A$2:$A$5000,0)))/(AF47*4),"0%")&amp;" de 4 meses",""))</f>
        <v/>
      </c>
      <c r="AD47" s="62" t="str">
        <f t="shared" si="7"/>
        <v/>
      </c>
      <c r="AE47" s="62" t="str">
        <f t="array" ref="AE47">IF(X47="","",IF(AND(E47=0,AVERAGE(INDEX(Ventas!$C$2:$I$5000,MATCH($A47,Ventas!$A$2:$A$5000,0),0))&gt;0,INDEX(Ventas!$J$2:$J$5000,MATCH($A47,Ventas!$A$2:$A$5000,0))&lt;0.5*AVERAGE(INDEX(Ventas!$C$2:$I$5000,MATCH($A47,Ventas!$A$2:$A$5000,0),0))),"SÍ — stock 0 y Sep cayó (prom Feb-Ago "&amp;TEXT(AVERAGE(INDEX(Ventas!$C$2:$I$5000,MATCH($A47,Ventas!$A$2:$A$5000,0),0)),"#,##0")&amp;")",""))</f>
        <v/>
      </c>
      <c r="AF47" s="60">
        <f t="array" ref="AF47">IF(X47="","",IF(AE47&lt;&gt;"",MAX(X47,AVERAGE(INDEX(Ventas!$C$2:$I$5000,MATCH($A47,Ventas!$A$2:$A$5000,0),0))),X47))</f>
        <v>656.5</v>
      </c>
      <c r="AG47" s="60">
        <f t="shared" si="8"/>
        <v>678</v>
      </c>
      <c r="AH47" s="63" t="str">
        <f t="shared" si="9"/>
        <v>COMPRAR</v>
      </c>
    </row>
    <row r="48" ht="13.5" customHeight="1">
      <c r="A48" s="64" t="s">
        <v>2571</v>
      </c>
      <c r="B48" s="65" t="s">
        <v>183</v>
      </c>
      <c r="C48" s="65" t="s">
        <v>2372</v>
      </c>
      <c r="D48" s="65" t="s">
        <v>2572</v>
      </c>
      <c r="E48" s="51">
        <v>762.0</v>
      </c>
      <c r="F48" s="66"/>
      <c r="G48" s="53"/>
      <c r="H48" s="55"/>
      <c r="I48" s="55"/>
      <c r="J48" s="53"/>
      <c r="K48" s="53"/>
      <c r="L48" s="55"/>
      <c r="M48" s="53"/>
      <c r="N48" s="73"/>
      <c r="O48" s="57" t="str">
        <f t="shared" si="1"/>
        <v>SOBRESTOCK — 25.4 meses de cobertura</v>
      </c>
      <c r="P48" s="58">
        <f t="shared" si="2"/>
        <v>762</v>
      </c>
      <c r="Q48" s="1"/>
      <c r="R48" s="1"/>
      <c r="S48" s="1"/>
      <c r="T48" s="1"/>
      <c r="U48" s="1"/>
      <c r="V48" s="1"/>
      <c r="W48" s="1"/>
      <c r="X48" s="60">
        <f>IFERROR(VLOOKUP($A48,Ventas!$A$2:$L$5000,12,FALSE()),"")</f>
        <v>30</v>
      </c>
      <c r="Y48" s="60">
        <f t="shared" si="3"/>
        <v>120</v>
      </c>
      <c r="Z48" s="61">
        <f t="shared" si="4"/>
        <v>25.4</v>
      </c>
      <c r="AA48" s="60">
        <f t="shared" si="5"/>
        <v>-642</v>
      </c>
      <c r="AB48" s="62" t="str">
        <f t="shared" si="6"/>
        <v/>
      </c>
      <c r="AC48" s="62" t="str">
        <f t="array" ref="AC48">IF(AH48&lt;&gt;"COMPRAR","",IF(MAX(INDEX(Ventas!$G$2:$G$5000,MATCH($A48,Ventas!$A$2:$A$5000,0)),INDEX(Ventas!$H$2:$H$5000,MATCH($A48,Ventas!$A$2:$A$5000,0)),INDEX(Ventas!$I$2:$I$5000,MATCH($A48,Ventas!$A$2:$A$5000,0)),INDEX(Ventas!$J$2:$J$5000,MATCH($A48,Ventas!$A$2:$A$5000,0)))&gt;0.5*AF48*4,"1 mes = "&amp;TEXT(MAX(INDEX(Ventas!$G$2:$G$5000,MATCH($A48,Ventas!$A$2:$A$5000,0)),INDEX(Ventas!$H$2:$H$5000,MATCH($A48,Ventas!$A$2:$A$5000,0)),INDEX(Ventas!$I$2:$I$5000,MATCH($A48,Ventas!$A$2:$A$5000,0)),INDEX(Ventas!$J$2:$J$5000,MATCH($A48,Ventas!$A$2:$A$5000,0)))/(AF48*4),"0%")&amp;" de 4 meses",""))</f>
        <v/>
      </c>
      <c r="AD48" s="62" t="str">
        <f t="shared" si="7"/>
        <v/>
      </c>
      <c r="AE48" s="62" t="str">
        <f t="array" ref="AE48">IF(X48="","",IF(AND(E48=0,AVERAGE(INDEX(Ventas!$C$2:$I$5000,MATCH($A48,Ventas!$A$2:$A$5000,0),0))&gt;0,INDEX(Ventas!$J$2:$J$5000,MATCH($A48,Ventas!$A$2:$A$5000,0))&lt;0.5*AVERAGE(INDEX(Ventas!$C$2:$I$5000,MATCH($A48,Ventas!$A$2:$A$5000,0),0))),"SÍ — stock 0 y Sep cayó (prom Feb-Ago "&amp;TEXT(AVERAGE(INDEX(Ventas!$C$2:$I$5000,MATCH($A48,Ventas!$A$2:$A$5000,0),0)),"#,##0")&amp;")",""))</f>
        <v/>
      </c>
      <c r="AF48" s="60">
        <f t="array" ref="AF48">IF(X48="","",IF(AE48&lt;&gt;"",MAX(X48,AVERAGE(INDEX(Ventas!$C$2:$I$5000,MATCH($A48,Ventas!$A$2:$A$5000,0),0))),X48))</f>
        <v>30</v>
      </c>
      <c r="AG48" s="60">
        <f t="shared" si="8"/>
        <v>-642</v>
      </c>
      <c r="AH48" s="63" t="str">
        <f t="shared" si="9"/>
        <v>SOBRESTOCK</v>
      </c>
    </row>
    <row r="49" ht="13.5" customHeight="1">
      <c r="A49" s="49" t="s">
        <v>2627</v>
      </c>
      <c r="B49" s="50" t="s">
        <v>183</v>
      </c>
      <c r="C49" s="50" t="s">
        <v>2372</v>
      </c>
      <c r="D49" s="50" t="s">
        <v>2628</v>
      </c>
      <c r="E49" s="51">
        <v>770.0</v>
      </c>
      <c r="F49" s="52"/>
      <c r="G49" s="53"/>
      <c r="H49" s="55"/>
      <c r="I49" s="55"/>
      <c r="J49" s="53"/>
      <c r="K49" s="53"/>
      <c r="L49" s="55"/>
      <c r="M49" s="53"/>
      <c r="N49" s="74"/>
      <c r="O49" s="57" t="str">
        <f t="shared" si="1"/>
        <v>SIN VENTAS Jun-Sep — no comprar (770 m disponibles)</v>
      </c>
      <c r="P49" s="58">
        <f t="shared" si="2"/>
        <v>770</v>
      </c>
      <c r="Q49" s="1"/>
      <c r="R49" s="1"/>
      <c r="S49" s="1"/>
      <c r="T49" s="1"/>
      <c r="U49" s="1"/>
      <c r="V49" s="1"/>
      <c r="W49" s="1"/>
      <c r="X49" s="60">
        <f>IFERROR(VLOOKUP($A49,Ventas!$A$2:$L$5000,12,FALSE()),"")</f>
        <v>0</v>
      </c>
      <c r="Y49" s="60">
        <f t="shared" si="3"/>
        <v>0</v>
      </c>
      <c r="Z49" s="61" t="str">
        <f t="shared" si="4"/>
        <v/>
      </c>
      <c r="AA49" s="60">
        <f t="shared" si="5"/>
        <v>-770</v>
      </c>
      <c r="AB49" s="62" t="str">
        <f t="shared" si="6"/>
        <v/>
      </c>
      <c r="AC49" s="62" t="str">
        <f t="array" ref="AC49">IF(AH49&lt;&gt;"COMPRAR","",IF(MAX(INDEX(Ventas!$G$2:$G$5000,MATCH($A49,Ventas!$A$2:$A$5000,0)),INDEX(Ventas!$H$2:$H$5000,MATCH($A49,Ventas!$A$2:$A$5000,0)),INDEX(Ventas!$I$2:$I$5000,MATCH($A49,Ventas!$A$2:$A$5000,0)),INDEX(Ventas!$J$2:$J$5000,MATCH($A49,Ventas!$A$2:$A$5000,0)))&gt;0.5*AF49*4,"1 mes = "&amp;TEXT(MAX(INDEX(Ventas!$G$2:$G$5000,MATCH($A49,Ventas!$A$2:$A$5000,0)),INDEX(Ventas!$H$2:$H$5000,MATCH($A49,Ventas!$A$2:$A$5000,0)),INDEX(Ventas!$I$2:$I$5000,MATCH($A49,Ventas!$A$2:$A$5000,0)),INDEX(Ventas!$J$2:$J$5000,MATCH($A49,Ventas!$A$2:$A$5000,0)))/(AF49*4),"0%")&amp;" de 4 meses",""))</f>
        <v/>
      </c>
      <c r="AD49" s="62" t="str">
        <f t="shared" si="7"/>
        <v/>
      </c>
      <c r="AE49" s="62" t="str">
        <f t="array" ref="AE49">IF(X49="","",IF(AND(E49=0,AVERAGE(INDEX(Ventas!$C$2:$I$5000,MATCH($A49,Ventas!$A$2:$A$5000,0),0))&gt;0,INDEX(Ventas!$J$2:$J$5000,MATCH($A49,Ventas!$A$2:$A$5000,0))&lt;0.5*AVERAGE(INDEX(Ventas!$C$2:$I$5000,MATCH($A49,Ventas!$A$2:$A$5000,0),0))),"SÍ — stock 0 y Sep cayó (prom Feb-Ago "&amp;TEXT(AVERAGE(INDEX(Ventas!$C$2:$I$5000,MATCH($A49,Ventas!$A$2:$A$5000,0),0)),"#,##0")&amp;")",""))</f>
        <v/>
      </c>
      <c r="AF49" s="60">
        <f t="array" ref="AF49">IF(X49="","",IF(AE49&lt;&gt;"",MAX(X49,AVERAGE(INDEX(Ventas!$C$2:$I$5000,MATCH($A49,Ventas!$A$2:$A$5000,0),0))),X49))</f>
        <v>0</v>
      </c>
      <c r="AG49" s="60">
        <f t="shared" si="8"/>
        <v>-770</v>
      </c>
      <c r="AH49" s="63" t="str">
        <f t="shared" si="9"/>
        <v>SIN VENTAS</v>
      </c>
    </row>
    <row r="50" ht="13.5" customHeight="1">
      <c r="A50" s="64" t="s">
        <v>2689</v>
      </c>
      <c r="B50" s="65" t="s">
        <v>183</v>
      </c>
      <c r="C50" s="65" t="s">
        <v>2372</v>
      </c>
      <c r="D50" s="65" t="s">
        <v>2692</v>
      </c>
      <c r="E50" s="51">
        <v>288.0</v>
      </c>
      <c r="F50" s="66"/>
      <c r="G50" s="53"/>
      <c r="H50" s="55"/>
      <c r="I50" s="55"/>
      <c r="J50" s="53"/>
      <c r="K50" s="53"/>
      <c r="L50" s="55"/>
      <c r="M50" s="53"/>
      <c r="N50" s="73"/>
      <c r="O50" s="57" t="str">
        <f t="shared" si="1"/>
        <v>SOBRESTOCK — 9.6 meses de cobertura</v>
      </c>
      <c r="P50" s="58">
        <f t="shared" si="2"/>
        <v>288</v>
      </c>
      <c r="Q50" s="1"/>
      <c r="R50" s="1"/>
      <c r="S50" s="1"/>
      <c r="T50" s="1"/>
      <c r="U50" s="1"/>
      <c r="V50" s="1"/>
      <c r="W50" s="1"/>
      <c r="X50" s="60">
        <f>IFERROR(VLOOKUP($A50,Ventas!$A$2:$L$5000,12,FALSE()),"")</f>
        <v>30</v>
      </c>
      <c r="Y50" s="60">
        <f t="shared" si="3"/>
        <v>120</v>
      </c>
      <c r="Z50" s="61">
        <f t="shared" si="4"/>
        <v>9.6</v>
      </c>
      <c r="AA50" s="60">
        <f t="shared" si="5"/>
        <v>-168</v>
      </c>
      <c r="AB50" s="62" t="str">
        <f t="shared" si="6"/>
        <v/>
      </c>
      <c r="AC50" s="62" t="str">
        <f t="array" ref="AC50">IF(AH50&lt;&gt;"COMPRAR","",IF(MAX(INDEX(Ventas!$G$2:$G$5000,MATCH($A50,Ventas!$A$2:$A$5000,0)),INDEX(Ventas!$H$2:$H$5000,MATCH($A50,Ventas!$A$2:$A$5000,0)),INDEX(Ventas!$I$2:$I$5000,MATCH($A50,Ventas!$A$2:$A$5000,0)),INDEX(Ventas!$J$2:$J$5000,MATCH($A50,Ventas!$A$2:$A$5000,0)))&gt;0.5*AF50*4,"1 mes = "&amp;TEXT(MAX(INDEX(Ventas!$G$2:$G$5000,MATCH($A50,Ventas!$A$2:$A$5000,0)),INDEX(Ventas!$H$2:$H$5000,MATCH($A50,Ventas!$A$2:$A$5000,0)),INDEX(Ventas!$I$2:$I$5000,MATCH($A50,Ventas!$A$2:$A$5000,0)),INDEX(Ventas!$J$2:$J$5000,MATCH($A50,Ventas!$A$2:$A$5000,0)))/(AF50*4),"0%")&amp;" de 4 meses",""))</f>
        <v/>
      </c>
      <c r="AD50" s="62" t="str">
        <f t="shared" si="7"/>
        <v/>
      </c>
      <c r="AE50" s="62" t="str">
        <f t="array" ref="AE50">IF(X50="","",IF(AND(E50=0,AVERAGE(INDEX(Ventas!$C$2:$I$5000,MATCH($A50,Ventas!$A$2:$A$5000,0),0))&gt;0,INDEX(Ventas!$J$2:$J$5000,MATCH($A50,Ventas!$A$2:$A$5000,0))&lt;0.5*AVERAGE(INDEX(Ventas!$C$2:$I$5000,MATCH($A50,Ventas!$A$2:$A$5000,0),0))),"SÍ — stock 0 y Sep cayó (prom Feb-Ago "&amp;TEXT(AVERAGE(INDEX(Ventas!$C$2:$I$5000,MATCH($A50,Ventas!$A$2:$A$5000,0),0)),"#,##0")&amp;")",""))</f>
        <v/>
      </c>
      <c r="AF50" s="60">
        <f t="array" ref="AF50">IF(X50="","",IF(AE50&lt;&gt;"",MAX(X50,AVERAGE(INDEX(Ventas!$C$2:$I$5000,MATCH($A50,Ventas!$A$2:$A$5000,0),0))),X50))</f>
        <v>30</v>
      </c>
      <c r="AG50" s="60">
        <f t="shared" si="8"/>
        <v>-168</v>
      </c>
      <c r="AH50" s="63" t="str">
        <f t="shared" si="9"/>
        <v>SOBRESTOCK</v>
      </c>
    </row>
    <row r="51" ht="13.5" customHeight="1">
      <c r="A51" s="49" t="s">
        <v>2753</v>
      </c>
      <c r="B51" s="50" t="s">
        <v>183</v>
      </c>
      <c r="C51" s="50" t="s">
        <v>2372</v>
      </c>
      <c r="D51" s="50" t="s">
        <v>2754</v>
      </c>
      <c r="E51" s="51">
        <v>720.0</v>
      </c>
      <c r="F51" s="52"/>
      <c r="G51" s="53"/>
      <c r="H51" s="55"/>
      <c r="I51" s="55"/>
      <c r="J51" s="53"/>
      <c r="K51" s="53"/>
      <c r="L51" s="55"/>
      <c r="M51" s="53"/>
      <c r="N51" s="74"/>
      <c r="O51" s="57" t="str">
        <f t="shared" si="1"/>
        <v>SOBRESTOCK — 22.0 meses de cobertura</v>
      </c>
      <c r="P51" s="58">
        <f t="shared" si="2"/>
        <v>720</v>
      </c>
      <c r="Q51" s="1"/>
      <c r="R51" s="1"/>
      <c r="S51" s="1"/>
      <c r="T51" s="1"/>
      <c r="U51" s="1"/>
      <c r="V51" s="1"/>
      <c r="W51" s="1"/>
      <c r="X51" s="60">
        <f>IFERROR(VLOOKUP($A51,Ventas!$A$2:$L$5000,12,FALSE()),"")</f>
        <v>32.75</v>
      </c>
      <c r="Y51" s="60">
        <f t="shared" si="3"/>
        <v>131</v>
      </c>
      <c r="Z51" s="61">
        <f t="shared" si="4"/>
        <v>22</v>
      </c>
      <c r="AA51" s="60">
        <f t="shared" si="5"/>
        <v>-589</v>
      </c>
      <c r="AB51" s="62" t="str">
        <f t="shared" si="6"/>
        <v/>
      </c>
      <c r="AC51" s="62" t="str">
        <f t="array" ref="AC51">IF(AH51&lt;&gt;"COMPRAR","",IF(MAX(INDEX(Ventas!$G$2:$G$5000,MATCH($A51,Ventas!$A$2:$A$5000,0)),INDEX(Ventas!$H$2:$H$5000,MATCH($A51,Ventas!$A$2:$A$5000,0)),INDEX(Ventas!$I$2:$I$5000,MATCH($A51,Ventas!$A$2:$A$5000,0)),INDEX(Ventas!$J$2:$J$5000,MATCH($A51,Ventas!$A$2:$A$5000,0)))&gt;0.5*AF51*4,"1 mes = "&amp;TEXT(MAX(INDEX(Ventas!$G$2:$G$5000,MATCH($A51,Ventas!$A$2:$A$5000,0)),INDEX(Ventas!$H$2:$H$5000,MATCH($A51,Ventas!$A$2:$A$5000,0)),INDEX(Ventas!$I$2:$I$5000,MATCH($A51,Ventas!$A$2:$A$5000,0)),INDEX(Ventas!$J$2:$J$5000,MATCH($A51,Ventas!$A$2:$A$5000,0)))/(AF51*4),"0%")&amp;" de 4 meses",""))</f>
        <v/>
      </c>
      <c r="AD51" s="62" t="str">
        <f t="shared" si="7"/>
        <v/>
      </c>
      <c r="AE51" s="62" t="str">
        <f t="array" ref="AE51">IF(X51="","",IF(AND(E51=0,AVERAGE(INDEX(Ventas!$C$2:$I$5000,MATCH($A51,Ventas!$A$2:$A$5000,0),0))&gt;0,INDEX(Ventas!$J$2:$J$5000,MATCH($A51,Ventas!$A$2:$A$5000,0))&lt;0.5*AVERAGE(INDEX(Ventas!$C$2:$I$5000,MATCH($A51,Ventas!$A$2:$A$5000,0),0))),"SÍ — stock 0 y Sep cayó (prom Feb-Ago "&amp;TEXT(AVERAGE(INDEX(Ventas!$C$2:$I$5000,MATCH($A51,Ventas!$A$2:$A$5000,0),0)),"#,##0")&amp;")",""))</f>
        <v/>
      </c>
      <c r="AF51" s="60">
        <f t="array" ref="AF51">IF(X51="","",IF(AE51&lt;&gt;"",MAX(X51,AVERAGE(INDEX(Ventas!$C$2:$I$5000,MATCH($A51,Ventas!$A$2:$A$5000,0),0))),X51))</f>
        <v>32.75</v>
      </c>
      <c r="AG51" s="60">
        <f t="shared" si="8"/>
        <v>-589</v>
      </c>
      <c r="AH51" s="63" t="str">
        <f t="shared" si="9"/>
        <v>SOBRESTOCK</v>
      </c>
    </row>
    <row r="52" ht="13.5" customHeight="1">
      <c r="A52" s="64" t="s">
        <v>2819</v>
      </c>
      <c r="B52" s="65" t="s">
        <v>183</v>
      </c>
      <c r="C52" s="65" t="s">
        <v>2372</v>
      </c>
      <c r="D52" s="65" t="s">
        <v>2820</v>
      </c>
      <c r="E52" s="51">
        <v>160.0</v>
      </c>
      <c r="F52" s="66"/>
      <c r="G52" s="53"/>
      <c r="H52" s="55"/>
      <c r="I52" s="55"/>
      <c r="J52" s="53"/>
      <c r="K52" s="53"/>
      <c r="L52" s="55"/>
      <c r="M52" s="53"/>
      <c r="N52" s="73"/>
      <c r="O52" s="57" t="str">
        <f t="shared" si="1"/>
        <v>OK — cubierto (4.0 meses)</v>
      </c>
      <c r="P52" s="58">
        <f t="shared" si="2"/>
        <v>160</v>
      </c>
      <c r="Q52" s="1"/>
      <c r="R52" s="1"/>
      <c r="S52" s="1"/>
      <c r="T52" s="1"/>
      <c r="U52" s="1"/>
      <c r="V52" s="1"/>
      <c r="W52" s="1"/>
      <c r="X52" s="60">
        <f>IFERROR(VLOOKUP($A52,Ventas!$A$2:$L$5000,12,FALSE()),"")</f>
        <v>40</v>
      </c>
      <c r="Y52" s="60">
        <f t="shared" si="3"/>
        <v>160</v>
      </c>
      <c r="Z52" s="61">
        <f t="shared" si="4"/>
        <v>4</v>
      </c>
      <c r="AA52" s="60">
        <f t="shared" si="5"/>
        <v>0</v>
      </c>
      <c r="AB52" s="62" t="str">
        <f t="shared" si="6"/>
        <v/>
      </c>
      <c r="AC52" s="62" t="str">
        <f t="array" ref="AC52">IF(AH52&lt;&gt;"COMPRAR","",IF(MAX(INDEX(Ventas!$G$2:$G$5000,MATCH($A52,Ventas!$A$2:$A$5000,0)),INDEX(Ventas!$H$2:$H$5000,MATCH($A52,Ventas!$A$2:$A$5000,0)),INDEX(Ventas!$I$2:$I$5000,MATCH($A52,Ventas!$A$2:$A$5000,0)),INDEX(Ventas!$J$2:$J$5000,MATCH($A52,Ventas!$A$2:$A$5000,0)))&gt;0.5*AF52*4,"1 mes = "&amp;TEXT(MAX(INDEX(Ventas!$G$2:$G$5000,MATCH($A52,Ventas!$A$2:$A$5000,0)),INDEX(Ventas!$H$2:$H$5000,MATCH($A52,Ventas!$A$2:$A$5000,0)),INDEX(Ventas!$I$2:$I$5000,MATCH($A52,Ventas!$A$2:$A$5000,0)),INDEX(Ventas!$J$2:$J$5000,MATCH($A52,Ventas!$A$2:$A$5000,0)))/(AF52*4),"0%")&amp;" de 4 meses",""))</f>
        <v/>
      </c>
      <c r="AD52" s="62" t="str">
        <f t="shared" si="7"/>
        <v/>
      </c>
      <c r="AE52" s="62" t="str">
        <f t="array" ref="AE52">IF(X52="","",IF(AND(E52=0,AVERAGE(INDEX(Ventas!$C$2:$I$5000,MATCH($A52,Ventas!$A$2:$A$5000,0),0))&gt;0,INDEX(Ventas!$J$2:$J$5000,MATCH($A52,Ventas!$A$2:$A$5000,0))&lt;0.5*AVERAGE(INDEX(Ventas!$C$2:$I$5000,MATCH($A52,Ventas!$A$2:$A$5000,0),0))),"SÍ — stock 0 y Sep cayó (prom Feb-Ago "&amp;TEXT(AVERAGE(INDEX(Ventas!$C$2:$I$5000,MATCH($A52,Ventas!$A$2:$A$5000,0),0)),"#,##0")&amp;")",""))</f>
        <v/>
      </c>
      <c r="AF52" s="60">
        <f t="array" ref="AF52">IF(X52="","",IF(AE52&lt;&gt;"",MAX(X52,AVERAGE(INDEX(Ventas!$C$2:$I$5000,MATCH($A52,Ventas!$A$2:$A$5000,0),0))),X52))</f>
        <v>40</v>
      </c>
      <c r="AG52" s="60">
        <f t="shared" si="8"/>
        <v>0</v>
      </c>
      <c r="AH52" s="63" t="str">
        <f t="shared" si="9"/>
        <v>OK</v>
      </c>
    </row>
    <row r="53" ht="13.5" customHeight="1">
      <c r="A53" s="49" t="s">
        <v>2879</v>
      </c>
      <c r="B53" s="50" t="s">
        <v>183</v>
      </c>
      <c r="C53" s="50" t="s">
        <v>2372</v>
      </c>
      <c r="D53" s="50" t="s">
        <v>694</v>
      </c>
      <c r="E53" s="51">
        <v>1386.0</v>
      </c>
      <c r="F53" s="52"/>
      <c r="G53" s="53"/>
      <c r="H53" s="55"/>
      <c r="I53" s="55"/>
      <c r="J53" s="53"/>
      <c r="K53" s="53"/>
      <c r="L53" s="55"/>
      <c r="M53" s="53"/>
      <c r="N53" s="74"/>
      <c r="O53" s="57" t="str">
        <f t="shared" si="1"/>
        <v>SOBRESTOCK — 9.0 meses de cobertura</v>
      </c>
      <c r="P53" s="58">
        <f t="shared" si="2"/>
        <v>1386</v>
      </c>
      <c r="Q53" s="1"/>
      <c r="R53" s="1"/>
      <c r="S53" s="1"/>
      <c r="T53" s="1"/>
      <c r="U53" s="1"/>
      <c r="V53" s="1"/>
      <c r="W53" s="1"/>
      <c r="X53" s="60">
        <f>IFERROR(VLOOKUP($A53,Ventas!$A$2:$L$5000,12,FALSE()),"")</f>
        <v>154.75</v>
      </c>
      <c r="Y53" s="60">
        <f t="shared" si="3"/>
        <v>619</v>
      </c>
      <c r="Z53" s="61">
        <f t="shared" si="4"/>
        <v>9</v>
      </c>
      <c r="AA53" s="60">
        <f t="shared" si="5"/>
        <v>-767</v>
      </c>
      <c r="AB53" s="62" t="str">
        <f t="shared" si="6"/>
        <v/>
      </c>
      <c r="AC53" s="62" t="str">
        <f t="array" ref="AC53">IF(AH53&lt;&gt;"COMPRAR","",IF(MAX(INDEX(Ventas!$G$2:$G$5000,MATCH($A53,Ventas!$A$2:$A$5000,0)),INDEX(Ventas!$H$2:$H$5000,MATCH($A53,Ventas!$A$2:$A$5000,0)),INDEX(Ventas!$I$2:$I$5000,MATCH($A53,Ventas!$A$2:$A$5000,0)),INDEX(Ventas!$J$2:$J$5000,MATCH($A53,Ventas!$A$2:$A$5000,0)))&gt;0.5*AF53*4,"1 mes = "&amp;TEXT(MAX(INDEX(Ventas!$G$2:$G$5000,MATCH($A53,Ventas!$A$2:$A$5000,0)),INDEX(Ventas!$H$2:$H$5000,MATCH($A53,Ventas!$A$2:$A$5000,0)),INDEX(Ventas!$I$2:$I$5000,MATCH($A53,Ventas!$A$2:$A$5000,0)),INDEX(Ventas!$J$2:$J$5000,MATCH($A53,Ventas!$A$2:$A$5000,0)))/(AF53*4),"0%")&amp;" de 4 meses",""))</f>
        <v/>
      </c>
      <c r="AD53" s="62" t="str">
        <f t="shared" si="7"/>
        <v/>
      </c>
      <c r="AE53" s="62" t="str">
        <f t="array" ref="AE53">IF(X53="","",IF(AND(E53=0,AVERAGE(INDEX(Ventas!$C$2:$I$5000,MATCH($A53,Ventas!$A$2:$A$5000,0),0))&gt;0,INDEX(Ventas!$J$2:$J$5000,MATCH($A53,Ventas!$A$2:$A$5000,0))&lt;0.5*AVERAGE(INDEX(Ventas!$C$2:$I$5000,MATCH($A53,Ventas!$A$2:$A$5000,0),0))),"SÍ — stock 0 y Sep cayó (prom Feb-Ago "&amp;TEXT(AVERAGE(INDEX(Ventas!$C$2:$I$5000,MATCH($A53,Ventas!$A$2:$A$5000,0),0)),"#,##0")&amp;")",""))</f>
        <v/>
      </c>
      <c r="AF53" s="60">
        <f t="array" ref="AF53">IF(X53="","",IF(AE53&lt;&gt;"",MAX(X53,AVERAGE(INDEX(Ventas!$C$2:$I$5000,MATCH($A53,Ventas!$A$2:$A$5000,0),0))),X53))</f>
        <v>154.75</v>
      </c>
      <c r="AG53" s="60">
        <f t="shared" si="8"/>
        <v>-767</v>
      </c>
      <c r="AH53" s="63" t="str">
        <f t="shared" si="9"/>
        <v>SOBRESTOCK</v>
      </c>
    </row>
    <row r="54" ht="13.5" customHeight="1">
      <c r="A54" s="64" t="s">
        <v>2948</v>
      </c>
      <c r="B54" s="65" t="s">
        <v>183</v>
      </c>
      <c r="C54" s="65" t="s">
        <v>2372</v>
      </c>
      <c r="D54" s="65" t="s">
        <v>2949</v>
      </c>
      <c r="E54" s="51">
        <v>0.0</v>
      </c>
      <c r="F54" s="66"/>
      <c r="G54" s="53"/>
      <c r="H54" s="55"/>
      <c r="I54" s="55"/>
      <c r="J54" s="53"/>
      <c r="K54" s="53"/>
      <c r="L54" s="55"/>
      <c r="M54" s="53"/>
      <c r="N54" s="73"/>
      <c r="O54" s="57" t="str">
        <f t="shared" si="1"/>
        <v>SIN VENTAS Jun-Sep — no comprar</v>
      </c>
      <c r="P54" s="58">
        <f t="shared" si="2"/>
        <v>0</v>
      </c>
      <c r="Q54" s="70" t="s">
        <v>2954</v>
      </c>
      <c r="R54" s="1"/>
      <c r="S54" s="1"/>
      <c r="T54" s="1"/>
      <c r="U54" s="1"/>
      <c r="V54" s="1"/>
      <c r="W54" s="1"/>
      <c r="X54" s="60">
        <f>IFERROR(VLOOKUP($A54,Ventas!$A$2:$L$5000,12,FALSE()),"")</f>
        <v>0</v>
      </c>
      <c r="Y54" s="60">
        <f t="shared" si="3"/>
        <v>0</v>
      </c>
      <c r="Z54" s="61" t="str">
        <f t="shared" si="4"/>
        <v/>
      </c>
      <c r="AA54" s="60">
        <f t="shared" si="5"/>
        <v>0</v>
      </c>
      <c r="AB54" s="62" t="str">
        <f t="shared" si="6"/>
        <v/>
      </c>
      <c r="AC54" s="62" t="str">
        <f t="array" ref="AC54">IF(AH54&lt;&gt;"COMPRAR","",IF(MAX(INDEX(Ventas!$G$2:$G$5000,MATCH($A54,Ventas!$A$2:$A$5000,0)),INDEX(Ventas!$H$2:$H$5000,MATCH($A54,Ventas!$A$2:$A$5000,0)),INDEX(Ventas!$I$2:$I$5000,MATCH($A54,Ventas!$A$2:$A$5000,0)),INDEX(Ventas!$J$2:$J$5000,MATCH($A54,Ventas!$A$2:$A$5000,0)))&gt;0.5*AF54*4,"1 mes = "&amp;TEXT(MAX(INDEX(Ventas!$G$2:$G$5000,MATCH($A54,Ventas!$A$2:$A$5000,0)),INDEX(Ventas!$H$2:$H$5000,MATCH($A54,Ventas!$A$2:$A$5000,0)),INDEX(Ventas!$I$2:$I$5000,MATCH($A54,Ventas!$A$2:$A$5000,0)),INDEX(Ventas!$J$2:$J$5000,MATCH($A54,Ventas!$A$2:$A$5000,0)))/(AF54*4),"0%")&amp;" de 4 meses",""))</f>
        <v/>
      </c>
      <c r="AD54" s="62" t="str">
        <f t="shared" si="7"/>
        <v/>
      </c>
      <c r="AE54" s="62" t="str">
        <f t="array" ref="AE54">IF(X54="","",IF(AND(E54=0,AVERAGE(INDEX(Ventas!$C$2:$I$5000,MATCH($A54,Ventas!$A$2:$A$5000,0),0))&gt;0,INDEX(Ventas!$J$2:$J$5000,MATCH($A54,Ventas!$A$2:$A$5000,0))&lt;0.5*AVERAGE(INDEX(Ventas!$C$2:$I$5000,MATCH($A54,Ventas!$A$2:$A$5000,0),0))),"SÍ — stock 0 y Sep cayó (prom Feb-Ago "&amp;TEXT(AVERAGE(INDEX(Ventas!$C$2:$I$5000,MATCH($A54,Ventas!$A$2:$A$5000,0),0)),"#,##0")&amp;")",""))</f>
        <v/>
      </c>
      <c r="AF54" s="60">
        <f t="array" ref="AF54">IF(X54="","",IF(AE54&lt;&gt;"",MAX(X54,AVERAGE(INDEX(Ventas!$C$2:$I$5000,MATCH($A54,Ventas!$A$2:$A$5000,0),0))),X54))</f>
        <v>0</v>
      </c>
      <c r="AG54" s="60">
        <f t="shared" si="8"/>
        <v>0</v>
      </c>
      <c r="AH54" s="63" t="str">
        <f t="shared" si="9"/>
        <v>SIN VENTAS</v>
      </c>
    </row>
    <row r="55" ht="13.5" customHeight="1">
      <c r="A55" s="49" t="s">
        <v>3013</v>
      </c>
      <c r="B55" s="50" t="s">
        <v>183</v>
      </c>
      <c r="C55" s="50" t="s">
        <v>2372</v>
      </c>
      <c r="D55" s="50" t="s">
        <v>3014</v>
      </c>
      <c r="E55" s="51">
        <v>361.0</v>
      </c>
      <c r="F55" s="52"/>
      <c r="G55" s="53"/>
      <c r="H55" s="55"/>
      <c r="I55" s="55"/>
      <c r="J55" s="53"/>
      <c r="K55" s="53"/>
      <c r="L55" s="55"/>
      <c r="M55" s="53"/>
      <c r="N55" s="74"/>
      <c r="O55" s="57" t="str">
        <f t="shared" si="1"/>
        <v>SIN VENTAS Jun-Sep — no comprar (361 m disponibles)</v>
      </c>
      <c r="P55" s="58">
        <f t="shared" si="2"/>
        <v>361</v>
      </c>
      <c r="Q55" s="1"/>
      <c r="R55" s="1"/>
      <c r="S55" s="1"/>
      <c r="T55" s="1"/>
      <c r="U55" s="1"/>
      <c r="V55" s="1"/>
      <c r="W55" s="1"/>
      <c r="X55" s="60">
        <f>IFERROR(VLOOKUP($A55,Ventas!$A$2:$L$5000,12,FALSE()),"")</f>
        <v>0</v>
      </c>
      <c r="Y55" s="60">
        <f t="shared" si="3"/>
        <v>0</v>
      </c>
      <c r="Z55" s="61" t="str">
        <f t="shared" si="4"/>
        <v/>
      </c>
      <c r="AA55" s="60">
        <f t="shared" si="5"/>
        <v>-361</v>
      </c>
      <c r="AB55" s="62" t="str">
        <f t="shared" si="6"/>
        <v/>
      </c>
      <c r="AC55" s="62" t="str">
        <f t="array" ref="AC55">IF(AH55&lt;&gt;"COMPRAR","",IF(MAX(INDEX(Ventas!$G$2:$G$5000,MATCH($A55,Ventas!$A$2:$A$5000,0)),INDEX(Ventas!$H$2:$H$5000,MATCH($A55,Ventas!$A$2:$A$5000,0)),INDEX(Ventas!$I$2:$I$5000,MATCH($A55,Ventas!$A$2:$A$5000,0)),INDEX(Ventas!$J$2:$J$5000,MATCH($A55,Ventas!$A$2:$A$5000,0)))&gt;0.5*AF55*4,"1 mes = "&amp;TEXT(MAX(INDEX(Ventas!$G$2:$G$5000,MATCH($A55,Ventas!$A$2:$A$5000,0)),INDEX(Ventas!$H$2:$H$5000,MATCH($A55,Ventas!$A$2:$A$5000,0)),INDEX(Ventas!$I$2:$I$5000,MATCH($A55,Ventas!$A$2:$A$5000,0)),INDEX(Ventas!$J$2:$J$5000,MATCH($A55,Ventas!$A$2:$A$5000,0)))/(AF55*4),"0%")&amp;" de 4 meses",""))</f>
        <v/>
      </c>
      <c r="AD55" s="62" t="str">
        <f t="shared" si="7"/>
        <v/>
      </c>
      <c r="AE55" s="62" t="str">
        <f t="array" ref="AE55">IF(X55="","",IF(AND(E55=0,AVERAGE(INDEX(Ventas!$C$2:$I$5000,MATCH($A55,Ventas!$A$2:$A$5000,0),0))&gt;0,INDEX(Ventas!$J$2:$J$5000,MATCH($A55,Ventas!$A$2:$A$5000,0))&lt;0.5*AVERAGE(INDEX(Ventas!$C$2:$I$5000,MATCH($A55,Ventas!$A$2:$A$5000,0),0))),"SÍ — stock 0 y Sep cayó (prom Feb-Ago "&amp;TEXT(AVERAGE(INDEX(Ventas!$C$2:$I$5000,MATCH($A55,Ventas!$A$2:$A$5000,0),0)),"#,##0")&amp;")",""))</f>
        <v/>
      </c>
      <c r="AF55" s="60">
        <f t="array" ref="AF55">IF(X55="","",IF(AE55&lt;&gt;"",MAX(X55,AVERAGE(INDEX(Ventas!$C$2:$I$5000,MATCH($A55,Ventas!$A$2:$A$5000,0),0))),X55))</f>
        <v>0</v>
      </c>
      <c r="AG55" s="60">
        <f t="shared" si="8"/>
        <v>-361</v>
      </c>
      <c r="AH55" s="63" t="str">
        <f t="shared" si="9"/>
        <v>SIN VENTAS</v>
      </c>
    </row>
    <row r="56" ht="13.5" customHeight="1">
      <c r="A56" s="64" t="s">
        <v>2385</v>
      </c>
      <c r="B56" s="65" t="s">
        <v>183</v>
      </c>
      <c r="C56" s="65" t="s">
        <v>3079</v>
      </c>
      <c r="D56" s="65" t="s">
        <v>1329</v>
      </c>
      <c r="E56" s="51">
        <v>3084.0</v>
      </c>
      <c r="F56" s="66"/>
      <c r="G56" s="53"/>
      <c r="H56" s="55"/>
      <c r="I56" s="55">
        <v>7000.0</v>
      </c>
      <c r="J56" s="53"/>
      <c r="K56" s="53">
        <v>9000.0</v>
      </c>
      <c r="L56" s="55">
        <v>3000.0</v>
      </c>
      <c r="M56" s="53"/>
      <c r="N56" s="73"/>
      <c r="O56" s="57" t="str">
        <f t="shared" si="1"/>
        <v>OK — cubierto (4.0 meses)</v>
      </c>
      <c r="P56" s="58">
        <f t="shared" si="2"/>
        <v>22084</v>
      </c>
      <c r="Q56" s="79">
        <v>609.0</v>
      </c>
      <c r="R56" s="80">
        <v>2520.0</v>
      </c>
      <c r="S56" s="1"/>
      <c r="T56" s="1"/>
      <c r="U56" s="1"/>
      <c r="V56" s="1"/>
      <c r="W56" s="1"/>
      <c r="X56" s="60">
        <f>IFERROR(VLOOKUP($A56,Ventas!$A$2:$L$5000,12,FALSE()),"")</f>
        <v>5580.75</v>
      </c>
      <c r="Y56" s="60">
        <f t="shared" si="3"/>
        <v>22323</v>
      </c>
      <c r="Z56" s="61">
        <f t="shared" si="4"/>
        <v>4</v>
      </c>
      <c r="AA56" s="60">
        <f t="shared" si="5"/>
        <v>239</v>
      </c>
      <c r="AB56" s="62" t="str">
        <f t="shared" si="6"/>
        <v/>
      </c>
      <c r="AC56" s="62" t="str">
        <f t="array" ref="AC56">IF(AH56&lt;&gt;"COMPRAR","",IF(MAX(INDEX(Ventas!$G$2:$G$5000,MATCH($A56,Ventas!$A$2:$A$5000,0)),INDEX(Ventas!$H$2:$H$5000,MATCH($A56,Ventas!$A$2:$A$5000,0)),INDEX(Ventas!$I$2:$I$5000,MATCH($A56,Ventas!$A$2:$A$5000,0)),INDEX(Ventas!$J$2:$J$5000,MATCH($A56,Ventas!$A$2:$A$5000,0)))&gt;0.5*AF56*4,"1 mes = "&amp;TEXT(MAX(INDEX(Ventas!$G$2:$G$5000,MATCH($A56,Ventas!$A$2:$A$5000,0)),INDEX(Ventas!$H$2:$H$5000,MATCH($A56,Ventas!$A$2:$A$5000,0)),INDEX(Ventas!$I$2:$I$5000,MATCH($A56,Ventas!$A$2:$A$5000,0)),INDEX(Ventas!$J$2:$J$5000,MATCH($A56,Ventas!$A$2:$A$5000,0)))/(AF56*4),"0%")&amp;" de 4 meses",""))</f>
        <v/>
      </c>
      <c r="AD56" s="62" t="str">
        <f t="shared" si="7"/>
        <v/>
      </c>
      <c r="AE56" s="62" t="str">
        <f t="array" ref="AE56">IF(X56="","",IF(AND(E56=0,AVERAGE(INDEX(Ventas!$C$2:$I$5000,MATCH($A56,Ventas!$A$2:$A$5000,0),0))&gt;0,INDEX(Ventas!$J$2:$J$5000,MATCH($A56,Ventas!$A$2:$A$5000,0))&lt;0.5*AVERAGE(INDEX(Ventas!$C$2:$I$5000,MATCH($A56,Ventas!$A$2:$A$5000,0),0))),"SÍ — stock 0 y Sep cayó (prom Feb-Ago "&amp;TEXT(AVERAGE(INDEX(Ventas!$C$2:$I$5000,MATCH($A56,Ventas!$A$2:$A$5000,0),0)),"#,##0")&amp;")",""))</f>
        <v/>
      </c>
      <c r="AF56" s="60">
        <f t="array" ref="AF56">IF(X56="","",IF(AE56&lt;&gt;"",MAX(X56,AVERAGE(INDEX(Ventas!$C$2:$I$5000,MATCH($A56,Ventas!$A$2:$A$5000,0),0))),X56))</f>
        <v>5580.75</v>
      </c>
      <c r="AG56" s="60">
        <f t="shared" si="8"/>
        <v>239</v>
      </c>
      <c r="AH56" s="63" t="str">
        <f t="shared" si="9"/>
        <v>OK</v>
      </c>
    </row>
    <row r="57" ht="13.5" customHeight="1">
      <c r="A57" s="49" t="s">
        <v>2297</v>
      </c>
      <c r="B57" s="50" t="s">
        <v>183</v>
      </c>
      <c r="C57" s="50" t="s">
        <v>3079</v>
      </c>
      <c r="D57" s="50" t="s">
        <v>336</v>
      </c>
      <c r="E57" s="51">
        <v>328.0</v>
      </c>
      <c r="F57" s="52"/>
      <c r="G57" s="53"/>
      <c r="H57" s="55"/>
      <c r="I57" s="55">
        <v>2000.0</v>
      </c>
      <c r="J57" s="53"/>
      <c r="K57" s="53">
        <v>2000.0</v>
      </c>
      <c r="L57" s="55"/>
      <c r="M57" s="53"/>
      <c r="N57" s="74"/>
      <c r="O57" s="57" t="str">
        <f t="shared" si="1"/>
        <v>COMPRAR — faltan 631 m para 4 meses (ya contando pedidos)</v>
      </c>
      <c r="P57" s="58">
        <f t="shared" si="2"/>
        <v>4328</v>
      </c>
      <c r="Q57" s="1"/>
      <c r="R57" s="1"/>
      <c r="S57" s="1"/>
      <c r="T57" s="1"/>
      <c r="U57" s="1"/>
      <c r="V57" s="1"/>
      <c r="W57" s="1"/>
      <c r="X57" s="60">
        <f>IFERROR(VLOOKUP($A57,Ventas!$A$2:$L$5000,12,FALSE()),"")</f>
        <v>1239.75</v>
      </c>
      <c r="Y57" s="60">
        <f t="shared" si="3"/>
        <v>4959</v>
      </c>
      <c r="Z57" s="61">
        <f t="shared" si="4"/>
        <v>3.5</v>
      </c>
      <c r="AA57" s="60">
        <f t="shared" si="5"/>
        <v>631</v>
      </c>
      <c r="AB57" s="62" t="str">
        <f t="shared" si="6"/>
        <v/>
      </c>
      <c r="AC57" s="62" t="str">
        <f t="array" ref="AC57">IF(AH57&lt;&gt;"COMPRAR","",IF(MAX(INDEX(Ventas!$G$2:$G$5000,MATCH($A57,Ventas!$A$2:$A$5000,0)),INDEX(Ventas!$H$2:$H$5000,MATCH($A57,Ventas!$A$2:$A$5000,0)),INDEX(Ventas!$I$2:$I$5000,MATCH($A57,Ventas!$A$2:$A$5000,0)),INDEX(Ventas!$J$2:$J$5000,MATCH($A57,Ventas!$A$2:$A$5000,0)))&gt;0.5*AF57*4,"1 mes = "&amp;TEXT(MAX(INDEX(Ventas!$G$2:$G$5000,MATCH($A57,Ventas!$A$2:$A$5000,0)),INDEX(Ventas!$H$2:$H$5000,MATCH($A57,Ventas!$A$2:$A$5000,0)),INDEX(Ventas!$I$2:$I$5000,MATCH($A57,Ventas!$A$2:$A$5000,0)),INDEX(Ventas!$J$2:$J$5000,MATCH($A57,Ventas!$A$2:$A$5000,0)))/(AF57*4),"0%")&amp;" de 4 meses",""))</f>
        <v/>
      </c>
      <c r="AD57" s="62" t="str">
        <f t="shared" si="7"/>
        <v>SÍ — 328 m vs 657 m</v>
      </c>
      <c r="AE57" s="62" t="str">
        <f t="array" ref="AE57">IF(X57="","",IF(AND(E57=0,AVERAGE(INDEX(Ventas!$C$2:$I$5000,MATCH($A57,Ventas!$A$2:$A$5000,0),0))&gt;0,INDEX(Ventas!$J$2:$J$5000,MATCH($A57,Ventas!$A$2:$A$5000,0))&lt;0.5*AVERAGE(INDEX(Ventas!$C$2:$I$5000,MATCH($A57,Ventas!$A$2:$A$5000,0),0))),"SÍ — stock 0 y Sep cayó (prom Feb-Ago "&amp;TEXT(AVERAGE(INDEX(Ventas!$C$2:$I$5000,MATCH($A57,Ventas!$A$2:$A$5000,0),0)),"#,##0")&amp;")",""))</f>
        <v/>
      </c>
      <c r="AF57" s="60">
        <f t="array" ref="AF57">IF(X57="","",IF(AE57&lt;&gt;"",MAX(X57,AVERAGE(INDEX(Ventas!$C$2:$I$5000,MATCH($A57,Ventas!$A$2:$A$5000,0),0))),X57))</f>
        <v>1239.75</v>
      </c>
      <c r="AG57" s="60">
        <f t="shared" si="8"/>
        <v>631</v>
      </c>
      <c r="AH57" s="63" t="str">
        <f t="shared" si="9"/>
        <v>COMPRAR</v>
      </c>
    </row>
    <row r="58" ht="13.5" customHeight="1">
      <c r="A58" s="64" t="s">
        <v>2397</v>
      </c>
      <c r="B58" s="65" t="s">
        <v>183</v>
      </c>
      <c r="C58" s="65" t="s">
        <v>3079</v>
      </c>
      <c r="D58" s="65" t="s">
        <v>3280</v>
      </c>
      <c r="E58" s="51">
        <v>436.0</v>
      </c>
      <c r="F58" s="66"/>
      <c r="G58" s="53"/>
      <c r="H58" s="55"/>
      <c r="I58" s="55"/>
      <c r="J58" s="53"/>
      <c r="K58" s="53"/>
      <c r="L58" s="55"/>
      <c r="M58" s="53"/>
      <c r="N58" s="73"/>
      <c r="O58" s="57" t="str">
        <f t="shared" si="1"/>
        <v>OK — cubierto (5.4 meses)</v>
      </c>
      <c r="P58" s="58">
        <f t="shared" si="2"/>
        <v>436</v>
      </c>
      <c r="Q58" s="1"/>
      <c r="R58" s="1"/>
      <c r="S58" s="1"/>
      <c r="T58" s="1"/>
      <c r="U58" s="1"/>
      <c r="V58" s="1"/>
      <c r="W58" s="1"/>
      <c r="X58" s="60">
        <f>IFERROR(VLOOKUP($A58,Ventas!$A$2:$L$5000,12,FALSE()),"")</f>
        <v>80.5</v>
      </c>
      <c r="Y58" s="60">
        <f t="shared" si="3"/>
        <v>322</v>
      </c>
      <c r="Z58" s="61">
        <f t="shared" si="4"/>
        <v>5.4</v>
      </c>
      <c r="AA58" s="60">
        <f t="shared" si="5"/>
        <v>-114</v>
      </c>
      <c r="AB58" s="62" t="str">
        <f t="shared" si="6"/>
        <v/>
      </c>
      <c r="AC58" s="62" t="str">
        <f t="array" ref="AC58">IF(AH58&lt;&gt;"COMPRAR","",IF(MAX(INDEX(Ventas!$G$2:$G$5000,MATCH($A58,Ventas!$A$2:$A$5000,0)),INDEX(Ventas!$H$2:$H$5000,MATCH($A58,Ventas!$A$2:$A$5000,0)),INDEX(Ventas!$I$2:$I$5000,MATCH($A58,Ventas!$A$2:$A$5000,0)),INDEX(Ventas!$J$2:$J$5000,MATCH($A58,Ventas!$A$2:$A$5000,0)))&gt;0.5*AF58*4,"1 mes = "&amp;TEXT(MAX(INDEX(Ventas!$G$2:$G$5000,MATCH($A58,Ventas!$A$2:$A$5000,0)),INDEX(Ventas!$H$2:$H$5000,MATCH($A58,Ventas!$A$2:$A$5000,0)),INDEX(Ventas!$I$2:$I$5000,MATCH($A58,Ventas!$A$2:$A$5000,0)),INDEX(Ventas!$J$2:$J$5000,MATCH($A58,Ventas!$A$2:$A$5000,0)))/(AF58*4),"0%")&amp;" de 4 meses",""))</f>
        <v/>
      </c>
      <c r="AD58" s="62" t="str">
        <f t="shared" si="7"/>
        <v/>
      </c>
      <c r="AE58" s="62" t="str">
        <f t="array" ref="AE58">IF(X58="","",IF(AND(E58=0,AVERAGE(INDEX(Ventas!$C$2:$I$5000,MATCH($A58,Ventas!$A$2:$A$5000,0),0))&gt;0,INDEX(Ventas!$J$2:$J$5000,MATCH($A58,Ventas!$A$2:$A$5000,0))&lt;0.5*AVERAGE(INDEX(Ventas!$C$2:$I$5000,MATCH($A58,Ventas!$A$2:$A$5000,0),0))),"SÍ — stock 0 y Sep cayó (prom Feb-Ago "&amp;TEXT(AVERAGE(INDEX(Ventas!$C$2:$I$5000,MATCH($A58,Ventas!$A$2:$A$5000,0),0)),"#,##0")&amp;")",""))</f>
        <v/>
      </c>
      <c r="AF58" s="60">
        <f t="array" ref="AF58">IF(X58="","",IF(AE58&lt;&gt;"",MAX(X58,AVERAGE(INDEX(Ventas!$C$2:$I$5000,MATCH($A58,Ventas!$A$2:$A$5000,0),0))),X58))</f>
        <v>80.5</v>
      </c>
      <c r="AG58" s="60">
        <f t="shared" si="8"/>
        <v>-114</v>
      </c>
      <c r="AH58" s="63" t="str">
        <f t="shared" si="9"/>
        <v>OK</v>
      </c>
    </row>
    <row r="59" ht="13.5" customHeight="1">
      <c r="A59" s="49" t="s">
        <v>2301</v>
      </c>
      <c r="B59" s="50" t="s">
        <v>183</v>
      </c>
      <c r="C59" s="50" t="s">
        <v>3079</v>
      </c>
      <c r="D59" s="50" t="s">
        <v>3361</v>
      </c>
      <c r="E59" s="51">
        <v>0.0</v>
      </c>
      <c r="F59" s="52"/>
      <c r="G59" s="53"/>
      <c r="H59" s="55"/>
      <c r="I59" s="55"/>
      <c r="J59" s="53"/>
      <c r="K59" s="53"/>
      <c r="L59" s="55"/>
      <c r="M59" s="53"/>
      <c r="N59" s="74"/>
      <c r="O59" s="57" t="str">
        <f t="shared" si="1"/>
        <v>COMPRAR — faltan 1,522 m para 4 meses</v>
      </c>
      <c r="P59" s="58">
        <f t="shared" si="2"/>
        <v>0</v>
      </c>
      <c r="Q59" s="59">
        <v>1040.0</v>
      </c>
      <c r="R59" s="59">
        <v>156.0</v>
      </c>
      <c r="S59" s="1"/>
      <c r="T59" s="1"/>
      <c r="U59" s="1"/>
      <c r="V59" s="1"/>
      <c r="W59" s="1"/>
      <c r="X59" s="60">
        <f>IFERROR(VLOOKUP($A59,Ventas!$A$2:$L$5000,12,FALSE()),"")</f>
        <v>380.5</v>
      </c>
      <c r="Y59" s="60">
        <f t="shared" si="3"/>
        <v>1522</v>
      </c>
      <c r="Z59" s="61">
        <f t="shared" si="4"/>
        <v>0</v>
      </c>
      <c r="AA59" s="60">
        <f t="shared" si="5"/>
        <v>1522</v>
      </c>
      <c r="AB59" s="62" t="str">
        <f t="shared" si="6"/>
        <v/>
      </c>
      <c r="AC59" s="62" t="str">
        <f t="array" ref="AC59">IF(AH59&lt;&gt;"COMPRAR","",IF(MAX(INDEX(Ventas!$G$2:$G$5000,MATCH($A59,Ventas!$A$2:$A$5000,0)),INDEX(Ventas!$H$2:$H$5000,MATCH($A59,Ventas!$A$2:$A$5000,0)),INDEX(Ventas!$I$2:$I$5000,MATCH($A59,Ventas!$A$2:$A$5000,0)),INDEX(Ventas!$J$2:$J$5000,MATCH($A59,Ventas!$A$2:$A$5000,0)))&gt;0.5*AF59*4,"1 mes = "&amp;TEXT(MAX(INDEX(Ventas!$G$2:$G$5000,MATCH($A59,Ventas!$A$2:$A$5000,0)),INDEX(Ventas!$H$2:$H$5000,MATCH($A59,Ventas!$A$2:$A$5000,0)),INDEX(Ventas!$I$2:$I$5000,MATCH($A59,Ventas!$A$2:$A$5000,0)),INDEX(Ventas!$J$2:$J$5000,MATCH($A59,Ventas!$A$2:$A$5000,0)))/(AF59*4),"0%")&amp;" de 4 meses",""))</f>
        <v/>
      </c>
      <c r="AD59" s="62" t="str">
        <f t="shared" si="7"/>
        <v>SÍ — 0 m vs 202 m</v>
      </c>
      <c r="AE59" s="62" t="str">
        <f t="array" ref="AE59">IF(X59="","",IF(AND(E59=0,AVERAGE(INDEX(Ventas!$C$2:$I$5000,MATCH($A59,Ventas!$A$2:$A$5000,0),0))&gt;0,INDEX(Ventas!$J$2:$J$5000,MATCH($A59,Ventas!$A$2:$A$5000,0))&lt;0.5*AVERAGE(INDEX(Ventas!$C$2:$I$5000,MATCH($A59,Ventas!$A$2:$A$5000,0),0))),"SÍ — stock 0 y Sep cayó (prom Feb-Ago "&amp;TEXT(AVERAGE(INDEX(Ventas!$C$2:$I$5000,MATCH($A59,Ventas!$A$2:$A$5000,0),0)),"#,##0")&amp;")",""))</f>
        <v/>
      </c>
      <c r="AF59" s="60">
        <f t="array" ref="AF59">IF(X59="","",IF(AE59&lt;&gt;"",MAX(X59,AVERAGE(INDEX(Ventas!$C$2:$I$5000,MATCH($A59,Ventas!$A$2:$A$5000,0),0))),X59))</f>
        <v>380.5</v>
      </c>
      <c r="AG59" s="60">
        <f t="shared" si="8"/>
        <v>1522</v>
      </c>
      <c r="AH59" s="63" t="str">
        <f t="shared" si="9"/>
        <v>COMPRAR</v>
      </c>
    </row>
    <row r="60" ht="13.5" customHeight="1">
      <c r="A60" s="64" t="s">
        <v>2389</v>
      </c>
      <c r="B60" s="65" t="s">
        <v>183</v>
      </c>
      <c r="C60" s="65" t="s">
        <v>3079</v>
      </c>
      <c r="D60" s="65" t="s">
        <v>3428</v>
      </c>
      <c r="E60" s="51">
        <v>1519.0</v>
      </c>
      <c r="F60" s="66"/>
      <c r="G60" s="53"/>
      <c r="H60" s="55"/>
      <c r="I60" s="55"/>
      <c r="J60" s="53"/>
      <c r="K60" s="53"/>
      <c r="L60" s="55"/>
      <c r="M60" s="53"/>
      <c r="N60" s="73"/>
      <c r="O60" s="57" t="str">
        <f t="shared" si="1"/>
        <v>SOBRESTOCK — 30.4 meses de cobertura</v>
      </c>
      <c r="P60" s="58">
        <f t="shared" si="2"/>
        <v>1519</v>
      </c>
      <c r="Q60" s="1"/>
      <c r="R60" s="1"/>
      <c r="S60" s="1"/>
      <c r="T60" s="1"/>
      <c r="U60" s="1"/>
      <c r="V60" s="1"/>
      <c r="W60" s="1"/>
      <c r="X60" s="60">
        <f>IFERROR(VLOOKUP($A60,Ventas!$A$2:$L$5000,12,FALSE()),"")</f>
        <v>50</v>
      </c>
      <c r="Y60" s="60">
        <f t="shared" si="3"/>
        <v>200</v>
      </c>
      <c r="Z60" s="61">
        <f t="shared" si="4"/>
        <v>30.4</v>
      </c>
      <c r="AA60" s="60">
        <f t="shared" si="5"/>
        <v>-1319</v>
      </c>
      <c r="AB60" s="62" t="str">
        <f t="shared" si="6"/>
        <v/>
      </c>
      <c r="AC60" s="62" t="str">
        <f t="array" ref="AC60">IF(AH60&lt;&gt;"COMPRAR","",IF(MAX(INDEX(Ventas!$G$2:$G$5000,MATCH($A60,Ventas!$A$2:$A$5000,0)),INDEX(Ventas!$H$2:$H$5000,MATCH($A60,Ventas!$A$2:$A$5000,0)),INDEX(Ventas!$I$2:$I$5000,MATCH($A60,Ventas!$A$2:$A$5000,0)),INDEX(Ventas!$J$2:$J$5000,MATCH($A60,Ventas!$A$2:$A$5000,0)))&gt;0.5*AF60*4,"1 mes = "&amp;TEXT(MAX(INDEX(Ventas!$G$2:$G$5000,MATCH($A60,Ventas!$A$2:$A$5000,0)),INDEX(Ventas!$H$2:$H$5000,MATCH($A60,Ventas!$A$2:$A$5000,0)),INDEX(Ventas!$I$2:$I$5000,MATCH($A60,Ventas!$A$2:$A$5000,0)),INDEX(Ventas!$J$2:$J$5000,MATCH($A60,Ventas!$A$2:$A$5000,0)))/(AF60*4),"0%")&amp;" de 4 meses",""))</f>
        <v/>
      </c>
      <c r="AD60" s="62" t="str">
        <f t="shared" si="7"/>
        <v/>
      </c>
      <c r="AE60" s="62" t="str">
        <f t="array" ref="AE60">IF(X60="","",IF(AND(E60=0,AVERAGE(INDEX(Ventas!$C$2:$I$5000,MATCH($A60,Ventas!$A$2:$A$5000,0),0))&gt;0,INDEX(Ventas!$J$2:$J$5000,MATCH($A60,Ventas!$A$2:$A$5000,0))&lt;0.5*AVERAGE(INDEX(Ventas!$C$2:$I$5000,MATCH($A60,Ventas!$A$2:$A$5000,0),0))),"SÍ — stock 0 y Sep cayó (prom Feb-Ago "&amp;TEXT(AVERAGE(INDEX(Ventas!$C$2:$I$5000,MATCH($A60,Ventas!$A$2:$A$5000,0),0)),"#,##0")&amp;")",""))</f>
        <v/>
      </c>
      <c r="AF60" s="60">
        <f t="array" ref="AF60">IF(X60="","",IF(AE60&lt;&gt;"",MAX(X60,AVERAGE(INDEX(Ventas!$C$2:$I$5000,MATCH($A60,Ventas!$A$2:$A$5000,0),0))),X60))</f>
        <v>50</v>
      </c>
      <c r="AG60" s="60">
        <f t="shared" si="8"/>
        <v>-1319</v>
      </c>
      <c r="AH60" s="63" t="str">
        <f t="shared" si="9"/>
        <v>SOBRESTOCK</v>
      </c>
    </row>
    <row r="61" ht="13.5" customHeight="1">
      <c r="A61" s="49" t="s">
        <v>2335</v>
      </c>
      <c r="B61" s="50" t="s">
        <v>183</v>
      </c>
      <c r="C61" s="50" t="s">
        <v>3079</v>
      </c>
      <c r="D61" s="50" t="s">
        <v>694</v>
      </c>
      <c r="E61" s="51">
        <v>200.0</v>
      </c>
      <c r="F61" s="52"/>
      <c r="G61" s="53"/>
      <c r="H61" s="55"/>
      <c r="I61" s="55"/>
      <c r="J61" s="53"/>
      <c r="K61" s="53"/>
      <c r="L61" s="55"/>
      <c r="M61" s="53"/>
      <c r="N61" s="74"/>
      <c r="O61" s="57" t="str">
        <f t="shared" si="1"/>
        <v>COMPRAR — faltan 880 m para 4 meses</v>
      </c>
      <c r="P61" s="58">
        <f t="shared" si="2"/>
        <v>200</v>
      </c>
      <c r="Q61" s="1"/>
      <c r="R61" s="1"/>
      <c r="S61" s="1"/>
      <c r="T61" s="1"/>
      <c r="U61" s="1"/>
      <c r="V61" s="1"/>
      <c r="W61" s="1"/>
      <c r="X61" s="60">
        <f>IFERROR(VLOOKUP($A61,Ventas!$A$2:$L$5000,12,FALSE()),"")</f>
        <v>270</v>
      </c>
      <c r="Y61" s="60">
        <f t="shared" si="3"/>
        <v>1080</v>
      </c>
      <c r="Z61" s="61">
        <f t="shared" si="4"/>
        <v>0.7</v>
      </c>
      <c r="AA61" s="60">
        <f t="shared" si="5"/>
        <v>880</v>
      </c>
      <c r="AB61" s="62" t="str">
        <f t="shared" si="6"/>
        <v/>
      </c>
      <c r="AC61" s="62" t="str">
        <f t="array" ref="AC61">IF(AH61&lt;&gt;"COMPRAR","",IF(MAX(INDEX(Ventas!$G$2:$G$5000,MATCH($A61,Ventas!$A$2:$A$5000,0)),INDEX(Ventas!$H$2:$H$5000,MATCH($A61,Ventas!$A$2:$A$5000,0)),INDEX(Ventas!$I$2:$I$5000,MATCH($A61,Ventas!$A$2:$A$5000,0)),INDEX(Ventas!$J$2:$J$5000,MATCH($A61,Ventas!$A$2:$A$5000,0)))&gt;0.5*AF61*4,"1 mes = "&amp;TEXT(MAX(INDEX(Ventas!$G$2:$G$5000,MATCH($A61,Ventas!$A$2:$A$5000,0)),INDEX(Ventas!$H$2:$H$5000,MATCH($A61,Ventas!$A$2:$A$5000,0)),INDEX(Ventas!$I$2:$I$5000,MATCH($A61,Ventas!$A$2:$A$5000,0)),INDEX(Ventas!$J$2:$J$5000,MATCH($A61,Ventas!$A$2:$A$5000,0)))/(AF61*4),"0%")&amp;" de 4 meses",""))</f>
        <v>1 mes = 56% de 4 meses</v>
      </c>
      <c r="AD61" s="62" t="str">
        <f t="shared" si="7"/>
        <v/>
      </c>
      <c r="AE61" s="62" t="str">
        <f t="array" ref="AE61">IF(X61="","",IF(AND(E61=0,AVERAGE(INDEX(Ventas!$C$2:$I$5000,MATCH($A61,Ventas!$A$2:$A$5000,0),0))&gt;0,INDEX(Ventas!$J$2:$J$5000,MATCH($A61,Ventas!$A$2:$A$5000,0))&lt;0.5*AVERAGE(INDEX(Ventas!$C$2:$I$5000,MATCH($A61,Ventas!$A$2:$A$5000,0),0))),"SÍ — stock 0 y Sep cayó (prom Feb-Ago "&amp;TEXT(AVERAGE(INDEX(Ventas!$C$2:$I$5000,MATCH($A61,Ventas!$A$2:$A$5000,0),0)),"#,##0")&amp;")",""))</f>
        <v/>
      </c>
      <c r="AF61" s="60">
        <f t="array" ref="AF61">IF(X61="","",IF(AE61&lt;&gt;"",MAX(X61,AVERAGE(INDEX(Ventas!$C$2:$I$5000,MATCH($A61,Ventas!$A$2:$A$5000,0),0))),X61))</f>
        <v>270</v>
      </c>
      <c r="AG61" s="60">
        <f t="shared" si="8"/>
        <v>880</v>
      </c>
      <c r="AH61" s="63" t="str">
        <f t="shared" si="9"/>
        <v>COMPRAR</v>
      </c>
    </row>
    <row r="62" ht="13.5" customHeight="1">
      <c r="A62" s="64" t="s">
        <v>2379</v>
      </c>
      <c r="B62" s="65" t="s">
        <v>183</v>
      </c>
      <c r="C62" s="65" t="s">
        <v>3079</v>
      </c>
      <c r="D62" s="65" t="s">
        <v>794</v>
      </c>
      <c r="E62" s="51">
        <v>1328.0</v>
      </c>
      <c r="F62" s="66"/>
      <c r="G62" s="53"/>
      <c r="H62" s="55"/>
      <c r="I62" s="55"/>
      <c r="J62" s="53"/>
      <c r="K62" s="53"/>
      <c r="L62" s="55"/>
      <c r="M62" s="53"/>
      <c r="N62" s="73"/>
      <c r="O62" s="57" t="str">
        <f t="shared" si="1"/>
        <v>OK — cubierto (5.7 meses)</v>
      </c>
      <c r="P62" s="58">
        <f t="shared" si="2"/>
        <v>1328</v>
      </c>
      <c r="Q62" s="1"/>
      <c r="R62" s="1"/>
      <c r="S62" s="1"/>
      <c r="T62" s="1"/>
      <c r="U62" s="1"/>
      <c r="V62" s="1"/>
      <c r="W62" s="1"/>
      <c r="X62" s="60">
        <f>IFERROR(VLOOKUP($A62,Ventas!$A$2:$L$5000,12,FALSE()),"")</f>
        <v>231.25</v>
      </c>
      <c r="Y62" s="60">
        <f t="shared" si="3"/>
        <v>925</v>
      </c>
      <c r="Z62" s="61">
        <f t="shared" si="4"/>
        <v>5.7</v>
      </c>
      <c r="AA62" s="60">
        <f t="shared" si="5"/>
        <v>-403</v>
      </c>
      <c r="AB62" s="62" t="str">
        <f t="shared" si="6"/>
        <v/>
      </c>
      <c r="AC62" s="62" t="str">
        <f t="array" ref="AC62">IF(AH62&lt;&gt;"COMPRAR","",IF(MAX(INDEX(Ventas!$G$2:$G$5000,MATCH($A62,Ventas!$A$2:$A$5000,0)),INDEX(Ventas!$H$2:$H$5000,MATCH($A62,Ventas!$A$2:$A$5000,0)),INDEX(Ventas!$I$2:$I$5000,MATCH($A62,Ventas!$A$2:$A$5000,0)),INDEX(Ventas!$J$2:$J$5000,MATCH($A62,Ventas!$A$2:$A$5000,0)))&gt;0.5*AF62*4,"1 mes = "&amp;TEXT(MAX(INDEX(Ventas!$G$2:$G$5000,MATCH($A62,Ventas!$A$2:$A$5000,0)),INDEX(Ventas!$H$2:$H$5000,MATCH($A62,Ventas!$A$2:$A$5000,0)),INDEX(Ventas!$I$2:$I$5000,MATCH($A62,Ventas!$A$2:$A$5000,0)),INDEX(Ventas!$J$2:$J$5000,MATCH($A62,Ventas!$A$2:$A$5000,0)))/(AF62*4),"0%")&amp;" de 4 meses",""))</f>
        <v/>
      </c>
      <c r="AD62" s="62" t="str">
        <f t="shared" si="7"/>
        <v/>
      </c>
      <c r="AE62" s="62" t="str">
        <f t="array" ref="AE62">IF(X62="","",IF(AND(E62=0,AVERAGE(INDEX(Ventas!$C$2:$I$5000,MATCH($A62,Ventas!$A$2:$A$5000,0),0))&gt;0,INDEX(Ventas!$J$2:$J$5000,MATCH($A62,Ventas!$A$2:$A$5000,0))&lt;0.5*AVERAGE(INDEX(Ventas!$C$2:$I$5000,MATCH($A62,Ventas!$A$2:$A$5000,0),0))),"SÍ — stock 0 y Sep cayó (prom Feb-Ago "&amp;TEXT(AVERAGE(INDEX(Ventas!$C$2:$I$5000,MATCH($A62,Ventas!$A$2:$A$5000,0),0)),"#,##0")&amp;")",""))</f>
        <v/>
      </c>
      <c r="AF62" s="60">
        <f t="array" ref="AF62">IF(X62="","",IF(AE62&lt;&gt;"",MAX(X62,AVERAGE(INDEX(Ventas!$C$2:$I$5000,MATCH($A62,Ventas!$A$2:$A$5000,0),0))),X62))</f>
        <v>231.25</v>
      </c>
      <c r="AG62" s="60">
        <f t="shared" si="8"/>
        <v>-403</v>
      </c>
      <c r="AH62" s="63" t="str">
        <f t="shared" si="9"/>
        <v>OK</v>
      </c>
    </row>
    <row r="63" ht="13.5" customHeight="1">
      <c r="A63" s="49" t="s">
        <v>2293</v>
      </c>
      <c r="B63" s="50" t="s">
        <v>183</v>
      </c>
      <c r="C63" s="50" t="s">
        <v>3079</v>
      </c>
      <c r="D63" s="50" t="s">
        <v>3624</v>
      </c>
      <c r="E63" s="51">
        <v>681.0</v>
      </c>
      <c r="F63" s="52"/>
      <c r="G63" s="53"/>
      <c r="H63" s="55"/>
      <c r="I63" s="55"/>
      <c r="J63" s="53"/>
      <c r="K63" s="53"/>
      <c r="L63" s="55"/>
      <c r="M63" s="53"/>
      <c r="N63" s="74"/>
      <c r="O63" s="57" t="str">
        <f t="shared" si="1"/>
        <v>SOBRESTOCK — 68.1 meses de cobertura</v>
      </c>
      <c r="P63" s="58">
        <f t="shared" si="2"/>
        <v>681</v>
      </c>
      <c r="Q63" s="1"/>
      <c r="R63" s="1"/>
      <c r="S63" s="1"/>
      <c r="T63" s="1"/>
      <c r="U63" s="1"/>
      <c r="V63" s="1"/>
      <c r="W63" s="1"/>
      <c r="X63" s="60">
        <f>IFERROR(VLOOKUP($A63,Ventas!$A$2:$L$5000,12,FALSE()),"")</f>
        <v>10</v>
      </c>
      <c r="Y63" s="60">
        <f t="shared" si="3"/>
        <v>40</v>
      </c>
      <c r="Z63" s="61">
        <f t="shared" si="4"/>
        <v>68.1</v>
      </c>
      <c r="AA63" s="60">
        <f t="shared" si="5"/>
        <v>-641</v>
      </c>
      <c r="AB63" s="62" t="str">
        <f t="shared" si="6"/>
        <v/>
      </c>
      <c r="AC63" s="62" t="str">
        <f t="array" ref="AC63">IF(AH63&lt;&gt;"COMPRAR","",IF(MAX(INDEX(Ventas!$G$2:$G$5000,MATCH($A63,Ventas!$A$2:$A$5000,0)),INDEX(Ventas!$H$2:$H$5000,MATCH($A63,Ventas!$A$2:$A$5000,0)),INDEX(Ventas!$I$2:$I$5000,MATCH($A63,Ventas!$A$2:$A$5000,0)),INDEX(Ventas!$J$2:$J$5000,MATCH($A63,Ventas!$A$2:$A$5000,0)))&gt;0.5*AF63*4,"1 mes = "&amp;TEXT(MAX(INDEX(Ventas!$G$2:$G$5000,MATCH($A63,Ventas!$A$2:$A$5000,0)),INDEX(Ventas!$H$2:$H$5000,MATCH($A63,Ventas!$A$2:$A$5000,0)),INDEX(Ventas!$I$2:$I$5000,MATCH($A63,Ventas!$A$2:$A$5000,0)),INDEX(Ventas!$J$2:$J$5000,MATCH($A63,Ventas!$A$2:$A$5000,0)))/(AF63*4),"0%")&amp;" de 4 meses",""))</f>
        <v/>
      </c>
      <c r="AD63" s="62" t="str">
        <f t="shared" si="7"/>
        <v/>
      </c>
      <c r="AE63" s="62" t="str">
        <f t="array" ref="AE63">IF(X63="","",IF(AND(E63=0,AVERAGE(INDEX(Ventas!$C$2:$I$5000,MATCH($A63,Ventas!$A$2:$A$5000,0),0))&gt;0,INDEX(Ventas!$J$2:$J$5000,MATCH($A63,Ventas!$A$2:$A$5000,0))&lt;0.5*AVERAGE(INDEX(Ventas!$C$2:$I$5000,MATCH($A63,Ventas!$A$2:$A$5000,0),0))),"SÍ — stock 0 y Sep cayó (prom Feb-Ago "&amp;TEXT(AVERAGE(INDEX(Ventas!$C$2:$I$5000,MATCH($A63,Ventas!$A$2:$A$5000,0),0)),"#,##0")&amp;")",""))</f>
        <v/>
      </c>
      <c r="AF63" s="60">
        <f t="array" ref="AF63">IF(X63="","",IF(AE63&lt;&gt;"",MAX(X63,AVERAGE(INDEX(Ventas!$C$2:$I$5000,MATCH($A63,Ventas!$A$2:$A$5000,0),0))),X63))</f>
        <v>10</v>
      </c>
      <c r="AG63" s="60">
        <f t="shared" si="8"/>
        <v>-641</v>
      </c>
      <c r="AH63" s="63" t="str">
        <f t="shared" si="9"/>
        <v>SOBRESTOCK</v>
      </c>
    </row>
    <row r="64" ht="13.5" customHeight="1">
      <c r="A64" s="64" t="s">
        <v>2391</v>
      </c>
      <c r="B64" s="65" t="s">
        <v>183</v>
      </c>
      <c r="C64" s="65" t="s">
        <v>3079</v>
      </c>
      <c r="D64" s="65" t="s">
        <v>3625</v>
      </c>
      <c r="E64" s="51">
        <v>518.0</v>
      </c>
      <c r="F64" s="66"/>
      <c r="G64" s="53"/>
      <c r="H64" s="55"/>
      <c r="I64" s="55"/>
      <c r="J64" s="53"/>
      <c r="K64" s="53"/>
      <c r="L64" s="55"/>
      <c r="M64" s="53"/>
      <c r="N64" s="73"/>
      <c r="O64" s="57" t="str">
        <f t="shared" si="1"/>
        <v>SIN VENTAS Jun-Sep — no comprar (518 m disponibles)</v>
      </c>
      <c r="P64" s="58">
        <f t="shared" si="2"/>
        <v>518</v>
      </c>
      <c r="Q64" s="1"/>
      <c r="R64" s="1"/>
      <c r="S64" s="1"/>
      <c r="T64" s="1"/>
      <c r="U64" s="1"/>
      <c r="V64" s="1"/>
      <c r="W64" s="1"/>
      <c r="X64" s="60">
        <f>IFERROR(VLOOKUP($A64,Ventas!$A$2:$L$5000,12,FALSE()),"")</f>
        <v>0</v>
      </c>
      <c r="Y64" s="60">
        <f t="shared" si="3"/>
        <v>0</v>
      </c>
      <c r="Z64" s="61" t="str">
        <f t="shared" si="4"/>
        <v/>
      </c>
      <c r="AA64" s="60">
        <f t="shared" si="5"/>
        <v>-518</v>
      </c>
      <c r="AB64" s="62" t="str">
        <f t="shared" si="6"/>
        <v/>
      </c>
      <c r="AC64" s="62" t="str">
        <f t="array" ref="AC64">IF(AH64&lt;&gt;"COMPRAR","",IF(MAX(INDEX(Ventas!$G$2:$G$5000,MATCH($A64,Ventas!$A$2:$A$5000,0)),INDEX(Ventas!$H$2:$H$5000,MATCH($A64,Ventas!$A$2:$A$5000,0)),INDEX(Ventas!$I$2:$I$5000,MATCH($A64,Ventas!$A$2:$A$5000,0)),INDEX(Ventas!$J$2:$J$5000,MATCH($A64,Ventas!$A$2:$A$5000,0)))&gt;0.5*AF64*4,"1 mes = "&amp;TEXT(MAX(INDEX(Ventas!$G$2:$G$5000,MATCH($A64,Ventas!$A$2:$A$5000,0)),INDEX(Ventas!$H$2:$H$5000,MATCH($A64,Ventas!$A$2:$A$5000,0)),INDEX(Ventas!$I$2:$I$5000,MATCH($A64,Ventas!$A$2:$A$5000,0)),INDEX(Ventas!$J$2:$J$5000,MATCH($A64,Ventas!$A$2:$A$5000,0)))/(AF64*4),"0%")&amp;" de 4 meses",""))</f>
        <v/>
      </c>
      <c r="AD64" s="62" t="str">
        <f t="shared" si="7"/>
        <v/>
      </c>
      <c r="AE64" s="62" t="str">
        <f t="array" ref="AE64">IF(X64="","",IF(AND(E64=0,AVERAGE(INDEX(Ventas!$C$2:$I$5000,MATCH($A64,Ventas!$A$2:$A$5000,0),0))&gt;0,INDEX(Ventas!$J$2:$J$5000,MATCH($A64,Ventas!$A$2:$A$5000,0))&lt;0.5*AVERAGE(INDEX(Ventas!$C$2:$I$5000,MATCH($A64,Ventas!$A$2:$A$5000,0),0))),"SÍ — stock 0 y Sep cayó (prom Feb-Ago "&amp;TEXT(AVERAGE(INDEX(Ventas!$C$2:$I$5000,MATCH($A64,Ventas!$A$2:$A$5000,0),0)),"#,##0")&amp;")",""))</f>
        <v/>
      </c>
      <c r="AF64" s="60">
        <f t="array" ref="AF64">IF(X64="","",IF(AE64&lt;&gt;"",MAX(X64,AVERAGE(INDEX(Ventas!$C$2:$I$5000,MATCH($A64,Ventas!$A$2:$A$5000,0),0))),X64))</f>
        <v>0</v>
      </c>
      <c r="AG64" s="60">
        <f t="shared" si="8"/>
        <v>-518</v>
      </c>
      <c r="AH64" s="63" t="str">
        <f t="shared" si="9"/>
        <v>SIN VENTAS</v>
      </c>
    </row>
    <row r="65" ht="13.5" customHeight="1">
      <c r="A65" s="49" t="s">
        <v>2305</v>
      </c>
      <c r="B65" s="50" t="s">
        <v>183</v>
      </c>
      <c r="C65" s="50" t="s">
        <v>3079</v>
      </c>
      <c r="D65" s="50" t="s">
        <v>2820</v>
      </c>
      <c r="E65" s="51">
        <v>40.0</v>
      </c>
      <c r="F65" s="52"/>
      <c r="G65" s="53"/>
      <c r="H65" s="55"/>
      <c r="I65" s="55"/>
      <c r="J65" s="53"/>
      <c r="K65" s="53"/>
      <c r="L65" s="55"/>
      <c r="M65" s="53"/>
      <c r="N65" s="74"/>
      <c r="O65" s="57" t="str">
        <f t="shared" si="1"/>
        <v>COMPRAR — faltan 120 m para 4 meses</v>
      </c>
      <c r="P65" s="58">
        <f t="shared" si="2"/>
        <v>40</v>
      </c>
      <c r="Q65" s="70" t="s">
        <v>3626</v>
      </c>
      <c r="R65" s="1"/>
      <c r="S65" s="1"/>
      <c r="T65" s="1"/>
      <c r="U65" s="1"/>
      <c r="V65" s="1"/>
      <c r="W65" s="1"/>
      <c r="X65" s="60">
        <f>IFERROR(VLOOKUP($A65,Ventas!$A$2:$L$5000,12,FALSE()),"")</f>
        <v>40</v>
      </c>
      <c r="Y65" s="60">
        <f t="shared" si="3"/>
        <v>160</v>
      </c>
      <c r="Z65" s="61">
        <f t="shared" si="4"/>
        <v>1</v>
      </c>
      <c r="AA65" s="60">
        <f t="shared" si="5"/>
        <v>120</v>
      </c>
      <c r="AB65" s="62" t="str">
        <f t="shared" si="6"/>
        <v/>
      </c>
      <c r="AC65" s="62" t="str">
        <f t="array" ref="AC65">IF(AH65&lt;&gt;"COMPRAR","",IF(MAX(INDEX(Ventas!$G$2:$G$5000,MATCH($A65,Ventas!$A$2:$A$5000,0)),INDEX(Ventas!$H$2:$H$5000,MATCH($A65,Ventas!$A$2:$A$5000,0)),INDEX(Ventas!$I$2:$I$5000,MATCH($A65,Ventas!$A$2:$A$5000,0)),INDEX(Ventas!$J$2:$J$5000,MATCH($A65,Ventas!$A$2:$A$5000,0)))&gt;0.5*AF65*4,"1 mes = "&amp;TEXT(MAX(INDEX(Ventas!$G$2:$G$5000,MATCH($A65,Ventas!$A$2:$A$5000,0)),INDEX(Ventas!$H$2:$H$5000,MATCH($A65,Ventas!$A$2:$A$5000,0)),INDEX(Ventas!$I$2:$I$5000,MATCH($A65,Ventas!$A$2:$A$5000,0)),INDEX(Ventas!$J$2:$J$5000,MATCH($A65,Ventas!$A$2:$A$5000,0)))/(AF65*4),"0%")&amp;" de 4 meses",""))</f>
        <v/>
      </c>
      <c r="AD65" s="62" t="str">
        <f t="shared" si="7"/>
        <v/>
      </c>
      <c r="AE65" s="62" t="str">
        <f t="array" ref="AE65">IF(X65="","",IF(AND(E65=0,AVERAGE(INDEX(Ventas!$C$2:$I$5000,MATCH($A65,Ventas!$A$2:$A$5000,0),0))&gt;0,INDEX(Ventas!$J$2:$J$5000,MATCH($A65,Ventas!$A$2:$A$5000,0))&lt;0.5*AVERAGE(INDEX(Ventas!$C$2:$I$5000,MATCH($A65,Ventas!$A$2:$A$5000,0),0))),"SÍ — stock 0 y Sep cayó (prom Feb-Ago "&amp;TEXT(AVERAGE(INDEX(Ventas!$C$2:$I$5000,MATCH($A65,Ventas!$A$2:$A$5000,0),0)),"#,##0")&amp;")",""))</f>
        <v/>
      </c>
      <c r="AF65" s="60">
        <f t="array" ref="AF65">IF(X65="","",IF(AE65&lt;&gt;"",MAX(X65,AVERAGE(INDEX(Ventas!$C$2:$I$5000,MATCH($A65,Ventas!$A$2:$A$5000,0),0))),X65))</f>
        <v>40</v>
      </c>
      <c r="AG65" s="60">
        <f t="shared" si="8"/>
        <v>120</v>
      </c>
      <c r="AH65" s="63" t="str">
        <f t="shared" si="9"/>
        <v>COMPRAR</v>
      </c>
    </row>
    <row r="66" ht="13.5" customHeight="1">
      <c r="A66" s="64" t="s">
        <v>2399</v>
      </c>
      <c r="B66" s="65" t="s">
        <v>183</v>
      </c>
      <c r="C66" s="65" t="s">
        <v>3079</v>
      </c>
      <c r="D66" s="65" t="s">
        <v>2754</v>
      </c>
      <c r="E66" s="51">
        <v>368.0</v>
      </c>
      <c r="F66" s="66"/>
      <c r="G66" s="53"/>
      <c r="H66" s="55"/>
      <c r="I66" s="55"/>
      <c r="J66" s="53"/>
      <c r="K66" s="53"/>
      <c r="L66" s="55"/>
      <c r="M66" s="53"/>
      <c r="N66" s="73"/>
      <c r="O66" s="57" t="str">
        <f t="shared" si="1"/>
        <v>SOBRESTOCK — 12.3 meses de cobertura</v>
      </c>
      <c r="P66" s="58">
        <f t="shared" si="2"/>
        <v>368</v>
      </c>
      <c r="Q66" s="1"/>
      <c r="R66" s="1"/>
      <c r="S66" s="1"/>
      <c r="T66" s="1"/>
      <c r="U66" s="1"/>
      <c r="V66" s="1"/>
      <c r="W66" s="1"/>
      <c r="X66" s="60">
        <f>IFERROR(VLOOKUP($A66,Ventas!$A$2:$L$5000,12,FALSE()),"")</f>
        <v>30</v>
      </c>
      <c r="Y66" s="60">
        <f t="shared" si="3"/>
        <v>120</v>
      </c>
      <c r="Z66" s="61">
        <f t="shared" si="4"/>
        <v>12.3</v>
      </c>
      <c r="AA66" s="60">
        <f t="shared" si="5"/>
        <v>-248</v>
      </c>
      <c r="AB66" s="62" t="str">
        <f t="shared" si="6"/>
        <v/>
      </c>
      <c r="AC66" s="62" t="str">
        <f t="array" ref="AC66">IF(AH66&lt;&gt;"COMPRAR","",IF(MAX(INDEX(Ventas!$G$2:$G$5000,MATCH($A66,Ventas!$A$2:$A$5000,0)),INDEX(Ventas!$H$2:$H$5000,MATCH($A66,Ventas!$A$2:$A$5000,0)),INDEX(Ventas!$I$2:$I$5000,MATCH($A66,Ventas!$A$2:$A$5000,0)),INDEX(Ventas!$J$2:$J$5000,MATCH($A66,Ventas!$A$2:$A$5000,0)))&gt;0.5*AF66*4,"1 mes = "&amp;TEXT(MAX(INDEX(Ventas!$G$2:$G$5000,MATCH($A66,Ventas!$A$2:$A$5000,0)),INDEX(Ventas!$H$2:$H$5000,MATCH($A66,Ventas!$A$2:$A$5000,0)),INDEX(Ventas!$I$2:$I$5000,MATCH($A66,Ventas!$A$2:$A$5000,0)),INDEX(Ventas!$J$2:$J$5000,MATCH($A66,Ventas!$A$2:$A$5000,0)))/(AF66*4),"0%")&amp;" de 4 meses",""))</f>
        <v/>
      </c>
      <c r="AD66" s="62" t="str">
        <f t="shared" si="7"/>
        <v/>
      </c>
      <c r="AE66" s="62" t="str">
        <f t="array" ref="AE66">IF(X66="","",IF(AND(E66=0,AVERAGE(INDEX(Ventas!$C$2:$I$5000,MATCH($A66,Ventas!$A$2:$A$5000,0),0))&gt;0,INDEX(Ventas!$J$2:$J$5000,MATCH($A66,Ventas!$A$2:$A$5000,0))&lt;0.5*AVERAGE(INDEX(Ventas!$C$2:$I$5000,MATCH($A66,Ventas!$A$2:$A$5000,0),0))),"SÍ — stock 0 y Sep cayó (prom Feb-Ago "&amp;TEXT(AVERAGE(INDEX(Ventas!$C$2:$I$5000,MATCH($A66,Ventas!$A$2:$A$5000,0),0)),"#,##0")&amp;")",""))</f>
        <v/>
      </c>
      <c r="AF66" s="60">
        <f t="array" ref="AF66">IF(X66="","",IF(AE66&lt;&gt;"",MAX(X66,AVERAGE(INDEX(Ventas!$C$2:$I$5000,MATCH($A66,Ventas!$A$2:$A$5000,0),0))),X66))</f>
        <v>30</v>
      </c>
      <c r="AG66" s="60">
        <f t="shared" si="8"/>
        <v>-248</v>
      </c>
      <c r="AH66" s="63" t="str">
        <f t="shared" si="9"/>
        <v>SOBRESTOCK</v>
      </c>
    </row>
    <row r="67" ht="13.5" customHeight="1">
      <c r="A67" s="49" t="s">
        <v>2295</v>
      </c>
      <c r="B67" s="50" t="s">
        <v>183</v>
      </c>
      <c r="C67" s="50" t="s">
        <v>3079</v>
      </c>
      <c r="D67" s="50" t="s">
        <v>2949</v>
      </c>
      <c r="E67" s="51">
        <v>0.0</v>
      </c>
      <c r="F67" s="52"/>
      <c r="G67" s="53"/>
      <c r="H67" s="55"/>
      <c r="I67" s="55"/>
      <c r="J67" s="53"/>
      <c r="K67" s="53"/>
      <c r="L67" s="55">
        <v>800.0</v>
      </c>
      <c r="M67" s="53"/>
      <c r="N67" s="74"/>
      <c r="O67" s="57" t="str">
        <f t="shared" si="1"/>
        <v>COMPRAR — faltan 271 m para 4 meses (ya contando pedidos)</v>
      </c>
      <c r="P67" s="58">
        <f t="shared" si="2"/>
        <v>800</v>
      </c>
      <c r="Q67" s="1"/>
      <c r="R67" s="1"/>
      <c r="S67" s="1"/>
      <c r="T67" s="1"/>
      <c r="U67" s="1"/>
      <c r="V67" s="1"/>
      <c r="W67" s="1"/>
      <c r="X67" s="60">
        <f>IFERROR(VLOOKUP($A67,Ventas!$A$2:$L$5000,12,FALSE()),"")</f>
        <v>267.75</v>
      </c>
      <c r="Y67" s="60">
        <f t="shared" si="3"/>
        <v>1071</v>
      </c>
      <c r="Z67" s="61">
        <f t="shared" si="4"/>
        <v>3</v>
      </c>
      <c r="AA67" s="60">
        <f t="shared" si="5"/>
        <v>271</v>
      </c>
      <c r="AB67" s="62" t="str">
        <f t="shared" si="6"/>
        <v/>
      </c>
      <c r="AC67" s="62" t="str">
        <f t="array" ref="AC67">IF(AH67&lt;&gt;"COMPRAR","",IF(MAX(INDEX(Ventas!$G$2:$G$5000,MATCH($A67,Ventas!$A$2:$A$5000,0)),INDEX(Ventas!$H$2:$H$5000,MATCH($A67,Ventas!$A$2:$A$5000,0)),INDEX(Ventas!$I$2:$I$5000,MATCH($A67,Ventas!$A$2:$A$5000,0)),INDEX(Ventas!$J$2:$J$5000,MATCH($A67,Ventas!$A$2:$A$5000,0)))&gt;0.5*AF67*4,"1 mes = "&amp;TEXT(MAX(INDEX(Ventas!$G$2:$G$5000,MATCH($A67,Ventas!$A$2:$A$5000,0)),INDEX(Ventas!$H$2:$H$5000,MATCH($A67,Ventas!$A$2:$A$5000,0)),INDEX(Ventas!$I$2:$I$5000,MATCH($A67,Ventas!$A$2:$A$5000,0)),INDEX(Ventas!$J$2:$J$5000,MATCH($A67,Ventas!$A$2:$A$5000,0)))/(AF67*4),"0%")&amp;" de 4 meses",""))</f>
        <v/>
      </c>
      <c r="AD67" s="62" t="str">
        <f t="shared" si="7"/>
        <v>SÍ — 0 m vs 142 m</v>
      </c>
      <c r="AE67" s="62" t="str">
        <f t="array" ref="AE67">IF(X67="","",IF(AND(E67=0,AVERAGE(INDEX(Ventas!$C$2:$I$5000,MATCH($A67,Ventas!$A$2:$A$5000,0),0))&gt;0,INDEX(Ventas!$J$2:$J$5000,MATCH($A67,Ventas!$A$2:$A$5000,0))&lt;0.5*AVERAGE(INDEX(Ventas!$C$2:$I$5000,MATCH($A67,Ventas!$A$2:$A$5000,0),0))),"SÍ — stock 0 y Sep cayó (prom Feb-Ago "&amp;TEXT(AVERAGE(INDEX(Ventas!$C$2:$I$5000,MATCH($A67,Ventas!$A$2:$A$5000,0),0)),"#,##0")&amp;")",""))</f>
        <v/>
      </c>
      <c r="AF67" s="60">
        <f t="array" ref="AF67">IF(X67="","",IF(AE67&lt;&gt;"",MAX(X67,AVERAGE(INDEX(Ventas!$C$2:$I$5000,MATCH($A67,Ventas!$A$2:$A$5000,0),0))),X67))</f>
        <v>267.75</v>
      </c>
      <c r="AG67" s="60">
        <f t="shared" si="8"/>
        <v>271</v>
      </c>
      <c r="AH67" s="63" t="str">
        <f t="shared" si="9"/>
        <v>COMPRAR</v>
      </c>
    </row>
    <row r="68" ht="13.5" customHeight="1">
      <c r="A68" s="64" t="s">
        <v>2329</v>
      </c>
      <c r="B68" s="65" t="s">
        <v>183</v>
      </c>
      <c r="C68" s="65" t="s">
        <v>3079</v>
      </c>
      <c r="D68" s="65" t="s">
        <v>3014</v>
      </c>
      <c r="E68" s="51">
        <v>1037.0</v>
      </c>
      <c r="F68" s="66"/>
      <c r="G68" s="53"/>
      <c r="H68" s="55"/>
      <c r="I68" s="55"/>
      <c r="J68" s="53"/>
      <c r="K68" s="53"/>
      <c r="L68" s="55"/>
      <c r="M68" s="53"/>
      <c r="N68" s="73"/>
      <c r="O68" s="57" t="str">
        <f t="shared" si="1"/>
        <v>SOBRESTOCK — 103.7 meses de cobertura</v>
      </c>
      <c r="P68" s="58">
        <f t="shared" si="2"/>
        <v>1037</v>
      </c>
      <c r="Q68" s="1"/>
      <c r="R68" s="1"/>
      <c r="S68" s="1"/>
      <c r="T68" s="1"/>
      <c r="U68" s="1"/>
      <c r="V68" s="1"/>
      <c r="W68" s="1"/>
      <c r="X68" s="60">
        <f>IFERROR(VLOOKUP($A68,Ventas!$A$2:$L$5000,12,FALSE()),"")</f>
        <v>10</v>
      </c>
      <c r="Y68" s="60">
        <f t="shared" si="3"/>
        <v>40</v>
      </c>
      <c r="Z68" s="61">
        <f t="shared" si="4"/>
        <v>103.7</v>
      </c>
      <c r="AA68" s="60">
        <f t="shared" si="5"/>
        <v>-997</v>
      </c>
      <c r="AB68" s="62" t="str">
        <f t="shared" si="6"/>
        <v/>
      </c>
      <c r="AC68" s="62" t="str">
        <f t="array" ref="AC68">IF(AH68&lt;&gt;"COMPRAR","",IF(MAX(INDEX(Ventas!$G$2:$G$5000,MATCH($A68,Ventas!$A$2:$A$5000,0)),INDEX(Ventas!$H$2:$H$5000,MATCH($A68,Ventas!$A$2:$A$5000,0)),INDEX(Ventas!$I$2:$I$5000,MATCH($A68,Ventas!$A$2:$A$5000,0)),INDEX(Ventas!$J$2:$J$5000,MATCH($A68,Ventas!$A$2:$A$5000,0)))&gt;0.5*AF68*4,"1 mes = "&amp;TEXT(MAX(INDEX(Ventas!$G$2:$G$5000,MATCH($A68,Ventas!$A$2:$A$5000,0)),INDEX(Ventas!$H$2:$H$5000,MATCH($A68,Ventas!$A$2:$A$5000,0)),INDEX(Ventas!$I$2:$I$5000,MATCH($A68,Ventas!$A$2:$A$5000,0)),INDEX(Ventas!$J$2:$J$5000,MATCH($A68,Ventas!$A$2:$A$5000,0)))/(AF68*4),"0%")&amp;" de 4 meses",""))</f>
        <v/>
      </c>
      <c r="AD68" s="62" t="str">
        <f t="shared" si="7"/>
        <v/>
      </c>
      <c r="AE68" s="62" t="str">
        <f t="array" ref="AE68">IF(X68="","",IF(AND(E68=0,AVERAGE(INDEX(Ventas!$C$2:$I$5000,MATCH($A68,Ventas!$A$2:$A$5000,0),0))&gt;0,INDEX(Ventas!$J$2:$J$5000,MATCH($A68,Ventas!$A$2:$A$5000,0))&lt;0.5*AVERAGE(INDEX(Ventas!$C$2:$I$5000,MATCH($A68,Ventas!$A$2:$A$5000,0),0))),"SÍ — stock 0 y Sep cayó (prom Feb-Ago "&amp;TEXT(AVERAGE(INDEX(Ventas!$C$2:$I$5000,MATCH($A68,Ventas!$A$2:$A$5000,0),0)),"#,##0")&amp;")",""))</f>
        <v/>
      </c>
      <c r="AF68" s="60">
        <f t="array" ref="AF68">IF(X68="","",IF(AE68&lt;&gt;"",MAX(X68,AVERAGE(INDEX(Ventas!$C$2:$I$5000,MATCH($A68,Ventas!$A$2:$A$5000,0),0))),X68))</f>
        <v>10</v>
      </c>
      <c r="AG68" s="60">
        <f t="shared" si="8"/>
        <v>-997</v>
      </c>
      <c r="AH68" s="63" t="str">
        <f t="shared" si="9"/>
        <v>SOBRESTOCK</v>
      </c>
    </row>
    <row r="69" ht="13.5" customHeight="1">
      <c r="A69" s="49" t="s">
        <v>2409</v>
      </c>
      <c r="B69" s="50" t="s">
        <v>183</v>
      </c>
      <c r="C69" s="50" t="s">
        <v>3079</v>
      </c>
      <c r="D69" s="50" t="s">
        <v>3627</v>
      </c>
      <c r="E69" s="51">
        <v>1200.0</v>
      </c>
      <c r="F69" s="52"/>
      <c r="G69" s="53"/>
      <c r="H69" s="55"/>
      <c r="I69" s="55"/>
      <c r="J69" s="53"/>
      <c r="K69" s="53"/>
      <c r="L69" s="55"/>
      <c r="M69" s="53"/>
      <c r="N69" s="74"/>
      <c r="O69" s="57" t="str">
        <f t="shared" si="1"/>
        <v>SOBRESTOCK — 15.0 meses de cobertura</v>
      </c>
      <c r="P69" s="58">
        <f t="shared" si="2"/>
        <v>1200</v>
      </c>
      <c r="Q69" s="1"/>
      <c r="R69" s="1"/>
      <c r="S69" s="1"/>
      <c r="T69" s="1"/>
      <c r="U69" s="1"/>
      <c r="V69" s="1"/>
      <c r="W69" s="1"/>
      <c r="X69" s="60">
        <f>IFERROR(VLOOKUP($A69,Ventas!$A$2:$L$5000,12,FALSE()),"")</f>
        <v>80</v>
      </c>
      <c r="Y69" s="60">
        <f t="shared" si="3"/>
        <v>320</v>
      </c>
      <c r="Z69" s="61">
        <f t="shared" si="4"/>
        <v>15</v>
      </c>
      <c r="AA69" s="60">
        <f t="shared" si="5"/>
        <v>-880</v>
      </c>
      <c r="AB69" s="62" t="str">
        <f t="shared" si="6"/>
        <v/>
      </c>
      <c r="AC69" s="62" t="str">
        <f t="array" ref="AC69">IF(AH69&lt;&gt;"COMPRAR","",IF(MAX(INDEX(Ventas!$G$2:$G$5000,MATCH($A69,Ventas!$A$2:$A$5000,0)),INDEX(Ventas!$H$2:$H$5000,MATCH($A69,Ventas!$A$2:$A$5000,0)),INDEX(Ventas!$I$2:$I$5000,MATCH($A69,Ventas!$A$2:$A$5000,0)),INDEX(Ventas!$J$2:$J$5000,MATCH($A69,Ventas!$A$2:$A$5000,0)))&gt;0.5*AF69*4,"1 mes = "&amp;TEXT(MAX(INDEX(Ventas!$G$2:$G$5000,MATCH($A69,Ventas!$A$2:$A$5000,0)),INDEX(Ventas!$H$2:$H$5000,MATCH($A69,Ventas!$A$2:$A$5000,0)),INDEX(Ventas!$I$2:$I$5000,MATCH($A69,Ventas!$A$2:$A$5000,0)),INDEX(Ventas!$J$2:$J$5000,MATCH($A69,Ventas!$A$2:$A$5000,0)))/(AF69*4),"0%")&amp;" de 4 meses",""))</f>
        <v/>
      </c>
      <c r="AD69" s="62" t="str">
        <f t="shared" si="7"/>
        <v/>
      </c>
      <c r="AE69" s="62" t="str">
        <f t="array" ref="AE69">IF(X69="","",IF(AND(E69=0,AVERAGE(INDEX(Ventas!$C$2:$I$5000,MATCH($A69,Ventas!$A$2:$A$5000,0),0))&gt;0,INDEX(Ventas!$J$2:$J$5000,MATCH($A69,Ventas!$A$2:$A$5000,0))&lt;0.5*AVERAGE(INDEX(Ventas!$C$2:$I$5000,MATCH($A69,Ventas!$A$2:$A$5000,0),0))),"SÍ — stock 0 y Sep cayó (prom Feb-Ago "&amp;TEXT(AVERAGE(INDEX(Ventas!$C$2:$I$5000,MATCH($A69,Ventas!$A$2:$A$5000,0),0)),"#,##0")&amp;")",""))</f>
        <v/>
      </c>
      <c r="AF69" s="60">
        <f t="array" ref="AF69">IF(X69="","",IF(AE69&lt;&gt;"",MAX(X69,AVERAGE(INDEX(Ventas!$C$2:$I$5000,MATCH($A69,Ventas!$A$2:$A$5000,0),0))),X69))</f>
        <v>80</v>
      </c>
      <c r="AG69" s="60">
        <f t="shared" si="8"/>
        <v>-880</v>
      </c>
      <c r="AH69" s="63" t="str">
        <f t="shared" si="9"/>
        <v>SOBRESTOCK</v>
      </c>
    </row>
    <row r="70" ht="13.5" customHeight="1">
      <c r="A70" s="64" t="s">
        <v>2307</v>
      </c>
      <c r="B70" s="65" t="s">
        <v>183</v>
      </c>
      <c r="C70" s="65" t="s">
        <v>3079</v>
      </c>
      <c r="D70" s="65" t="s">
        <v>1009</v>
      </c>
      <c r="E70" s="51">
        <v>1275.0</v>
      </c>
      <c r="F70" s="66"/>
      <c r="G70" s="53"/>
      <c r="H70" s="55"/>
      <c r="I70" s="55"/>
      <c r="J70" s="53"/>
      <c r="K70" s="53">
        <v>2000.0</v>
      </c>
      <c r="L70" s="55">
        <v>1000.0</v>
      </c>
      <c r="M70" s="53"/>
      <c r="N70" s="73"/>
      <c r="O70" s="57" t="str">
        <f t="shared" si="1"/>
        <v>COMPRAR — faltan 3,275 m para 4 meses (ya contando pedidos)</v>
      </c>
      <c r="P70" s="58">
        <f t="shared" si="2"/>
        <v>4275</v>
      </c>
      <c r="Q70" s="1"/>
      <c r="R70" s="1"/>
      <c r="S70" s="1"/>
      <c r="T70" s="1"/>
      <c r="U70" s="1"/>
      <c r="V70" s="1"/>
      <c r="W70" s="1"/>
      <c r="X70" s="60">
        <f>IFERROR(VLOOKUP($A70,Ventas!$A$2:$L$5000,12,FALSE()),"")</f>
        <v>1887.5</v>
      </c>
      <c r="Y70" s="60">
        <f t="shared" si="3"/>
        <v>7550</v>
      </c>
      <c r="Z70" s="61">
        <f t="shared" si="4"/>
        <v>2.3</v>
      </c>
      <c r="AA70" s="60">
        <f t="shared" si="5"/>
        <v>3275</v>
      </c>
      <c r="AB70" s="62" t="str">
        <f t="shared" si="6"/>
        <v/>
      </c>
      <c r="AC70" s="62" t="str">
        <f t="array" ref="AC70">IF(AH70&lt;&gt;"COMPRAR","",IF(MAX(INDEX(Ventas!$G$2:$G$5000,MATCH($A70,Ventas!$A$2:$A$5000,0)),INDEX(Ventas!$H$2:$H$5000,MATCH($A70,Ventas!$A$2:$A$5000,0)),INDEX(Ventas!$I$2:$I$5000,MATCH($A70,Ventas!$A$2:$A$5000,0)),INDEX(Ventas!$J$2:$J$5000,MATCH($A70,Ventas!$A$2:$A$5000,0)))&gt;0.5*AF70*4,"1 mes = "&amp;TEXT(MAX(INDEX(Ventas!$G$2:$G$5000,MATCH($A70,Ventas!$A$2:$A$5000,0)),INDEX(Ventas!$H$2:$H$5000,MATCH($A70,Ventas!$A$2:$A$5000,0)),INDEX(Ventas!$I$2:$I$5000,MATCH($A70,Ventas!$A$2:$A$5000,0)),INDEX(Ventas!$J$2:$J$5000,MATCH($A70,Ventas!$A$2:$A$5000,0)))/(AF70*4),"0%")&amp;" de 4 meses",""))</f>
        <v/>
      </c>
      <c r="AD70" s="62" t="str">
        <f t="shared" si="7"/>
        <v/>
      </c>
      <c r="AE70" s="62" t="str">
        <f t="array" ref="AE70">IF(X70="","",IF(AND(E70=0,AVERAGE(INDEX(Ventas!$C$2:$I$5000,MATCH($A70,Ventas!$A$2:$A$5000,0),0))&gt;0,INDEX(Ventas!$J$2:$J$5000,MATCH($A70,Ventas!$A$2:$A$5000,0))&lt;0.5*AVERAGE(INDEX(Ventas!$C$2:$I$5000,MATCH($A70,Ventas!$A$2:$A$5000,0),0))),"SÍ — stock 0 y Sep cayó (prom Feb-Ago "&amp;TEXT(AVERAGE(INDEX(Ventas!$C$2:$I$5000,MATCH($A70,Ventas!$A$2:$A$5000,0),0)),"#,##0")&amp;")",""))</f>
        <v/>
      </c>
      <c r="AF70" s="60">
        <f t="array" ref="AF70">IF(X70="","",IF(AE70&lt;&gt;"",MAX(X70,AVERAGE(INDEX(Ventas!$C$2:$I$5000,MATCH($A70,Ventas!$A$2:$A$5000,0),0))),X70))</f>
        <v>1887.5</v>
      </c>
      <c r="AG70" s="60">
        <f t="shared" si="8"/>
        <v>3275</v>
      </c>
      <c r="AH70" s="63" t="str">
        <f t="shared" si="9"/>
        <v>COMPRAR</v>
      </c>
    </row>
    <row r="71" ht="13.5" customHeight="1">
      <c r="A71" s="49" t="s">
        <v>2383</v>
      </c>
      <c r="B71" s="50" t="s">
        <v>183</v>
      </c>
      <c r="C71" s="50" t="s">
        <v>3079</v>
      </c>
      <c r="D71" s="50" t="s">
        <v>1065</v>
      </c>
      <c r="E71" s="51">
        <v>3241.0</v>
      </c>
      <c r="F71" s="52"/>
      <c r="G71" s="53"/>
      <c r="H71" s="55"/>
      <c r="I71" s="55"/>
      <c r="J71" s="53"/>
      <c r="K71" s="53"/>
      <c r="L71" s="55"/>
      <c r="M71" s="53"/>
      <c r="N71" s="74"/>
      <c r="O71" s="57" t="str">
        <f t="shared" si="1"/>
        <v>SOBRESTOCK — 20.2 meses de cobertura</v>
      </c>
      <c r="P71" s="58">
        <f t="shared" si="2"/>
        <v>3241</v>
      </c>
      <c r="Q71" s="1"/>
      <c r="R71" s="1"/>
      <c r="S71" s="1"/>
      <c r="T71" s="1"/>
      <c r="U71" s="1"/>
      <c r="V71" s="1"/>
      <c r="W71" s="1"/>
      <c r="X71" s="60">
        <f>IFERROR(VLOOKUP($A71,Ventas!$A$2:$L$5000,12,FALSE()),"")</f>
        <v>160.75</v>
      </c>
      <c r="Y71" s="60">
        <f t="shared" si="3"/>
        <v>643</v>
      </c>
      <c r="Z71" s="61">
        <f t="shared" si="4"/>
        <v>20.2</v>
      </c>
      <c r="AA71" s="60">
        <f t="shared" si="5"/>
        <v>-2598</v>
      </c>
      <c r="AB71" s="62" t="str">
        <f t="shared" si="6"/>
        <v/>
      </c>
      <c r="AC71" s="62" t="str">
        <f t="array" ref="AC71">IF(AH71&lt;&gt;"COMPRAR","",IF(MAX(INDEX(Ventas!$G$2:$G$5000,MATCH($A71,Ventas!$A$2:$A$5000,0)),INDEX(Ventas!$H$2:$H$5000,MATCH($A71,Ventas!$A$2:$A$5000,0)),INDEX(Ventas!$I$2:$I$5000,MATCH($A71,Ventas!$A$2:$A$5000,0)),INDEX(Ventas!$J$2:$J$5000,MATCH($A71,Ventas!$A$2:$A$5000,0)))&gt;0.5*AF71*4,"1 mes = "&amp;TEXT(MAX(INDEX(Ventas!$G$2:$G$5000,MATCH($A71,Ventas!$A$2:$A$5000,0)),INDEX(Ventas!$H$2:$H$5000,MATCH($A71,Ventas!$A$2:$A$5000,0)),INDEX(Ventas!$I$2:$I$5000,MATCH($A71,Ventas!$A$2:$A$5000,0)),INDEX(Ventas!$J$2:$J$5000,MATCH($A71,Ventas!$A$2:$A$5000,0)))/(AF71*4),"0%")&amp;" de 4 meses",""))</f>
        <v/>
      </c>
      <c r="AD71" s="62" t="str">
        <f t="shared" si="7"/>
        <v/>
      </c>
      <c r="AE71" s="62" t="str">
        <f t="array" ref="AE71">IF(X71="","",IF(AND(E71=0,AVERAGE(INDEX(Ventas!$C$2:$I$5000,MATCH($A71,Ventas!$A$2:$A$5000,0),0))&gt;0,INDEX(Ventas!$J$2:$J$5000,MATCH($A71,Ventas!$A$2:$A$5000,0))&lt;0.5*AVERAGE(INDEX(Ventas!$C$2:$I$5000,MATCH($A71,Ventas!$A$2:$A$5000,0),0))),"SÍ — stock 0 y Sep cayó (prom Feb-Ago "&amp;TEXT(AVERAGE(INDEX(Ventas!$C$2:$I$5000,MATCH($A71,Ventas!$A$2:$A$5000,0),0)),"#,##0")&amp;")",""))</f>
        <v/>
      </c>
      <c r="AF71" s="60">
        <f t="array" ref="AF71">IF(X71="","",IF(AE71&lt;&gt;"",MAX(X71,AVERAGE(INDEX(Ventas!$C$2:$I$5000,MATCH($A71,Ventas!$A$2:$A$5000,0),0))),X71))</f>
        <v>160.75</v>
      </c>
      <c r="AG71" s="60">
        <f t="shared" si="8"/>
        <v>-2598</v>
      </c>
      <c r="AH71" s="63" t="str">
        <f t="shared" si="9"/>
        <v>SOBRESTOCK</v>
      </c>
    </row>
    <row r="72" ht="13.5" customHeight="1">
      <c r="A72" s="64" t="s">
        <v>2299</v>
      </c>
      <c r="B72" s="65" t="s">
        <v>183</v>
      </c>
      <c r="C72" s="65" t="s">
        <v>3079</v>
      </c>
      <c r="D72" s="65" t="s">
        <v>590</v>
      </c>
      <c r="E72" s="51">
        <v>0.0</v>
      </c>
      <c r="F72" s="66"/>
      <c r="G72" s="53"/>
      <c r="H72" s="55"/>
      <c r="I72" s="55"/>
      <c r="J72" s="53"/>
      <c r="K72" s="53"/>
      <c r="L72" s="55">
        <v>1500.0</v>
      </c>
      <c r="M72" s="53"/>
      <c r="N72" s="73"/>
      <c r="O72" s="57" t="str">
        <f t="shared" si="1"/>
        <v>PEDIR MENOS — sobran 570 m; revisar pedidos sin facturar (1,500 m)</v>
      </c>
      <c r="P72" s="58">
        <f t="shared" si="2"/>
        <v>1500</v>
      </c>
      <c r="Q72" s="70" t="s">
        <v>3628</v>
      </c>
      <c r="W72" s="1"/>
      <c r="X72" s="60">
        <f>IFERROR(VLOOKUP($A72,Ventas!$A$2:$L$5000,12,FALSE()),"")</f>
        <v>232.5</v>
      </c>
      <c r="Y72" s="60">
        <f t="shared" si="3"/>
        <v>930</v>
      </c>
      <c r="Z72" s="61">
        <f t="shared" si="4"/>
        <v>6.5</v>
      </c>
      <c r="AA72" s="60">
        <f t="shared" si="5"/>
        <v>-570</v>
      </c>
      <c r="AB72" s="62" t="str">
        <f t="shared" si="6"/>
        <v/>
      </c>
      <c r="AC72" s="62" t="str">
        <f t="array" ref="AC72">IF(AH72&lt;&gt;"COMPRAR","",IF(MAX(INDEX(Ventas!$G$2:$G$5000,MATCH($A72,Ventas!$A$2:$A$5000,0)),INDEX(Ventas!$H$2:$H$5000,MATCH($A72,Ventas!$A$2:$A$5000,0)),INDEX(Ventas!$I$2:$I$5000,MATCH($A72,Ventas!$A$2:$A$5000,0)),INDEX(Ventas!$J$2:$J$5000,MATCH($A72,Ventas!$A$2:$A$5000,0)))&gt;0.5*AF72*4,"1 mes = "&amp;TEXT(MAX(INDEX(Ventas!$G$2:$G$5000,MATCH($A72,Ventas!$A$2:$A$5000,0)),INDEX(Ventas!$H$2:$H$5000,MATCH($A72,Ventas!$A$2:$A$5000,0)),INDEX(Ventas!$I$2:$I$5000,MATCH($A72,Ventas!$A$2:$A$5000,0)),INDEX(Ventas!$J$2:$J$5000,MATCH($A72,Ventas!$A$2:$A$5000,0)))/(AF72*4),"0%")&amp;" de 4 meses",""))</f>
        <v/>
      </c>
      <c r="AD72" s="62" t="str">
        <f t="shared" si="7"/>
        <v>SÍ — 0 m vs 123 m</v>
      </c>
      <c r="AE72" s="62" t="str">
        <f t="array" ref="AE72">IF(X72="","",IF(AND(E72=0,AVERAGE(INDEX(Ventas!$C$2:$I$5000,MATCH($A72,Ventas!$A$2:$A$5000,0),0))&gt;0,INDEX(Ventas!$J$2:$J$5000,MATCH($A72,Ventas!$A$2:$A$5000,0))&lt;0.5*AVERAGE(INDEX(Ventas!$C$2:$I$5000,MATCH($A72,Ventas!$A$2:$A$5000,0),0))),"SÍ — stock 0 y Sep cayó (prom Feb-Ago "&amp;TEXT(AVERAGE(INDEX(Ventas!$C$2:$I$5000,MATCH($A72,Ventas!$A$2:$A$5000,0),0)),"#,##0")&amp;")",""))</f>
        <v>SÍ — stock 0 y Sep cayó (prom Feb-Ago 435)</v>
      </c>
      <c r="AF72" s="60">
        <f t="array" ref="AF72">IF(X72="","",IF(AE72&lt;&gt;"",MAX(X72,AVERAGE(INDEX(Ventas!$C$2:$I$5000,MATCH($A72,Ventas!$A$2:$A$5000,0),0))),X72))</f>
        <v>434.5714286</v>
      </c>
      <c r="AG72" s="60">
        <f t="shared" si="8"/>
        <v>238</v>
      </c>
      <c r="AH72" s="63" t="str">
        <f t="shared" si="9"/>
        <v>COMPRAR</v>
      </c>
    </row>
    <row r="73" ht="13.5" customHeight="1">
      <c r="A73" s="49" t="s">
        <v>2405</v>
      </c>
      <c r="B73" s="50" t="s">
        <v>183</v>
      </c>
      <c r="C73" s="50" t="s">
        <v>3079</v>
      </c>
      <c r="D73" s="50" t="s">
        <v>3629</v>
      </c>
      <c r="E73" s="51">
        <v>440.0</v>
      </c>
      <c r="F73" s="52"/>
      <c r="G73" s="53"/>
      <c r="H73" s="55"/>
      <c r="I73" s="55"/>
      <c r="J73" s="53"/>
      <c r="K73" s="53"/>
      <c r="L73" s="55"/>
      <c r="M73" s="53"/>
      <c r="N73" s="74"/>
      <c r="O73" s="57" t="str">
        <f t="shared" si="1"/>
        <v>SOBRESTOCK — 12.1 meses de cobertura</v>
      </c>
      <c r="P73" s="58">
        <f t="shared" si="2"/>
        <v>440</v>
      </c>
      <c r="Q73" s="1"/>
      <c r="R73" s="1"/>
      <c r="S73" s="1"/>
      <c r="T73" s="1"/>
      <c r="U73" s="1"/>
      <c r="V73" s="1"/>
      <c r="W73" s="1"/>
      <c r="X73" s="60">
        <f>IFERROR(VLOOKUP($A73,Ventas!$A$2:$L$5000,12,FALSE()),"")</f>
        <v>36.5</v>
      </c>
      <c r="Y73" s="60">
        <f t="shared" si="3"/>
        <v>146</v>
      </c>
      <c r="Z73" s="61">
        <f t="shared" si="4"/>
        <v>12.1</v>
      </c>
      <c r="AA73" s="60">
        <f t="shared" si="5"/>
        <v>-294</v>
      </c>
      <c r="AB73" s="62" t="str">
        <f t="shared" si="6"/>
        <v/>
      </c>
      <c r="AC73" s="62" t="str">
        <f t="array" ref="AC73">IF(AH73&lt;&gt;"COMPRAR","",IF(MAX(INDEX(Ventas!$G$2:$G$5000,MATCH($A73,Ventas!$A$2:$A$5000,0)),INDEX(Ventas!$H$2:$H$5000,MATCH($A73,Ventas!$A$2:$A$5000,0)),INDEX(Ventas!$I$2:$I$5000,MATCH($A73,Ventas!$A$2:$A$5000,0)),INDEX(Ventas!$J$2:$J$5000,MATCH($A73,Ventas!$A$2:$A$5000,0)))&gt;0.5*AF73*4,"1 mes = "&amp;TEXT(MAX(INDEX(Ventas!$G$2:$G$5000,MATCH($A73,Ventas!$A$2:$A$5000,0)),INDEX(Ventas!$H$2:$H$5000,MATCH($A73,Ventas!$A$2:$A$5000,0)),INDEX(Ventas!$I$2:$I$5000,MATCH($A73,Ventas!$A$2:$A$5000,0)),INDEX(Ventas!$J$2:$J$5000,MATCH($A73,Ventas!$A$2:$A$5000,0)))/(AF73*4),"0%")&amp;" de 4 meses",""))</f>
        <v/>
      </c>
      <c r="AD73" s="62" t="str">
        <f t="shared" si="7"/>
        <v/>
      </c>
      <c r="AE73" s="62" t="str">
        <f t="array" ref="AE73">IF(X73="","",IF(AND(E73=0,AVERAGE(INDEX(Ventas!$C$2:$I$5000,MATCH($A73,Ventas!$A$2:$A$5000,0),0))&gt;0,INDEX(Ventas!$J$2:$J$5000,MATCH($A73,Ventas!$A$2:$A$5000,0))&lt;0.5*AVERAGE(INDEX(Ventas!$C$2:$I$5000,MATCH($A73,Ventas!$A$2:$A$5000,0),0))),"SÍ — stock 0 y Sep cayó (prom Feb-Ago "&amp;TEXT(AVERAGE(INDEX(Ventas!$C$2:$I$5000,MATCH($A73,Ventas!$A$2:$A$5000,0),0)),"#,##0")&amp;")",""))</f>
        <v/>
      </c>
      <c r="AF73" s="60">
        <f t="array" ref="AF73">IF(X73="","",IF(AE73&lt;&gt;"",MAX(X73,AVERAGE(INDEX(Ventas!$C$2:$I$5000,MATCH($A73,Ventas!$A$2:$A$5000,0),0))),X73))</f>
        <v>36.5</v>
      </c>
      <c r="AG73" s="60">
        <f t="shared" si="8"/>
        <v>-294</v>
      </c>
      <c r="AH73" s="63" t="str">
        <f t="shared" si="9"/>
        <v>SOBRESTOCK</v>
      </c>
    </row>
    <row r="74" ht="13.5" customHeight="1">
      <c r="A74" s="64" t="s">
        <v>2395</v>
      </c>
      <c r="B74" s="65" t="s">
        <v>183</v>
      </c>
      <c r="C74" s="65" t="s">
        <v>3079</v>
      </c>
      <c r="D74" s="65" t="s">
        <v>3630</v>
      </c>
      <c r="E74" s="51">
        <v>632.0</v>
      </c>
      <c r="F74" s="66"/>
      <c r="G74" s="53"/>
      <c r="H74" s="55"/>
      <c r="I74" s="55"/>
      <c r="J74" s="53"/>
      <c r="K74" s="53"/>
      <c r="L74" s="55"/>
      <c r="M74" s="53"/>
      <c r="N74" s="73"/>
      <c r="O74" s="57" t="str">
        <f t="shared" si="1"/>
        <v>SOBRESTOCK — 8.4 meses de cobertura</v>
      </c>
      <c r="P74" s="58">
        <f t="shared" si="2"/>
        <v>632</v>
      </c>
      <c r="Q74" s="1"/>
      <c r="R74" s="1"/>
      <c r="S74" s="1"/>
      <c r="T74" s="1"/>
      <c r="U74" s="1"/>
      <c r="V74" s="1"/>
      <c r="W74" s="1"/>
      <c r="X74" s="60">
        <f>IFERROR(VLOOKUP($A74,Ventas!$A$2:$L$5000,12,FALSE()),"")</f>
        <v>75</v>
      </c>
      <c r="Y74" s="60">
        <f t="shared" si="3"/>
        <v>300</v>
      </c>
      <c r="Z74" s="61">
        <f t="shared" si="4"/>
        <v>8.4</v>
      </c>
      <c r="AA74" s="60">
        <f t="shared" si="5"/>
        <v>-332</v>
      </c>
      <c r="AB74" s="62" t="str">
        <f t="shared" si="6"/>
        <v/>
      </c>
      <c r="AC74" s="62" t="str">
        <f t="array" ref="AC74">IF(AH74&lt;&gt;"COMPRAR","",IF(MAX(INDEX(Ventas!$G$2:$G$5000,MATCH($A74,Ventas!$A$2:$A$5000,0)),INDEX(Ventas!$H$2:$H$5000,MATCH($A74,Ventas!$A$2:$A$5000,0)),INDEX(Ventas!$I$2:$I$5000,MATCH($A74,Ventas!$A$2:$A$5000,0)),INDEX(Ventas!$J$2:$J$5000,MATCH($A74,Ventas!$A$2:$A$5000,0)))&gt;0.5*AF74*4,"1 mes = "&amp;TEXT(MAX(INDEX(Ventas!$G$2:$G$5000,MATCH($A74,Ventas!$A$2:$A$5000,0)),INDEX(Ventas!$H$2:$H$5000,MATCH($A74,Ventas!$A$2:$A$5000,0)),INDEX(Ventas!$I$2:$I$5000,MATCH($A74,Ventas!$A$2:$A$5000,0)),INDEX(Ventas!$J$2:$J$5000,MATCH($A74,Ventas!$A$2:$A$5000,0)))/(AF74*4),"0%")&amp;" de 4 meses",""))</f>
        <v/>
      </c>
      <c r="AD74" s="62" t="str">
        <f t="shared" si="7"/>
        <v/>
      </c>
      <c r="AE74" s="62" t="str">
        <f t="array" ref="AE74">IF(X74="","",IF(AND(E74=0,AVERAGE(INDEX(Ventas!$C$2:$I$5000,MATCH($A74,Ventas!$A$2:$A$5000,0),0))&gt;0,INDEX(Ventas!$J$2:$J$5000,MATCH($A74,Ventas!$A$2:$A$5000,0))&lt;0.5*AVERAGE(INDEX(Ventas!$C$2:$I$5000,MATCH($A74,Ventas!$A$2:$A$5000,0),0))),"SÍ — stock 0 y Sep cayó (prom Feb-Ago "&amp;TEXT(AVERAGE(INDEX(Ventas!$C$2:$I$5000,MATCH($A74,Ventas!$A$2:$A$5000,0),0)),"#,##0")&amp;")",""))</f>
        <v/>
      </c>
      <c r="AF74" s="60">
        <f t="array" ref="AF74">IF(X74="","",IF(AE74&lt;&gt;"",MAX(X74,AVERAGE(INDEX(Ventas!$C$2:$I$5000,MATCH($A74,Ventas!$A$2:$A$5000,0),0))),X74))</f>
        <v>75</v>
      </c>
      <c r="AG74" s="60">
        <f t="shared" si="8"/>
        <v>-332</v>
      </c>
      <c r="AH74" s="63" t="str">
        <f t="shared" si="9"/>
        <v>SOBRESTOCK</v>
      </c>
    </row>
    <row r="75" ht="13.5" customHeight="1">
      <c r="A75" s="49" t="s">
        <v>2393</v>
      </c>
      <c r="B75" s="50" t="s">
        <v>183</v>
      </c>
      <c r="C75" s="50" t="s">
        <v>3079</v>
      </c>
      <c r="D75" s="50" t="s">
        <v>3631</v>
      </c>
      <c r="E75" s="51">
        <v>638.0</v>
      </c>
      <c r="F75" s="52"/>
      <c r="G75" s="53"/>
      <c r="H75" s="55"/>
      <c r="I75" s="55"/>
      <c r="J75" s="53"/>
      <c r="K75" s="53"/>
      <c r="L75" s="55"/>
      <c r="M75" s="53"/>
      <c r="N75" s="74"/>
      <c r="O75" s="57" t="str">
        <f t="shared" si="1"/>
        <v>SOBRESTOCK — 51.0 meses de cobertura</v>
      </c>
      <c r="P75" s="58">
        <f t="shared" si="2"/>
        <v>638</v>
      </c>
      <c r="Q75" s="1"/>
      <c r="R75" s="1"/>
      <c r="S75" s="1"/>
      <c r="T75" s="1"/>
      <c r="U75" s="1"/>
      <c r="V75" s="1"/>
      <c r="W75" s="1"/>
      <c r="X75" s="60">
        <f>IFERROR(VLOOKUP($A75,Ventas!$A$2:$L$5000,12,FALSE()),"")</f>
        <v>12.5</v>
      </c>
      <c r="Y75" s="60">
        <f t="shared" si="3"/>
        <v>50</v>
      </c>
      <c r="Z75" s="61">
        <f t="shared" si="4"/>
        <v>51</v>
      </c>
      <c r="AA75" s="60">
        <f t="shared" si="5"/>
        <v>-588</v>
      </c>
      <c r="AB75" s="62" t="str">
        <f t="shared" si="6"/>
        <v/>
      </c>
      <c r="AC75" s="62" t="str">
        <f t="array" ref="AC75">IF(AH75&lt;&gt;"COMPRAR","",IF(MAX(INDEX(Ventas!$G$2:$G$5000,MATCH($A75,Ventas!$A$2:$A$5000,0)),INDEX(Ventas!$H$2:$H$5000,MATCH($A75,Ventas!$A$2:$A$5000,0)),INDEX(Ventas!$I$2:$I$5000,MATCH($A75,Ventas!$A$2:$A$5000,0)),INDEX(Ventas!$J$2:$J$5000,MATCH($A75,Ventas!$A$2:$A$5000,0)))&gt;0.5*AF75*4,"1 mes = "&amp;TEXT(MAX(INDEX(Ventas!$G$2:$G$5000,MATCH($A75,Ventas!$A$2:$A$5000,0)),INDEX(Ventas!$H$2:$H$5000,MATCH($A75,Ventas!$A$2:$A$5000,0)),INDEX(Ventas!$I$2:$I$5000,MATCH($A75,Ventas!$A$2:$A$5000,0)),INDEX(Ventas!$J$2:$J$5000,MATCH($A75,Ventas!$A$2:$A$5000,0)))/(AF75*4),"0%")&amp;" de 4 meses",""))</f>
        <v/>
      </c>
      <c r="AD75" s="62" t="str">
        <f t="shared" si="7"/>
        <v/>
      </c>
      <c r="AE75" s="62" t="str">
        <f t="array" ref="AE75">IF(X75="","",IF(AND(E75=0,AVERAGE(INDEX(Ventas!$C$2:$I$5000,MATCH($A75,Ventas!$A$2:$A$5000,0),0))&gt;0,INDEX(Ventas!$J$2:$J$5000,MATCH($A75,Ventas!$A$2:$A$5000,0))&lt;0.5*AVERAGE(INDEX(Ventas!$C$2:$I$5000,MATCH($A75,Ventas!$A$2:$A$5000,0),0))),"SÍ — stock 0 y Sep cayó (prom Feb-Ago "&amp;TEXT(AVERAGE(INDEX(Ventas!$C$2:$I$5000,MATCH($A75,Ventas!$A$2:$A$5000,0),0)),"#,##0")&amp;")",""))</f>
        <v/>
      </c>
      <c r="AF75" s="60">
        <f t="array" ref="AF75">IF(X75="","",IF(AE75&lt;&gt;"",MAX(X75,AVERAGE(INDEX(Ventas!$C$2:$I$5000,MATCH($A75,Ventas!$A$2:$A$5000,0),0))),X75))</f>
        <v>12.5</v>
      </c>
      <c r="AG75" s="60">
        <f t="shared" si="8"/>
        <v>-588</v>
      </c>
      <c r="AH75" s="63" t="str">
        <f t="shared" si="9"/>
        <v>SOBRESTOCK</v>
      </c>
    </row>
    <row r="76" ht="13.5" customHeight="1">
      <c r="A76" s="64"/>
      <c r="B76" s="50" t="s">
        <v>183</v>
      </c>
      <c r="C76" s="68" t="s">
        <v>3633</v>
      </c>
      <c r="D76" s="68" t="s">
        <v>1329</v>
      </c>
      <c r="E76" s="51"/>
      <c r="F76" s="66"/>
      <c r="G76" s="53"/>
      <c r="H76" s="55"/>
      <c r="I76" s="55"/>
      <c r="J76" s="53"/>
      <c r="K76" s="53"/>
      <c r="L76" s="69">
        <v>2000.0</v>
      </c>
      <c r="M76" s="53"/>
      <c r="N76" s="73"/>
      <c r="O76" s="57" t="str">
        <f t="shared" si="1"/>
        <v>SIN SKU — cargar código para calcular</v>
      </c>
      <c r="P76" s="58">
        <f t="shared" si="2"/>
        <v>2000</v>
      </c>
      <c r="Q76" s="1"/>
      <c r="R76" s="1"/>
      <c r="S76" s="1"/>
      <c r="T76" s="1"/>
      <c r="U76" s="1"/>
      <c r="V76" s="1"/>
      <c r="W76" s="1"/>
      <c r="X76" s="60" t="str">
        <f>IFERROR(VLOOKUP($A76,Ventas!$A$2:$L$5000,12,FALSE()),"")</f>
        <v/>
      </c>
      <c r="Y76" s="60" t="str">
        <f t="shared" si="3"/>
        <v/>
      </c>
      <c r="Z76" s="61" t="str">
        <f t="shared" si="4"/>
        <v/>
      </c>
      <c r="AA76" s="60" t="str">
        <f t="shared" si="5"/>
        <v/>
      </c>
      <c r="AB76" s="62" t="str">
        <f t="shared" si="6"/>
        <v/>
      </c>
      <c r="AC76" s="62" t="str">
        <f t="array" ref="AC76">IF(AH76&lt;&gt;"COMPRAR","",IF(MAX(INDEX(Ventas!$G$2:$G$5000,MATCH($A76,Ventas!$A$2:$A$5000,0)),INDEX(Ventas!$H$2:$H$5000,MATCH($A76,Ventas!$A$2:$A$5000,0)),INDEX(Ventas!$I$2:$I$5000,MATCH($A76,Ventas!$A$2:$A$5000,0)),INDEX(Ventas!$J$2:$J$5000,MATCH($A76,Ventas!$A$2:$A$5000,0)))&gt;0.5*AF76*4,"1 mes = "&amp;TEXT(MAX(INDEX(Ventas!$G$2:$G$5000,MATCH($A76,Ventas!$A$2:$A$5000,0)),INDEX(Ventas!$H$2:$H$5000,MATCH($A76,Ventas!$A$2:$A$5000,0)),INDEX(Ventas!$I$2:$I$5000,MATCH($A76,Ventas!$A$2:$A$5000,0)),INDEX(Ventas!$J$2:$J$5000,MATCH($A76,Ventas!$A$2:$A$5000,0)))/(AF76*4),"0%")&amp;" de 4 meses",""))</f>
        <v/>
      </c>
      <c r="AD76" s="62" t="str">
        <f t="shared" si="7"/>
        <v/>
      </c>
      <c r="AE76" s="62" t="str">
        <f t="array" ref="AE76">IF(X76="","",IF(AND(E76=0,AVERAGE(INDEX(Ventas!$C$2:$I$5000,MATCH($A76,Ventas!$A$2:$A$5000,0),0))&gt;0,INDEX(Ventas!$J$2:$J$5000,MATCH($A76,Ventas!$A$2:$A$5000,0))&lt;0.5*AVERAGE(INDEX(Ventas!$C$2:$I$5000,MATCH($A76,Ventas!$A$2:$A$5000,0),0))),"SÍ — stock 0 y Sep cayó (prom Feb-Ago "&amp;TEXT(AVERAGE(INDEX(Ventas!$C$2:$I$5000,MATCH($A76,Ventas!$A$2:$A$5000,0),0)),"#,##0")&amp;")",""))</f>
        <v/>
      </c>
      <c r="AF76" s="60" t="str">
        <f t="array" ref="AF76">IF(X76="","",IF(AE76&lt;&gt;"",MAX(X76,AVERAGE(INDEX(Ventas!$C$2:$I$5000,MATCH($A76,Ventas!$A$2:$A$5000,0),0))),X76))</f>
        <v/>
      </c>
      <c r="AG76" s="60" t="str">
        <f t="shared" si="8"/>
        <v/>
      </c>
      <c r="AH76" s="63" t="str">
        <f t="shared" si="9"/>
        <v/>
      </c>
    </row>
    <row r="77" ht="13.5" customHeight="1">
      <c r="A77" s="64"/>
      <c r="B77" s="50" t="s">
        <v>183</v>
      </c>
      <c r="C77" s="68" t="s">
        <v>3633</v>
      </c>
      <c r="D77" s="68" t="s">
        <v>3635</v>
      </c>
      <c r="E77" s="51"/>
      <c r="F77" s="66"/>
      <c r="G77" s="53"/>
      <c r="H77" s="55"/>
      <c r="I77" s="55"/>
      <c r="J77" s="53"/>
      <c r="K77" s="53"/>
      <c r="L77" s="55"/>
      <c r="M77" s="53"/>
      <c r="N77" s="73"/>
      <c r="O77" s="57" t="str">
        <f t="shared" si="1"/>
        <v>SIN SKU — cargar código para calcular</v>
      </c>
      <c r="P77" s="58">
        <f t="shared" si="2"/>
        <v>0</v>
      </c>
      <c r="Q77" s="1"/>
      <c r="R77" s="1"/>
      <c r="S77" s="1"/>
      <c r="T77" s="1"/>
      <c r="U77" s="1"/>
      <c r="V77" s="1"/>
      <c r="W77" s="1"/>
      <c r="X77" s="60" t="str">
        <f>IFERROR(VLOOKUP($A77,Ventas!$A$2:$L$5000,12,FALSE()),"")</f>
        <v/>
      </c>
      <c r="Y77" s="60" t="str">
        <f t="shared" si="3"/>
        <v/>
      </c>
      <c r="Z77" s="61" t="str">
        <f t="shared" si="4"/>
        <v/>
      </c>
      <c r="AA77" s="60" t="str">
        <f t="shared" si="5"/>
        <v/>
      </c>
      <c r="AB77" s="62" t="str">
        <f t="shared" si="6"/>
        <v/>
      </c>
      <c r="AC77" s="62" t="str">
        <f t="array" ref="AC77">IF(AH77&lt;&gt;"COMPRAR","",IF(MAX(INDEX(Ventas!$G$2:$G$5000,MATCH($A77,Ventas!$A$2:$A$5000,0)),INDEX(Ventas!$H$2:$H$5000,MATCH($A77,Ventas!$A$2:$A$5000,0)),INDEX(Ventas!$I$2:$I$5000,MATCH($A77,Ventas!$A$2:$A$5000,0)),INDEX(Ventas!$J$2:$J$5000,MATCH($A77,Ventas!$A$2:$A$5000,0)))&gt;0.5*AF77*4,"1 mes = "&amp;TEXT(MAX(INDEX(Ventas!$G$2:$G$5000,MATCH($A77,Ventas!$A$2:$A$5000,0)),INDEX(Ventas!$H$2:$H$5000,MATCH($A77,Ventas!$A$2:$A$5000,0)),INDEX(Ventas!$I$2:$I$5000,MATCH($A77,Ventas!$A$2:$A$5000,0)),INDEX(Ventas!$J$2:$J$5000,MATCH($A77,Ventas!$A$2:$A$5000,0)))/(AF77*4),"0%")&amp;" de 4 meses",""))</f>
        <v/>
      </c>
      <c r="AD77" s="62" t="str">
        <f t="shared" si="7"/>
        <v/>
      </c>
      <c r="AE77" s="62" t="str">
        <f t="array" ref="AE77">IF(X77="","",IF(AND(E77=0,AVERAGE(INDEX(Ventas!$C$2:$I$5000,MATCH($A77,Ventas!$A$2:$A$5000,0),0))&gt;0,INDEX(Ventas!$J$2:$J$5000,MATCH($A77,Ventas!$A$2:$A$5000,0))&lt;0.5*AVERAGE(INDEX(Ventas!$C$2:$I$5000,MATCH($A77,Ventas!$A$2:$A$5000,0),0))),"SÍ — stock 0 y Sep cayó (prom Feb-Ago "&amp;TEXT(AVERAGE(INDEX(Ventas!$C$2:$I$5000,MATCH($A77,Ventas!$A$2:$A$5000,0),0)),"#,##0")&amp;")",""))</f>
        <v/>
      </c>
      <c r="AF77" s="60" t="str">
        <f t="array" ref="AF77">IF(X77="","",IF(AE77&lt;&gt;"",MAX(X77,AVERAGE(INDEX(Ventas!$C$2:$I$5000,MATCH($A77,Ventas!$A$2:$A$5000,0),0))),X77))</f>
        <v/>
      </c>
      <c r="AG77" s="60" t="str">
        <f t="shared" si="8"/>
        <v/>
      </c>
      <c r="AH77" s="63" t="str">
        <f t="shared" si="9"/>
        <v/>
      </c>
    </row>
    <row r="78" ht="13.5" customHeight="1">
      <c r="A78" s="64"/>
      <c r="B78" s="50" t="s">
        <v>183</v>
      </c>
      <c r="C78" s="68" t="s">
        <v>3633</v>
      </c>
      <c r="D78" s="68" t="s">
        <v>794</v>
      </c>
      <c r="E78" s="51"/>
      <c r="F78" s="66"/>
      <c r="G78" s="53"/>
      <c r="H78" s="55"/>
      <c r="I78" s="55"/>
      <c r="J78" s="53"/>
      <c r="K78" s="53"/>
      <c r="L78" s="55"/>
      <c r="M78" s="53"/>
      <c r="N78" s="73"/>
      <c r="O78" s="57" t="str">
        <f t="shared" si="1"/>
        <v>SIN SKU — cargar código para calcular</v>
      </c>
      <c r="P78" s="58">
        <f t="shared" si="2"/>
        <v>0</v>
      </c>
      <c r="Q78" s="1"/>
      <c r="R78" s="1"/>
      <c r="S78" s="1"/>
      <c r="T78" s="1"/>
      <c r="U78" s="1"/>
      <c r="V78" s="1"/>
      <c r="W78" s="1"/>
      <c r="X78" s="60" t="str">
        <f>IFERROR(VLOOKUP($A78,Ventas!$A$2:$L$5000,12,FALSE()),"")</f>
        <v/>
      </c>
      <c r="Y78" s="60" t="str">
        <f t="shared" si="3"/>
        <v/>
      </c>
      <c r="Z78" s="61" t="str">
        <f t="shared" si="4"/>
        <v/>
      </c>
      <c r="AA78" s="60" t="str">
        <f t="shared" si="5"/>
        <v/>
      </c>
      <c r="AB78" s="62" t="str">
        <f t="shared" si="6"/>
        <v/>
      </c>
      <c r="AC78" s="62" t="str">
        <f t="array" ref="AC78">IF(AH78&lt;&gt;"COMPRAR","",IF(MAX(INDEX(Ventas!$G$2:$G$5000,MATCH($A78,Ventas!$A$2:$A$5000,0)),INDEX(Ventas!$H$2:$H$5000,MATCH($A78,Ventas!$A$2:$A$5000,0)),INDEX(Ventas!$I$2:$I$5000,MATCH($A78,Ventas!$A$2:$A$5000,0)),INDEX(Ventas!$J$2:$J$5000,MATCH($A78,Ventas!$A$2:$A$5000,0)))&gt;0.5*AF78*4,"1 mes = "&amp;TEXT(MAX(INDEX(Ventas!$G$2:$G$5000,MATCH($A78,Ventas!$A$2:$A$5000,0)),INDEX(Ventas!$H$2:$H$5000,MATCH($A78,Ventas!$A$2:$A$5000,0)),INDEX(Ventas!$I$2:$I$5000,MATCH($A78,Ventas!$A$2:$A$5000,0)),INDEX(Ventas!$J$2:$J$5000,MATCH($A78,Ventas!$A$2:$A$5000,0)))/(AF78*4),"0%")&amp;" de 4 meses",""))</f>
        <v/>
      </c>
      <c r="AD78" s="62" t="str">
        <f t="shared" si="7"/>
        <v/>
      </c>
      <c r="AE78" s="62" t="str">
        <f t="array" ref="AE78">IF(X78="","",IF(AND(E78=0,AVERAGE(INDEX(Ventas!$C$2:$I$5000,MATCH($A78,Ventas!$A$2:$A$5000,0),0))&gt;0,INDEX(Ventas!$J$2:$J$5000,MATCH($A78,Ventas!$A$2:$A$5000,0))&lt;0.5*AVERAGE(INDEX(Ventas!$C$2:$I$5000,MATCH($A78,Ventas!$A$2:$A$5000,0),0))),"SÍ — stock 0 y Sep cayó (prom Feb-Ago "&amp;TEXT(AVERAGE(INDEX(Ventas!$C$2:$I$5000,MATCH($A78,Ventas!$A$2:$A$5000,0),0)),"#,##0")&amp;")",""))</f>
        <v/>
      </c>
      <c r="AF78" s="60" t="str">
        <f t="array" ref="AF78">IF(X78="","",IF(AE78&lt;&gt;"",MAX(X78,AVERAGE(INDEX(Ventas!$C$2:$I$5000,MATCH($A78,Ventas!$A$2:$A$5000,0),0))),X78))</f>
        <v/>
      </c>
      <c r="AG78" s="60" t="str">
        <f t="shared" si="8"/>
        <v/>
      </c>
      <c r="AH78" s="63" t="str">
        <f t="shared" si="9"/>
        <v/>
      </c>
    </row>
    <row r="79" ht="13.5" customHeight="1">
      <c r="A79" s="64"/>
      <c r="B79" s="50" t="s">
        <v>183</v>
      </c>
      <c r="C79" s="68" t="s">
        <v>3633</v>
      </c>
      <c r="D79" s="68" t="s">
        <v>1009</v>
      </c>
      <c r="E79" s="51"/>
      <c r="F79" s="66"/>
      <c r="G79" s="53"/>
      <c r="H79" s="55"/>
      <c r="I79" s="55"/>
      <c r="J79" s="53"/>
      <c r="K79" s="53"/>
      <c r="L79" s="55"/>
      <c r="M79" s="53"/>
      <c r="N79" s="73"/>
      <c r="O79" s="57" t="str">
        <f t="shared" si="1"/>
        <v>SIN SKU — cargar código para calcular</v>
      </c>
      <c r="P79" s="58">
        <f t="shared" si="2"/>
        <v>0</v>
      </c>
      <c r="Q79" s="1"/>
      <c r="R79" s="1"/>
      <c r="S79" s="1"/>
      <c r="T79" s="1"/>
      <c r="U79" s="1"/>
      <c r="V79" s="1"/>
      <c r="W79" s="1"/>
      <c r="X79" s="60" t="str">
        <f>IFERROR(VLOOKUP($A79,Ventas!$A$2:$L$5000,12,FALSE()),"")</f>
        <v/>
      </c>
      <c r="Y79" s="60" t="str">
        <f t="shared" si="3"/>
        <v/>
      </c>
      <c r="Z79" s="61" t="str">
        <f t="shared" si="4"/>
        <v/>
      </c>
      <c r="AA79" s="60" t="str">
        <f t="shared" si="5"/>
        <v/>
      </c>
      <c r="AB79" s="62" t="str">
        <f t="shared" si="6"/>
        <v/>
      </c>
      <c r="AC79" s="62" t="str">
        <f t="array" ref="AC79">IF(AH79&lt;&gt;"COMPRAR","",IF(MAX(INDEX(Ventas!$G$2:$G$5000,MATCH($A79,Ventas!$A$2:$A$5000,0)),INDEX(Ventas!$H$2:$H$5000,MATCH($A79,Ventas!$A$2:$A$5000,0)),INDEX(Ventas!$I$2:$I$5000,MATCH($A79,Ventas!$A$2:$A$5000,0)),INDEX(Ventas!$J$2:$J$5000,MATCH($A79,Ventas!$A$2:$A$5000,0)))&gt;0.5*AF79*4,"1 mes = "&amp;TEXT(MAX(INDEX(Ventas!$G$2:$G$5000,MATCH($A79,Ventas!$A$2:$A$5000,0)),INDEX(Ventas!$H$2:$H$5000,MATCH($A79,Ventas!$A$2:$A$5000,0)),INDEX(Ventas!$I$2:$I$5000,MATCH($A79,Ventas!$A$2:$A$5000,0)),INDEX(Ventas!$J$2:$J$5000,MATCH($A79,Ventas!$A$2:$A$5000,0)))/(AF79*4),"0%")&amp;" de 4 meses",""))</f>
        <v/>
      </c>
      <c r="AD79" s="62" t="str">
        <f t="shared" si="7"/>
        <v/>
      </c>
      <c r="AE79" s="62" t="str">
        <f t="array" ref="AE79">IF(X79="","",IF(AND(E79=0,AVERAGE(INDEX(Ventas!$C$2:$I$5000,MATCH($A79,Ventas!$A$2:$A$5000,0),0))&gt;0,INDEX(Ventas!$J$2:$J$5000,MATCH($A79,Ventas!$A$2:$A$5000,0))&lt;0.5*AVERAGE(INDEX(Ventas!$C$2:$I$5000,MATCH($A79,Ventas!$A$2:$A$5000,0),0))),"SÍ — stock 0 y Sep cayó (prom Feb-Ago "&amp;TEXT(AVERAGE(INDEX(Ventas!$C$2:$I$5000,MATCH($A79,Ventas!$A$2:$A$5000,0),0)),"#,##0")&amp;")",""))</f>
        <v/>
      </c>
      <c r="AF79" s="60" t="str">
        <f t="array" ref="AF79">IF(X79="","",IF(AE79&lt;&gt;"",MAX(X79,AVERAGE(INDEX(Ventas!$C$2:$I$5000,MATCH($A79,Ventas!$A$2:$A$5000,0),0))),X79))</f>
        <v/>
      </c>
      <c r="AG79" s="60" t="str">
        <f t="shared" si="8"/>
        <v/>
      </c>
      <c r="AH79" s="63" t="str">
        <f t="shared" si="9"/>
        <v/>
      </c>
    </row>
    <row r="80" ht="13.5" customHeight="1">
      <c r="A80" s="64" t="s">
        <v>3025</v>
      </c>
      <c r="B80" s="65" t="s">
        <v>183</v>
      </c>
      <c r="C80" s="65" t="s">
        <v>3636</v>
      </c>
      <c r="D80" s="65" t="s">
        <v>1329</v>
      </c>
      <c r="E80" s="51">
        <v>2524.0</v>
      </c>
      <c r="F80" s="66"/>
      <c r="G80" s="53"/>
      <c r="H80" s="55"/>
      <c r="I80" s="55"/>
      <c r="J80" s="53"/>
      <c r="K80" s="53"/>
      <c r="L80" s="55">
        <v>1000.0</v>
      </c>
      <c r="M80" s="53"/>
      <c r="N80" s="73"/>
      <c r="O80" s="57" t="str">
        <f t="shared" si="1"/>
        <v>PEDIR MENOS — sobran 1,304 m; revisar pedidos sin facturar (1,000 m)</v>
      </c>
      <c r="P80" s="58">
        <f t="shared" si="2"/>
        <v>3524</v>
      </c>
      <c r="Q80" s="1"/>
      <c r="R80" s="1"/>
      <c r="S80" s="1"/>
      <c r="T80" s="1"/>
      <c r="U80" s="1"/>
      <c r="V80" s="1"/>
      <c r="W80" s="1"/>
      <c r="X80" s="60">
        <f>IFERROR(VLOOKUP($A80,Ventas!$A$2:$L$5000,12,FALSE()),"")</f>
        <v>555</v>
      </c>
      <c r="Y80" s="60">
        <f t="shared" si="3"/>
        <v>2220</v>
      </c>
      <c r="Z80" s="61">
        <f t="shared" si="4"/>
        <v>6.3</v>
      </c>
      <c r="AA80" s="60">
        <f t="shared" si="5"/>
        <v>-1304</v>
      </c>
      <c r="AB80" s="62" t="str">
        <f t="shared" si="6"/>
        <v/>
      </c>
      <c r="AC80" s="62" t="str">
        <f t="array" ref="AC80">IF(AH80&lt;&gt;"COMPRAR","",IF(MAX(INDEX(Ventas!$G$2:$G$5000,MATCH($A80,Ventas!$A$2:$A$5000,0)),INDEX(Ventas!$H$2:$H$5000,MATCH($A80,Ventas!$A$2:$A$5000,0)),INDEX(Ventas!$I$2:$I$5000,MATCH($A80,Ventas!$A$2:$A$5000,0)),INDEX(Ventas!$J$2:$J$5000,MATCH($A80,Ventas!$A$2:$A$5000,0)))&gt;0.5*AF80*4,"1 mes = "&amp;TEXT(MAX(INDEX(Ventas!$G$2:$G$5000,MATCH($A80,Ventas!$A$2:$A$5000,0)),INDEX(Ventas!$H$2:$H$5000,MATCH($A80,Ventas!$A$2:$A$5000,0)),INDEX(Ventas!$I$2:$I$5000,MATCH($A80,Ventas!$A$2:$A$5000,0)),INDEX(Ventas!$J$2:$J$5000,MATCH($A80,Ventas!$A$2:$A$5000,0)))/(AF80*4),"0%")&amp;" de 4 meses",""))</f>
        <v/>
      </c>
      <c r="AD80" s="62" t="str">
        <f t="shared" si="7"/>
        <v/>
      </c>
      <c r="AE80" s="62" t="str">
        <f t="array" ref="AE80">IF(X80="","",IF(AND(E80=0,AVERAGE(INDEX(Ventas!$C$2:$I$5000,MATCH($A80,Ventas!$A$2:$A$5000,0),0))&gt;0,INDEX(Ventas!$J$2:$J$5000,MATCH($A80,Ventas!$A$2:$A$5000,0))&lt;0.5*AVERAGE(INDEX(Ventas!$C$2:$I$5000,MATCH($A80,Ventas!$A$2:$A$5000,0),0))),"SÍ — stock 0 y Sep cayó (prom Feb-Ago "&amp;TEXT(AVERAGE(INDEX(Ventas!$C$2:$I$5000,MATCH($A80,Ventas!$A$2:$A$5000,0),0)),"#,##0")&amp;")",""))</f>
        <v/>
      </c>
      <c r="AF80" s="60">
        <f t="array" ref="AF80">IF(X80="","",IF(AE80&lt;&gt;"",MAX(X80,AVERAGE(INDEX(Ventas!$C$2:$I$5000,MATCH($A80,Ventas!$A$2:$A$5000,0),0))),X80))</f>
        <v>555</v>
      </c>
      <c r="AG80" s="60">
        <f t="shared" si="8"/>
        <v>-1304</v>
      </c>
      <c r="AH80" s="63" t="str">
        <f t="shared" si="9"/>
        <v>PEDIR MENOS</v>
      </c>
    </row>
    <row r="81" ht="13.5" customHeight="1">
      <c r="A81" s="49" t="s">
        <v>3017</v>
      </c>
      <c r="B81" s="50" t="s">
        <v>183</v>
      </c>
      <c r="C81" s="50" t="s">
        <v>3636</v>
      </c>
      <c r="D81" s="50" t="s">
        <v>3637</v>
      </c>
      <c r="E81" s="51">
        <v>1681.0</v>
      </c>
      <c r="F81" s="52"/>
      <c r="G81" s="53"/>
      <c r="H81" s="55"/>
      <c r="I81" s="55"/>
      <c r="J81" s="53"/>
      <c r="K81" s="53"/>
      <c r="L81" s="55"/>
      <c r="M81" s="53"/>
      <c r="N81" s="74"/>
      <c r="O81" s="57" t="str">
        <f t="shared" si="1"/>
        <v>OK — cubierto (4.3 meses)</v>
      </c>
      <c r="P81" s="58">
        <f t="shared" si="2"/>
        <v>1681</v>
      </c>
      <c r="Q81" s="1"/>
      <c r="R81" s="1"/>
      <c r="S81" s="1"/>
      <c r="T81" s="1"/>
      <c r="U81" s="1"/>
      <c r="V81" s="1"/>
      <c r="W81" s="1"/>
      <c r="X81" s="60">
        <f>IFERROR(VLOOKUP($A81,Ventas!$A$2:$L$5000,12,FALSE()),"")</f>
        <v>393.25</v>
      </c>
      <c r="Y81" s="60">
        <f t="shared" si="3"/>
        <v>1573</v>
      </c>
      <c r="Z81" s="61">
        <f t="shared" si="4"/>
        <v>4.3</v>
      </c>
      <c r="AA81" s="60">
        <f t="shared" si="5"/>
        <v>-108</v>
      </c>
      <c r="AB81" s="62" t="str">
        <f t="shared" si="6"/>
        <v/>
      </c>
      <c r="AC81" s="62" t="str">
        <f t="array" ref="AC81">IF(AH81&lt;&gt;"COMPRAR","",IF(MAX(INDEX(Ventas!$G$2:$G$5000,MATCH($A81,Ventas!$A$2:$A$5000,0)),INDEX(Ventas!$H$2:$H$5000,MATCH($A81,Ventas!$A$2:$A$5000,0)),INDEX(Ventas!$I$2:$I$5000,MATCH($A81,Ventas!$A$2:$A$5000,0)),INDEX(Ventas!$J$2:$J$5000,MATCH($A81,Ventas!$A$2:$A$5000,0)))&gt;0.5*AF81*4,"1 mes = "&amp;TEXT(MAX(INDEX(Ventas!$G$2:$G$5000,MATCH($A81,Ventas!$A$2:$A$5000,0)),INDEX(Ventas!$H$2:$H$5000,MATCH($A81,Ventas!$A$2:$A$5000,0)),INDEX(Ventas!$I$2:$I$5000,MATCH($A81,Ventas!$A$2:$A$5000,0)),INDEX(Ventas!$J$2:$J$5000,MATCH($A81,Ventas!$A$2:$A$5000,0)))/(AF81*4),"0%")&amp;" de 4 meses",""))</f>
        <v/>
      </c>
      <c r="AD81" s="62" t="str">
        <f t="shared" si="7"/>
        <v/>
      </c>
      <c r="AE81" s="62" t="str">
        <f t="array" ref="AE81">IF(X81="","",IF(AND(E81=0,AVERAGE(INDEX(Ventas!$C$2:$I$5000,MATCH($A81,Ventas!$A$2:$A$5000,0),0))&gt;0,INDEX(Ventas!$J$2:$J$5000,MATCH($A81,Ventas!$A$2:$A$5000,0))&lt;0.5*AVERAGE(INDEX(Ventas!$C$2:$I$5000,MATCH($A81,Ventas!$A$2:$A$5000,0),0))),"SÍ — stock 0 y Sep cayó (prom Feb-Ago "&amp;TEXT(AVERAGE(INDEX(Ventas!$C$2:$I$5000,MATCH($A81,Ventas!$A$2:$A$5000,0),0)),"#,##0")&amp;")",""))</f>
        <v/>
      </c>
      <c r="AF81" s="60">
        <f t="array" ref="AF81">IF(X81="","",IF(AE81&lt;&gt;"",MAX(X81,AVERAGE(INDEX(Ventas!$C$2:$I$5000,MATCH($A81,Ventas!$A$2:$A$5000,0),0))),X81))</f>
        <v>393.25</v>
      </c>
      <c r="AG81" s="60">
        <f t="shared" si="8"/>
        <v>-108</v>
      </c>
      <c r="AH81" s="63" t="str">
        <f t="shared" si="9"/>
        <v>OK</v>
      </c>
    </row>
    <row r="82" ht="13.5" customHeight="1">
      <c r="A82" s="64" t="s">
        <v>3011</v>
      </c>
      <c r="B82" s="65" t="s">
        <v>183</v>
      </c>
      <c r="C82" s="65" t="s">
        <v>3636</v>
      </c>
      <c r="D82" s="65" t="s">
        <v>2949</v>
      </c>
      <c r="E82" s="51">
        <v>360.0</v>
      </c>
      <c r="F82" s="66"/>
      <c r="G82" s="53"/>
      <c r="H82" s="55">
        <v>2016.0</v>
      </c>
      <c r="I82" s="55"/>
      <c r="J82" s="53"/>
      <c r="K82" s="53"/>
      <c r="L82" s="55"/>
      <c r="M82" s="53"/>
      <c r="N82" s="73"/>
      <c r="O82" s="57" t="str">
        <f t="shared" si="1"/>
        <v>OK — cubierto (7.1 meses)</v>
      </c>
      <c r="P82" s="58">
        <f t="shared" si="2"/>
        <v>2376</v>
      </c>
      <c r="Q82" s="1"/>
      <c r="R82" s="1"/>
      <c r="S82" s="1"/>
      <c r="T82" s="1"/>
      <c r="U82" s="1"/>
      <c r="V82" s="1"/>
      <c r="W82" s="1"/>
      <c r="X82" s="60">
        <f>IFERROR(VLOOKUP($A82,Ventas!$A$2:$L$5000,12,FALSE()),"")</f>
        <v>335.125</v>
      </c>
      <c r="Y82" s="60">
        <f t="shared" si="3"/>
        <v>1341</v>
      </c>
      <c r="Z82" s="61">
        <f t="shared" si="4"/>
        <v>7.1</v>
      </c>
      <c r="AA82" s="60">
        <f t="shared" si="5"/>
        <v>-1035</v>
      </c>
      <c r="AB82" s="62" t="str">
        <f t="shared" si="6"/>
        <v/>
      </c>
      <c r="AC82" s="62" t="str">
        <f t="array" ref="AC82">IF(AH82&lt;&gt;"COMPRAR","",IF(MAX(INDEX(Ventas!$G$2:$G$5000,MATCH($A82,Ventas!$A$2:$A$5000,0)),INDEX(Ventas!$H$2:$H$5000,MATCH($A82,Ventas!$A$2:$A$5000,0)),INDEX(Ventas!$I$2:$I$5000,MATCH($A82,Ventas!$A$2:$A$5000,0)),INDEX(Ventas!$J$2:$J$5000,MATCH($A82,Ventas!$A$2:$A$5000,0)))&gt;0.5*AF82*4,"1 mes = "&amp;TEXT(MAX(INDEX(Ventas!$G$2:$G$5000,MATCH($A82,Ventas!$A$2:$A$5000,0)),INDEX(Ventas!$H$2:$H$5000,MATCH($A82,Ventas!$A$2:$A$5000,0)),INDEX(Ventas!$I$2:$I$5000,MATCH($A82,Ventas!$A$2:$A$5000,0)),INDEX(Ventas!$J$2:$J$5000,MATCH($A82,Ventas!$A$2:$A$5000,0)))/(AF82*4),"0%")&amp;" de 4 meses",""))</f>
        <v/>
      </c>
      <c r="AD82" s="62" t="str">
        <f t="shared" si="7"/>
        <v/>
      </c>
      <c r="AE82" s="62" t="str">
        <f t="array" ref="AE82">IF(X82="","",IF(AND(E82=0,AVERAGE(INDEX(Ventas!$C$2:$I$5000,MATCH($A82,Ventas!$A$2:$A$5000,0),0))&gt;0,INDEX(Ventas!$J$2:$J$5000,MATCH($A82,Ventas!$A$2:$A$5000,0))&lt;0.5*AVERAGE(INDEX(Ventas!$C$2:$I$5000,MATCH($A82,Ventas!$A$2:$A$5000,0),0))),"SÍ — stock 0 y Sep cayó (prom Feb-Ago "&amp;TEXT(AVERAGE(INDEX(Ventas!$C$2:$I$5000,MATCH($A82,Ventas!$A$2:$A$5000,0),0)),"#,##0")&amp;")",""))</f>
        <v/>
      </c>
      <c r="AF82" s="60">
        <f t="array" ref="AF82">IF(X82="","",IF(AE82&lt;&gt;"",MAX(X82,AVERAGE(INDEX(Ventas!$C$2:$I$5000,MATCH($A82,Ventas!$A$2:$A$5000,0),0))),X82))</f>
        <v>335.125</v>
      </c>
      <c r="AG82" s="60">
        <f t="shared" si="8"/>
        <v>-1035</v>
      </c>
      <c r="AH82" s="63" t="str">
        <f t="shared" si="9"/>
        <v>OK</v>
      </c>
    </row>
    <row r="83" ht="13.5" customHeight="1">
      <c r="A83" s="49" t="s">
        <v>3023</v>
      </c>
      <c r="B83" s="50" t="s">
        <v>183</v>
      </c>
      <c r="C83" s="50" t="s">
        <v>3636</v>
      </c>
      <c r="D83" s="50" t="s">
        <v>3638</v>
      </c>
      <c r="E83" s="51">
        <v>902.0</v>
      </c>
      <c r="F83" s="52"/>
      <c r="G83" s="53"/>
      <c r="H83" s="55"/>
      <c r="I83" s="55"/>
      <c r="J83" s="53"/>
      <c r="K83" s="53"/>
      <c r="L83" s="55"/>
      <c r="M83" s="53"/>
      <c r="N83" s="74"/>
      <c r="O83" s="57" t="str">
        <f t="shared" si="1"/>
        <v>OK — cubierto (6.9 meses)</v>
      </c>
      <c r="P83" s="58">
        <f t="shared" si="2"/>
        <v>902</v>
      </c>
      <c r="Q83" s="1"/>
      <c r="R83" s="1"/>
      <c r="S83" s="1"/>
      <c r="T83" s="1"/>
      <c r="U83" s="1"/>
      <c r="V83" s="1"/>
      <c r="W83" s="1"/>
      <c r="X83" s="60">
        <f>IFERROR(VLOOKUP($A83,Ventas!$A$2:$L$5000,12,FALSE()),"")</f>
        <v>130</v>
      </c>
      <c r="Y83" s="60">
        <f t="shared" si="3"/>
        <v>520</v>
      </c>
      <c r="Z83" s="61">
        <f t="shared" si="4"/>
        <v>6.9</v>
      </c>
      <c r="AA83" s="60">
        <f t="shared" si="5"/>
        <v>-382</v>
      </c>
      <c r="AB83" s="62" t="str">
        <f t="shared" si="6"/>
        <v/>
      </c>
      <c r="AC83" s="62" t="str">
        <f t="array" ref="AC83">IF(AH83&lt;&gt;"COMPRAR","",IF(MAX(INDEX(Ventas!$G$2:$G$5000,MATCH($A83,Ventas!$A$2:$A$5000,0)),INDEX(Ventas!$H$2:$H$5000,MATCH($A83,Ventas!$A$2:$A$5000,0)),INDEX(Ventas!$I$2:$I$5000,MATCH($A83,Ventas!$A$2:$A$5000,0)),INDEX(Ventas!$J$2:$J$5000,MATCH($A83,Ventas!$A$2:$A$5000,0)))&gt;0.5*AF83*4,"1 mes = "&amp;TEXT(MAX(INDEX(Ventas!$G$2:$G$5000,MATCH($A83,Ventas!$A$2:$A$5000,0)),INDEX(Ventas!$H$2:$H$5000,MATCH($A83,Ventas!$A$2:$A$5000,0)),INDEX(Ventas!$I$2:$I$5000,MATCH($A83,Ventas!$A$2:$A$5000,0)),INDEX(Ventas!$J$2:$J$5000,MATCH($A83,Ventas!$A$2:$A$5000,0)))/(AF83*4),"0%")&amp;" de 4 meses",""))</f>
        <v/>
      </c>
      <c r="AD83" s="62" t="str">
        <f t="shared" si="7"/>
        <v/>
      </c>
      <c r="AE83" s="62" t="str">
        <f t="array" ref="AE83">IF(X83="","",IF(AND(E83=0,AVERAGE(INDEX(Ventas!$C$2:$I$5000,MATCH($A83,Ventas!$A$2:$A$5000,0),0))&gt;0,INDEX(Ventas!$J$2:$J$5000,MATCH($A83,Ventas!$A$2:$A$5000,0))&lt;0.5*AVERAGE(INDEX(Ventas!$C$2:$I$5000,MATCH($A83,Ventas!$A$2:$A$5000,0),0))),"SÍ — stock 0 y Sep cayó (prom Feb-Ago "&amp;TEXT(AVERAGE(INDEX(Ventas!$C$2:$I$5000,MATCH($A83,Ventas!$A$2:$A$5000,0),0)),"#,##0")&amp;")",""))</f>
        <v/>
      </c>
      <c r="AF83" s="60">
        <f t="array" ref="AF83">IF(X83="","",IF(AE83&lt;&gt;"",MAX(X83,AVERAGE(INDEX(Ventas!$C$2:$I$5000,MATCH($A83,Ventas!$A$2:$A$5000,0),0))),X83))</f>
        <v>130</v>
      </c>
      <c r="AG83" s="60">
        <f t="shared" si="8"/>
        <v>-382</v>
      </c>
      <c r="AH83" s="63" t="str">
        <f t="shared" si="9"/>
        <v>OK</v>
      </c>
    </row>
    <row r="84" ht="13.5" customHeight="1">
      <c r="A84" s="64" t="s">
        <v>3041</v>
      </c>
      <c r="B84" s="65" t="s">
        <v>183</v>
      </c>
      <c r="C84" s="65" t="s">
        <v>3636</v>
      </c>
      <c r="D84" s="65" t="s">
        <v>1911</v>
      </c>
      <c r="E84" s="51">
        <v>2876.0</v>
      </c>
      <c r="F84" s="66"/>
      <c r="G84" s="53"/>
      <c r="H84" s="55"/>
      <c r="I84" s="55"/>
      <c r="J84" s="53"/>
      <c r="K84" s="53"/>
      <c r="L84" s="55"/>
      <c r="M84" s="53"/>
      <c r="N84" s="73"/>
      <c r="O84" s="57" t="str">
        <f t="shared" si="1"/>
        <v>OK — cubierto (7.6 meses)</v>
      </c>
      <c r="P84" s="58">
        <f t="shared" si="2"/>
        <v>2876</v>
      </c>
      <c r="Q84" s="1"/>
      <c r="R84" s="1"/>
      <c r="S84" s="1"/>
      <c r="T84" s="1"/>
      <c r="U84" s="1"/>
      <c r="V84" s="1"/>
      <c r="W84" s="1"/>
      <c r="X84" s="60">
        <f>IFERROR(VLOOKUP($A84,Ventas!$A$2:$L$5000,12,FALSE()),"")</f>
        <v>380</v>
      </c>
      <c r="Y84" s="60">
        <f t="shared" si="3"/>
        <v>1520</v>
      </c>
      <c r="Z84" s="61">
        <f t="shared" si="4"/>
        <v>7.6</v>
      </c>
      <c r="AA84" s="60">
        <f t="shared" si="5"/>
        <v>-1356</v>
      </c>
      <c r="AB84" s="62" t="str">
        <f t="shared" si="6"/>
        <v/>
      </c>
      <c r="AC84" s="62" t="str">
        <f t="array" ref="AC84">IF(AH84&lt;&gt;"COMPRAR","",IF(MAX(INDEX(Ventas!$G$2:$G$5000,MATCH($A84,Ventas!$A$2:$A$5000,0)),INDEX(Ventas!$H$2:$H$5000,MATCH($A84,Ventas!$A$2:$A$5000,0)),INDEX(Ventas!$I$2:$I$5000,MATCH($A84,Ventas!$A$2:$A$5000,0)),INDEX(Ventas!$J$2:$J$5000,MATCH($A84,Ventas!$A$2:$A$5000,0)))&gt;0.5*AF84*4,"1 mes = "&amp;TEXT(MAX(INDEX(Ventas!$G$2:$G$5000,MATCH($A84,Ventas!$A$2:$A$5000,0)),INDEX(Ventas!$H$2:$H$5000,MATCH($A84,Ventas!$A$2:$A$5000,0)),INDEX(Ventas!$I$2:$I$5000,MATCH($A84,Ventas!$A$2:$A$5000,0)),INDEX(Ventas!$J$2:$J$5000,MATCH($A84,Ventas!$A$2:$A$5000,0)))/(AF84*4),"0%")&amp;" de 4 meses",""))</f>
        <v/>
      </c>
      <c r="AD84" s="62" t="str">
        <f t="shared" si="7"/>
        <v/>
      </c>
      <c r="AE84" s="62" t="str">
        <f t="array" ref="AE84">IF(X84="","",IF(AND(E84=0,AVERAGE(INDEX(Ventas!$C$2:$I$5000,MATCH($A84,Ventas!$A$2:$A$5000,0),0))&gt;0,INDEX(Ventas!$J$2:$J$5000,MATCH($A84,Ventas!$A$2:$A$5000,0))&lt;0.5*AVERAGE(INDEX(Ventas!$C$2:$I$5000,MATCH($A84,Ventas!$A$2:$A$5000,0),0))),"SÍ — stock 0 y Sep cayó (prom Feb-Ago "&amp;TEXT(AVERAGE(INDEX(Ventas!$C$2:$I$5000,MATCH($A84,Ventas!$A$2:$A$5000,0),0)),"#,##0")&amp;")",""))</f>
        <v/>
      </c>
      <c r="AF84" s="60">
        <f t="array" ref="AF84">IF(X84="","",IF(AE84&lt;&gt;"",MAX(X84,AVERAGE(INDEX(Ventas!$C$2:$I$5000,MATCH($A84,Ventas!$A$2:$A$5000,0),0))),X84))</f>
        <v>380</v>
      </c>
      <c r="AG84" s="60">
        <f t="shared" si="8"/>
        <v>-1356</v>
      </c>
      <c r="AH84" s="63" t="str">
        <f t="shared" si="9"/>
        <v>OK</v>
      </c>
    </row>
    <row r="85" ht="13.5" customHeight="1">
      <c r="A85" s="49" t="s">
        <v>3027</v>
      </c>
      <c r="B85" s="50" t="s">
        <v>183</v>
      </c>
      <c r="C85" s="50" t="s">
        <v>3636</v>
      </c>
      <c r="D85" s="50" t="s">
        <v>646</v>
      </c>
      <c r="E85" s="51">
        <v>837.0</v>
      </c>
      <c r="F85" s="52"/>
      <c r="G85" s="53"/>
      <c r="H85" s="55"/>
      <c r="I85" s="55"/>
      <c r="J85" s="53"/>
      <c r="K85" s="53"/>
      <c r="L85" s="55"/>
      <c r="M85" s="53"/>
      <c r="N85" s="74"/>
      <c r="O85" s="57" t="str">
        <f t="shared" si="1"/>
        <v>SIN VENTAS Jun-Sep — no comprar (837 m disponibles)</v>
      </c>
      <c r="P85" s="58">
        <f t="shared" si="2"/>
        <v>837</v>
      </c>
      <c r="Q85" s="70" t="s">
        <v>3639</v>
      </c>
      <c r="R85" s="1"/>
      <c r="S85" s="1"/>
      <c r="T85" s="1"/>
      <c r="U85" s="1"/>
      <c r="V85" s="1"/>
      <c r="W85" s="1"/>
      <c r="X85" s="60">
        <f>IFERROR(VLOOKUP($A85,Ventas!$A$2:$L$5000,12,FALSE()),"")</f>
        <v>0</v>
      </c>
      <c r="Y85" s="60">
        <f t="shared" si="3"/>
        <v>0</v>
      </c>
      <c r="Z85" s="61" t="str">
        <f t="shared" si="4"/>
        <v/>
      </c>
      <c r="AA85" s="60">
        <f t="shared" si="5"/>
        <v>-837</v>
      </c>
      <c r="AB85" s="62" t="str">
        <f t="shared" si="6"/>
        <v/>
      </c>
      <c r="AC85" s="62" t="str">
        <f t="array" ref="AC85">IF(AH85&lt;&gt;"COMPRAR","",IF(MAX(INDEX(Ventas!$G$2:$G$5000,MATCH($A85,Ventas!$A$2:$A$5000,0)),INDEX(Ventas!$H$2:$H$5000,MATCH($A85,Ventas!$A$2:$A$5000,0)),INDEX(Ventas!$I$2:$I$5000,MATCH($A85,Ventas!$A$2:$A$5000,0)),INDEX(Ventas!$J$2:$J$5000,MATCH($A85,Ventas!$A$2:$A$5000,0)))&gt;0.5*AF85*4,"1 mes = "&amp;TEXT(MAX(INDEX(Ventas!$G$2:$G$5000,MATCH($A85,Ventas!$A$2:$A$5000,0)),INDEX(Ventas!$H$2:$H$5000,MATCH($A85,Ventas!$A$2:$A$5000,0)),INDEX(Ventas!$I$2:$I$5000,MATCH($A85,Ventas!$A$2:$A$5000,0)),INDEX(Ventas!$J$2:$J$5000,MATCH($A85,Ventas!$A$2:$A$5000,0)))/(AF85*4),"0%")&amp;" de 4 meses",""))</f>
        <v/>
      </c>
      <c r="AD85" s="62" t="str">
        <f t="shared" si="7"/>
        <v/>
      </c>
      <c r="AE85" s="62" t="str">
        <f t="array" ref="AE85">IF(X85="","",IF(AND(E85=0,AVERAGE(INDEX(Ventas!$C$2:$I$5000,MATCH($A85,Ventas!$A$2:$A$5000,0),0))&gt;0,INDEX(Ventas!$J$2:$J$5000,MATCH($A85,Ventas!$A$2:$A$5000,0))&lt;0.5*AVERAGE(INDEX(Ventas!$C$2:$I$5000,MATCH($A85,Ventas!$A$2:$A$5000,0),0))),"SÍ — stock 0 y Sep cayó (prom Feb-Ago "&amp;TEXT(AVERAGE(INDEX(Ventas!$C$2:$I$5000,MATCH($A85,Ventas!$A$2:$A$5000,0),0)),"#,##0")&amp;")",""))</f>
        <v/>
      </c>
      <c r="AF85" s="60">
        <f t="array" ref="AF85">IF(X85="","",IF(AE85&lt;&gt;"",MAX(X85,AVERAGE(INDEX(Ventas!$C$2:$I$5000,MATCH($A85,Ventas!$A$2:$A$5000,0),0))),X85))</f>
        <v>0</v>
      </c>
      <c r="AG85" s="60">
        <f t="shared" si="8"/>
        <v>-837</v>
      </c>
      <c r="AH85" s="63" t="str">
        <f t="shared" si="9"/>
        <v>SIN VENTAS</v>
      </c>
    </row>
    <row r="86" ht="13.5" customHeight="1">
      <c r="A86" s="64" t="s">
        <v>3045</v>
      </c>
      <c r="B86" s="65" t="s">
        <v>183</v>
      </c>
      <c r="C86" s="65" t="s">
        <v>3636</v>
      </c>
      <c r="D86" s="65" t="s">
        <v>3640</v>
      </c>
      <c r="E86" s="51">
        <v>0.0</v>
      </c>
      <c r="F86" s="66"/>
      <c r="G86" s="53"/>
      <c r="H86" s="55"/>
      <c r="I86" s="55"/>
      <c r="J86" s="53"/>
      <c r="K86" s="53"/>
      <c r="L86" s="55">
        <v>800.0</v>
      </c>
      <c r="M86" s="53"/>
      <c r="N86" s="73"/>
      <c r="O86" s="57" t="str">
        <f t="shared" si="1"/>
        <v>PEDIR MENOS — sobran 344 m; revisar pedidos sin facturar (800 m)</v>
      </c>
      <c r="P86" s="58">
        <f t="shared" si="2"/>
        <v>800</v>
      </c>
      <c r="Q86" s="1"/>
      <c r="R86" s="1"/>
      <c r="S86" s="1"/>
      <c r="T86" s="1"/>
      <c r="U86" s="1"/>
      <c r="V86" s="1"/>
      <c r="W86" s="1"/>
      <c r="X86" s="60">
        <f>IFERROR(VLOOKUP($A86,Ventas!$A$2:$L$5000,12,FALSE()),"")</f>
        <v>113.875</v>
      </c>
      <c r="Y86" s="60">
        <f t="shared" si="3"/>
        <v>456</v>
      </c>
      <c r="Z86" s="61">
        <f t="shared" si="4"/>
        <v>7</v>
      </c>
      <c r="AA86" s="60">
        <f t="shared" si="5"/>
        <v>-344</v>
      </c>
      <c r="AB86" s="62" t="str">
        <f t="shared" si="6"/>
        <v/>
      </c>
      <c r="AC86" s="62" t="str">
        <f t="array" ref="AC86">IF(AH86&lt;&gt;"COMPRAR","",IF(MAX(INDEX(Ventas!$G$2:$G$5000,MATCH($A86,Ventas!$A$2:$A$5000,0)),INDEX(Ventas!$H$2:$H$5000,MATCH($A86,Ventas!$A$2:$A$5000,0)),INDEX(Ventas!$I$2:$I$5000,MATCH($A86,Ventas!$A$2:$A$5000,0)),INDEX(Ventas!$J$2:$J$5000,MATCH($A86,Ventas!$A$2:$A$5000,0)))&gt;0.5*AF86*4,"1 mes = "&amp;TEXT(MAX(INDEX(Ventas!$G$2:$G$5000,MATCH($A86,Ventas!$A$2:$A$5000,0)),INDEX(Ventas!$H$2:$H$5000,MATCH($A86,Ventas!$A$2:$A$5000,0)),INDEX(Ventas!$I$2:$I$5000,MATCH($A86,Ventas!$A$2:$A$5000,0)),INDEX(Ventas!$J$2:$J$5000,MATCH($A86,Ventas!$A$2:$A$5000,0)))/(AF86*4),"0%")&amp;" de 4 meses",""))</f>
        <v/>
      </c>
      <c r="AD86" s="62" t="str">
        <f t="shared" si="7"/>
        <v>SÍ — 0 m vs 60 m</v>
      </c>
      <c r="AE86" s="62" t="str">
        <f t="array" ref="AE86">IF(X86="","",IF(AND(E86=0,AVERAGE(INDEX(Ventas!$C$2:$I$5000,MATCH($A86,Ventas!$A$2:$A$5000,0),0))&gt;0,INDEX(Ventas!$J$2:$J$5000,MATCH($A86,Ventas!$A$2:$A$5000,0))&lt;0.5*AVERAGE(INDEX(Ventas!$C$2:$I$5000,MATCH($A86,Ventas!$A$2:$A$5000,0),0))),"SÍ — stock 0 y Sep cayó (prom Feb-Ago "&amp;TEXT(AVERAGE(INDEX(Ventas!$C$2:$I$5000,MATCH($A86,Ventas!$A$2:$A$5000,0),0)),"#,##0")&amp;")",""))</f>
        <v/>
      </c>
      <c r="AF86" s="60">
        <f t="array" ref="AF86">IF(X86="","",IF(AE86&lt;&gt;"",MAX(X86,AVERAGE(INDEX(Ventas!$C$2:$I$5000,MATCH($A86,Ventas!$A$2:$A$5000,0),0))),X86))</f>
        <v>113.875</v>
      </c>
      <c r="AG86" s="60">
        <f t="shared" si="8"/>
        <v>-344</v>
      </c>
      <c r="AH86" s="63" t="str">
        <f t="shared" si="9"/>
        <v>PEDIR MENOS</v>
      </c>
    </row>
    <row r="87" ht="13.5" customHeight="1">
      <c r="A87" s="49" t="s">
        <v>3009</v>
      </c>
      <c r="B87" s="50" t="s">
        <v>183</v>
      </c>
      <c r="C87" s="50" t="s">
        <v>3636</v>
      </c>
      <c r="D87" s="50" t="s">
        <v>3641</v>
      </c>
      <c r="E87" s="51">
        <v>320.0</v>
      </c>
      <c r="F87" s="52"/>
      <c r="G87" s="53"/>
      <c r="H87" s="55"/>
      <c r="I87" s="55"/>
      <c r="J87" s="53"/>
      <c r="K87" s="53"/>
      <c r="L87" s="55"/>
      <c r="M87" s="53"/>
      <c r="N87" s="74"/>
      <c r="O87" s="57" t="str">
        <f t="shared" si="1"/>
        <v>COMPRAR — faltan 40 m para 4 meses</v>
      </c>
      <c r="P87" s="58">
        <f t="shared" si="2"/>
        <v>320</v>
      </c>
      <c r="Q87" s="1"/>
      <c r="R87" s="1"/>
      <c r="S87" s="1"/>
      <c r="T87" s="1"/>
      <c r="U87" s="1"/>
      <c r="V87" s="1"/>
      <c r="W87" s="1"/>
      <c r="X87" s="60">
        <f>IFERROR(VLOOKUP($A87,Ventas!$A$2:$L$5000,12,FALSE()),"")</f>
        <v>90</v>
      </c>
      <c r="Y87" s="60">
        <f t="shared" si="3"/>
        <v>360</v>
      </c>
      <c r="Z87" s="61">
        <f t="shared" si="4"/>
        <v>3.6</v>
      </c>
      <c r="AA87" s="60">
        <f t="shared" si="5"/>
        <v>40</v>
      </c>
      <c r="AB87" s="62" t="str">
        <f t="shared" si="6"/>
        <v/>
      </c>
      <c r="AC87" s="62" t="str">
        <f t="array" ref="AC87">IF(AH87&lt;&gt;"COMPRAR","",IF(MAX(INDEX(Ventas!$G$2:$G$5000,MATCH($A87,Ventas!$A$2:$A$5000,0)),INDEX(Ventas!$H$2:$H$5000,MATCH($A87,Ventas!$A$2:$A$5000,0)),INDEX(Ventas!$I$2:$I$5000,MATCH($A87,Ventas!$A$2:$A$5000,0)),INDEX(Ventas!$J$2:$J$5000,MATCH($A87,Ventas!$A$2:$A$5000,0)))&gt;0.5*AF87*4,"1 mes = "&amp;TEXT(MAX(INDEX(Ventas!$G$2:$G$5000,MATCH($A87,Ventas!$A$2:$A$5000,0)),INDEX(Ventas!$H$2:$H$5000,MATCH($A87,Ventas!$A$2:$A$5000,0)),INDEX(Ventas!$I$2:$I$5000,MATCH($A87,Ventas!$A$2:$A$5000,0)),INDEX(Ventas!$J$2:$J$5000,MATCH($A87,Ventas!$A$2:$A$5000,0)))/(AF87*4),"0%")&amp;" de 4 meses",""))</f>
        <v/>
      </c>
      <c r="AD87" s="62" t="str">
        <f t="shared" si="7"/>
        <v/>
      </c>
      <c r="AE87" s="62" t="str">
        <f t="array" ref="AE87">IF(X87="","",IF(AND(E87=0,AVERAGE(INDEX(Ventas!$C$2:$I$5000,MATCH($A87,Ventas!$A$2:$A$5000,0),0))&gt;0,INDEX(Ventas!$J$2:$J$5000,MATCH($A87,Ventas!$A$2:$A$5000,0))&lt;0.5*AVERAGE(INDEX(Ventas!$C$2:$I$5000,MATCH($A87,Ventas!$A$2:$A$5000,0),0))),"SÍ — stock 0 y Sep cayó (prom Feb-Ago "&amp;TEXT(AVERAGE(INDEX(Ventas!$C$2:$I$5000,MATCH($A87,Ventas!$A$2:$A$5000,0),0)),"#,##0")&amp;")",""))</f>
        <v/>
      </c>
      <c r="AF87" s="60">
        <f t="array" ref="AF87">IF(X87="","",IF(AE87&lt;&gt;"",MAX(X87,AVERAGE(INDEX(Ventas!$C$2:$I$5000,MATCH($A87,Ventas!$A$2:$A$5000,0),0))),X87))</f>
        <v>90</v>
      </c>
      <c r="AG87" s="60">
        <f t="shared" si="8"/>
        <v>40</v>
      </c>
      <c r="AH87" s="63" t="str">
        <f t="shared" si="9"/>
        <v>COMPRAR</v>
      </c>
    </row>
    <row r="88" ht="13.5" customHeight="1">
      <c r="A88" s="64" t="s">
        <v>3043</v>
      </c>
      <c r="B88" s="65" t="s">
        <v>183</v>
      </c>
      <c r="C88" s="65" t="s">
        <v>3636</v>
      </c>
      <c r="D88" s="65" t="s">
        <v>3642</v>
      </c>
      <c r="E88" s="51">
        <v>536.0</v>
      </c>
      <c r="F88" s="66"/>
      <c r="G88" s="53"/>
      <c r="H88" s="39"/>
      <c r="I88" s="55"/>
      <c r="J88" s="53"/>
      <c r="K88" s="53"/>
      <c r="L88" s="55"/>
      <c r="M88" s="53"/>
      <c r="N88" s="73"/>
      <c r="O88" s="57" t="str">
        <f t="shared" si="1"/>
        <v>SOBRESTOCK — 8.9 meses de cobertura</v>
      </c>
      <c r="P88" s="58">
        <f t="shared" si="2"/>
        <v>536</v>
      </c>
      <c r="Q88" s="1"/>
      <c r="R88" s="1"/>
      <c r="S88" s="1"/>
      <c r="T88" s="1"/>
      <c r="U88" s="1"/>
      <c r="V88" s="1"/>
      <c r="W88" s="1"/>
      <c r="X88" s="60">
        <f>IFERROR(VLOOKUP($A88,Ventas!$A$2:$L$5000,12,FALSE()),"")</f>
        <v>60</v>
      </c>
      <c r="Y88" s="60">
        <f t="shared" si="3"/>
        <v>240</v>
      </c>
      <c r="Z88" s="61">
        <f t="shared" si="4"/>
        <v>8.9</v>
      </c>
      <c r="AA88" s="60">
        <f t="shared" si="5"/>
        <v>-296</v>
      </c>
      <c r="AB88" s="62" t="str">
        <f t="shared" si="6"/>
        <v/>
      </c>
      <c r="AC88" s="62" t="str">
        <f t="array" ref="AC88">IF(AH88&lt;&gt;"COMPRAR","",IF(MAX(INDEX(Ventas!$G$2:$G$5000,MATCH($A88,Ventas!$A$2:$A$5000,0)),INDEX(Ventas!$H$2:$H$5000,MATCH($A88,Ventas!$A$2:$A$5000,0)),INDEX(Ventas!$I$2:$I$5000,MATCH($A88,Ventas!$A$2:$A$5000,0)),INDEX(Ventas!$J$2:$J$5000,MATCH($A88,Ventas!$A$2:$A$5000,0)))&gt;0.5*AF88*4,"1 mes = "&amp;TEXT(MAX(INDEX(Ventas!$G$2:$G$5000,MATCH($A88,Ventas!$A$2:$A$5000,0)),INDEX(Ventas!$H$2:$H$5000,MATCH($A88,Ventas!$A$2:$A$5000,0)),INDEX(Ventas!$I$2:$I$5000,MATCH($A88,Ventas!$A$2:$A$5000,0)),INDEX(Ventas!$J$2:$J$5000,MATCH($A88,Ventas!$A$2:$A$5000,0)))/(AF88*4),"0%")&amp;" de 4 meses",""))</f>
        <v/>
      </c>
      <c r="AD88" s="62" t="str">
        <f t="shared" si="7"/>
        <v/>
      </c>
      <c r="AE88" s="62" t="str">
        <f t="array" ref="AE88">IF(X88="","",IF(AND(E88=0,AVERAGE(INDEX(Ventas!$C$2:$I$5000,MATCH($A88,Ventas!$A$2:$A$5000,0),0))&gt;0,INDEX(Ventas!$J$2:$J$5000,MATCH($A88,Ventas!$A$2:$A$5000,0))&lt;0.5*AVERAGE(INDEX(Ventas!$C$2:$I$5000,MATCH($A88,Ventas!$A$2:$A$5000,0),0))),"SÍ — stock 0 y Sep cayó (prom Feb-Ago "&amp;TEXT(AVERAGE(INDEX(Ventas!$C$2:$I$5000,MATCH($A88,Ventas!$A$2:$A$5000,0),0)),"#,##0")&amp;")",""))</f>
        <v/>
      </c>
      <c r="AF88" s="60">
        <f t="array" ref="AF88">IF(X88="","",IF(AE88&lt;&gt;"",MAX(X88,AVERAGE(INDEX(Ventas!$C$2:$I$5000,MATCH($A88,Ventas!$A$2:$A$5000,0),0))),X88))</f>
        <v>60</v>
      </c>
      <c r="AG88" s="60">
        <f t="shared" si="8"/>
        <v>-296</v>
      </c>
      <c r="AH88" s="63" t="str">
        <f t="shared" si="9"/>
        <v>SOBRESTOCK</v>
      </c>
    </row>
    <row r="89" ht="13.5" customHeight="1">
      <c r="A89" s="49" t="s">
        <v>3031</v>
      </c>
      <c r="B89" s="50" t="s">
        <v>183</v>
      </c>
      <c r="C89" s="50" t="s">
        <v>3636</v>
      </c>
      <c r="D89" s="50" t="s">
        <v>2572</v>
      </c>
      <c r="E89" s="51">
        <v>0.0</v>
      </c>
      <c r="F89" s="52"/>
      <c r="G89" s="53"/>
      <c r="H89" s="55"/>
      <c r="I89" s="55"/>
      <c r="J89" s="53"/>
      <c r="K89" s="53"/>
      <c r="L89" s="55"/>
      <c r="M89" s="53"/>
      <c r="N89" s="74"/>
      <c r="O89" s="57" t="str">
        <f t="shared" si="1"/>
        <v>COMPRAR — faltan 679 m para 4 meses</v>
      </c>
      <c r="P89" s="58">
        <f t="shared" si="2"/>
        <v>0</v>
      </c>
      <c r="Q89" s="1"/>
      <c r="R89" s="1"/>
      <c r="S89" s="1"/>
      <c r="T89" s="1"/>
      <c r="U89" s="1"/>
      <c r="V89" s="1"/>
      <c r="W89" s="1"/>
      <c r="X89" s="60">
        <f>IFERROR(VLOOKUP($A89,Ventas!$A$2:$L$5000,12,FALSE()),"")</f>
        <v>169.75</v>
      </c>
      <c r="Y89" s="60">
        <f t="shared" si="3"/>
        <v>679</v>
      </c>
      <c r="Z89" s="61">
        <f t="shared" si="4"/>
        <v>0</v>
      </c>
      <c r="AA89" s="60">
        <f t="shared" si="5"/>
        <v>679</v>
      </c>
      <c r="AB89" s="62" t="str">
        <f t="shared" si="6"/>
        <v/>
      </c>
      <c r="AC89" s="62" t="str">
        <f t="array" ref="AC89">IF(AH89&lt;&gt;"COMPRAR","",IF(MAX(INDEX(Ventas!$G$2:$G$5000,MATCH($A89,Ventas!$A$2:$A$5000,0)),INDEX(Ventas!$H$2:$H$5000,MATCH($A89,Ventas!$A$2:$A$5000,0)),INDEX(Ventas!$I$2:$I$5000,MATCH($A89,Ventas!$A$2:$A$5000,0)),INDEX(Ventas!$J$2:$J$5000,MATCH($A89,Ventas!$A$2:$A$5000,0)))&gt;0.5*AF89*4,"1 mes = "&amp;TEXT(MAX(INDEX(Ventas!$G$2:$G$5000,MATCH($A89,Ventas!$A$2:$A$5000,0)),INDEX(Ventas!$H$2:$H$5000,MATCH($A89,Ventas!$A$2:$A$5000,0)),INDEX(Ventas!$I$2:$I$5000,MATCH($A89,Ventas!$A$2:$A$5000,0)),INDEX(Ventas!$J$2:$J$5000,MATCH($A89,Ventas!$A$2:$A$5000,0)))/(AF89*4),"0%")&amp;" de 4 meses",""))</f>
        <v/>
      </c>
      <c r="AD89" s="62" t="str">
        <f t="shared" si="7"/>
        <v>SÍ — 0 m vs 90 m</v>
      </c>
      <c r="AE89" s="62" t="str">
        <f t="array" ref="AE89">IF(X89="","",IF(AND(E89=0,AVERAGE(INDEX(Ventas!$C$2:$I$5000,MATCH($A89,Ventas!$A$2:$A$5000,0),0))&gt;0,INDEX(Ventas!$J$2:$J$5000,MATCH($A89,Ventas!$A$2:$A$5000,0))&lt;0.5*AVERAGE(INDEX(Ventas!$C$2:$I$5000,MATCH($A89,Ventas!$A$2:$A$5000,0),0))),"SÍ — stock 0 y Sep cayó (prom Feb-Ago "&amp;TEXT(AVERAGE(INDEX(Ventas!$C$2:$I$5000,MATCH($A89,Ventas!$A$2:$A$5000,0),0)),"#,##0")&amp;")",""))</f>
        <v/>
      </c>
      <c r="AF89" s="60">
        <f t="array" ref="AF89">IF(X89="","",IF(AE89&lt;&gt;"",MAX(X89,AVERAGE(INDEX(Ventas!$C$2:$I$5000,MATCH($A89,Ventas!$A$2:$A$5000,0),0))),X89))</f>
        <v>169.75</v>
      </c>
      <c r="AG89" s="60">
        <f t="shared" si="8"/>
        <v>679</v>
      </c>
      <c r="AH89" s="63" t="str">
        <f t="shared" si="9"/>
        <v>COMPRAR</v>
      </c>
    </row>
    <row r="90" ht="13.5" customHeight="1">
      <c r="A90" s="64" t="s">
        <v>3019</v>
      </c>
      <c r="B90" s="65" t="s">
        <v>183</v>
      </c>
      <c r="C90" s="65" t="s">
        <v>3636</v>
      </c>
      <c r="D90" s="65" t="s">
        <v>2820</v>
      </c>
      <c r="E90" s="51">
        <v>447.0</v>
      </c>
      <c r="F90" s="66"/>
      <c r="G90" s="53"/>
      <c r="H90" s="55"/>
      <c r="I90" s="55"/>
      <c r="J90" s="53"/>
      <c r="K90" s="53"/>
      <c r="L90" s="55"/>
      <c r="M90" s="53"/>
      <c r="N90" s="73"/>
      <c r="O90" s="57" t="str">
        <f t="shared" si="1"/>
        <v>OK — cubierto (7.1 meses)</v>
      </c>
      <c r="P90" s="58">
        <f t="shared" si="2"/>
        <v>447</v>
      </c>
      <c r="Q90" s="1"/>
      <c r="R90" s="1"/>
      <c r="S90" s="1"/>
      <c r="T90" s="1"/>
      <c r="U90" s="1"/>
      <c r="V90" s="1"/>
      <c r="W90" s="1"/>
      <c r="X90" s="60">
        <f>IFERROR(VLOOKUP($A90,Ventas!$A$2:$L$5000,12,FALSE()),"")</f>
        <v>63.25</v>
      </c>
      <c r="Y90" s="60">
        <f t="shared" si="3"/>
        <v>253</v>
      </c>
      <c r="Z90" s="61">
        <f t="shared" si="4"/>
        <v>7.1</v>
      </c>
      <c r="AA90" s="60">
        <f t="shared" si="5"/>
        <v>-194</v>
      </c>
      <c r="AB90" s="62" t="str">
        <f t="shared" si="6"/>
        <v/>
      </c>
      <c r="AC90" s="62" t="str">
        <f t="array" ref="AC90">IF(AH90&lt;&gt;"COMPRAR","",IF(MAX(INDEX(Ventas!$G$2:$G$5000,MATCH($A90,Ventas!$A$2:$A$5000,0)),INDEX(Ventas!$H$2:$H$5000,MATCH($A90,Ventas!$A$2:$A$5000,0)),INDEX(Ventas!$I$2:$I$5000,MATCH($A90,Ventas!$A$2:$A$5000,0)),INDEX(Ventas!$J$2:$J$5000,MATCH($A90,Ventas!$A$2:$A$5000,0)))&gt;0.5*AF90*4,"1 mes = "&amp;TEXT(MAX(INDEX(Ventas!$G$2:$G$5000,MATCH($A90,Ventas!$A$2:$A$5000,0)),INDEX(Ventas!$H$2:$H$5000,MATCH($A90,Ventas!$A$2:$A$5000,0)),INDEX(Ventas!$I$2:$I$5000,MATCH($A90,Ventas!$A$2:$A$5000,0)),INDEX(Ventas!$J$2:$J$5000,MATCH($A90,Ventas!$A$2:$A$5000,0)))/(AF90*4),"0%")&amp;" de 4 meses",""))</f>
        <v/>
      </c>
      <c r="AD90" s="62" t="str">
        <f t="shared" si="7"/>
        <v/>
      </c>
      <c r="AE90" s="62" t="str">
        <f t="array" ref="AE90">IF(X90="","",IF(AND(E90=0,AVERAGE(INDEX(Ventas!$C$2:$I$5000,MATCH($A90,Ventas!$A$2:$A$5000,0),0))&gt;0,INDEX(Ventas!$J$2:$J$5000,MATCH($A90,Ventas!$A$2:$A$5000,0))&lt;0.5*AVERAGE(INDEX(Ventas!$C$2:$I$5000,MATCH($A90,Ventas!$A$2:$A$5000,0),0))),"SÍ — stock 0 y Sep cayó (prom Feb-Ago "&amp;TEXT(AVERAGE(INDEX(Ventas!$C$2:$I$5000,MATCH($A90,Ventas!$A$2:$A$5000,0),0)),"#,##0")&amp;")",""))</f>
        <v/>
      </c>
      <c r="AF90" s="60">
        <f t="array" ref="AF90">IF(X90="","",IF(AE90&lt;&gt;"",MAX(X90,AVERAGE(INDEX(Ventas!$C$2:$I$5000,MATCH($A90,Ventas!$A$2:$A$5000,0),0))),X90))</f>
        <v>63.25</v>
      </c>
      <c r="AG90" s="60">
        <f t="shared" si="8"/>
        <v>-194</v>
      </c>
      <c r="AH90" s="63" t="str">
        <f t="shared" si="9"/>
        <v>OK</v>
      </c>
    </row>
    <row r="91" ht="13.5" customHeight="1">
      <c r="A91" s="49" t="s">
        <v>3021</v>
      </c>
      <c r="B91" s="50" t="s">
        <v>183</v>
      </c>
      <c r="C91" s="50" t="s">
        <v>3636</v>
      </c>
      <c r="D91" s="50" t="s">
        <v>1009</v>
      </c>
      <c r="E91" s="51">
        <v>2320.0</v>
      </c>
      <c r="F91" s="52"/>
      <c r="G91" s="53"/>
      <c r="H91" s="55"/>
      <c r="I91" s="55"/>
      <c r="J91" s="53"/>
      <c r="K91" s="53"/>
      <c r="L91" s="55">
        <v>1000.0</v>
      </c>
      <c r="M91" s="53"/>
      <c r="N91" s="74"/>
      <c r="O91" s="57" t="str">
        <f t="shared" si="1"/>
        <v>COMPRAR — faltan 551 m para 4 meses (ya contando pedidos)</v>
      </c>
      <c r="P91" s="58">
        <f t="shared" si="2"/>
        <v>3320</v>
      </c>
      <c r="Q91" s="1"/>
      <c r="R91" s="1"/>
      <c r="S91" s="1"/>
      <c r="T91" s="1"/>
      <c r="U91" s="1"/>
      <c r="V91" s="1"/>
      <c r="W91" s="1"/>
      <c r="X91" s="60">
        <f>IFERROR(VLOOKUP($A91,Ventas!$A$2:$L$5000,12,FALSE()),"")</f>
        <v>967.75</v>
      </c>
      <c r="Y91" s="60">
        <f t="shared" si="3"/>
        <v>3871</v>
      </c>
      <c r="Z91" s="61">
        <f t="shared" si="4"/>
        <v>3.4</v>
      </c>
      <c r="AA91" s="60">
        <f t="shared" si="5"/>
        <v>551</v>
      </c>
      <c r="AB91" s="62" t="str">
        <f t="shared" si="6"/>
        <v/>
      </c>
      <c r="AC91" s="62" t="str">
        <f t="array" ref="AC91">IF(AH91&lt;&gt;"COMPRAR","",IF(MAX(INDEX(Ventas!$G$2:$G$5000,MATCH($A91,Ventas!$A$2:$A$5000,0)),INDEX(Ventas!$H$2:$H$5000,MATCH($A91,Ventas!$A$2:$A$5000,0)),INDEX(Ventas!$I$2:$I$5000,MATCH($A91,Ventas!$A$2:$A$5000,0)),INDEX(Ventas!$J$2:$J$5000,MATCH($A91,Ventas!$A$2:$A$5000,0)))&gt;0.5*AF91*4,"1 mes = "&amp;TEXT(MAX(INDEX(Ventas!$G$2:$G$5000,MATCH($A91,Ventas!$A$2:$A$5000,0)),INDEX(Ventas!$H$2:$H$5000,MATCH($A91,Ventas!$A$2:$A$5000,0)),INDEX(Ventas!$I$2:$I$5000,MATCH($A91,Ventas!$A$2:$A$5000,0)),INDEX(Ventas!$J$2:$J$5000,MATCH($A91,Ventas!$A$2:$A$5000,0)))/(AF91*4),"0%")&amp;" de 4 meses",""))</f>
        <v/>
      </c>
      <c r="AD91" s="62" t="str">
        <f t="shared" si="7"/>
        <v/>
      </c>
      <c r="AE91" s="62" t="str">
        <f t="array" ref="AE91">IF(X91="","",IF(AND(E91=0,AVERAGE(INDEX(Ventas!$C$2:$I$5000,MATCH($A91,Ventas!$A$2:$A$5000,0),0))&gt;0,INDEX(Ventas!$J$2:$J$5000,MATCH($A91,Ventas!$A$2:$A$5000,0))&lt;0.5*AVERAGE(INDEX(Ventas!$C$2:$I$5000,MATCH($A91,Ventas!$A$2:$A$5000,0),0))),"SÍ — stock 0 y Sep cayó (prom Feb-Ago "&amp;TEXT(AVERAGE(INDEX(Ventas!$C$2:$I$5000,MATCH($A91,Ventas!$A$2:$A$5000,0),0)),"#,##0")&amp;")",""))</f>
        <v/>
      </c>
      <c r="AF91" s="60">
        <f t="array" ref="AF91">IF(X91="","",IF(AE91&lt;&gt;"",MAX(X91,AVERAGE(INDEX(Ventas!$C$2:$I$5000,MATCH($A91,Ventas!$A$2:$A$5000,0),0))),X91))</f>
        <v>967.75</v>
      </c>
      <c r="AG91" s="60">
        <f t="shared" si="8"/>
        <v>551</v>
      </c>
      <c r="AH91" s="63" t="str">
        <f t="shared" si="9"/>
        <v>COMPRAR</v>
      </c>
    </row>
    <row r="92" ht="13.5" customHeight="1">
      <c r="A92" s="64" t="s">
        <v>3029</v>
      </c>
      <c r="B92" s="65" t="s">
        <v>183</v>
      </c>
      <c r="C92" s="65" t="s">
        <v>3636</v>
      </c>
      <c r="D92" s="65" t="s">
        <v>3625</v>
      </c>
      <c r="E92" s="51">
        <v>320.0</v>
      </c>
      <c r="F92" s="66"/>
      <c r="G92" s="53"/>
      <c r="H92" s="55"/>
      <c r="I92" s="55"/>
      <c r="J92" s="53"/>
      <c r="K92" s="53"/>
      <c r="L92" s="55"/>
      <c r="M92" s="53"/>
      <c r="N92" s="73"/>
      <c r="O92" s="57" t="str">
        <f t="shared" si="1"/>
        <v>OK — cubierto (5.3 meses)</v>
      </c>
      <c r="P92" s="58">
        <f t="shared" si="2"/>
        <v>320</v>
      </c>
      <c r="Q92" s="1"/>
      <c r="R92" s="1"/>
      <c r="S92" s="1"/>
      <c r="T92" s="1"/>
      <c r="U92" s="1"/>
      <c r="V92" s="1"/>
      <c r="W92" s="1"/>
      <c r="X92" s="60">
        <f>IFERROR(VLOOKUP($A92,Ventas!$A$2:$L$5000,12,FALSE()),"")</f>
        <v>60</v>
      </c>
      <c r="Y92" s="60">
        <f t="shared" si="3"/>
        <v>240</v>
      </c>
      <c r="Z92" s="61">
        <f t="shared" si="4"/>
        <v>5.3</v>
      </c>
      <c r="AA92" s="60">
        <f t="shared" si="5"/>
        <v>-80</v>
      </c>
      <c r="AB92" s="62" t="str">
        <f t="shared" si="6"/>
        <v/>
      </c>
      <c r="AC92" s="62" t="str">
        <f t="array" ref="AC92">IF(AH92&lt;&gt;"COMPRAR","",IF(MAX(INDEX(Ventas!$G$2:$G$5000,MATCH($A92,Ventas!$A$2:$A$5000,0)),INDEX(Ventas!$H$2:$H$5000,MATCH($A92,Ventas!$A$2:$A$5000,0)),INDEX(Ventas!$I$2:$I$5000,MATCH($A92,Ventas!$A$2:$A$5000,0)),INDEX(Ventas!$J$2:$J$5000,MATCH($A92,Ventas!$A$2:$A$5000,0)))&gt;0.5*AF92*4,"1 mes = "&amp;TEXT(MAX(INDEX(Ventas!$G$2:$G$5000,MATCH($A92,Ventas!$A$2:$A$5000,0)),INDEX(Ventas!$H$2:$H$5000,MATCH($A92,Ventas!$A$2:$A$5000,0)),INDEX(Ventas!$I$2:$I$5000,MATCH($A92,Ventas!$A$2:$A$5000,0)),INDEX(Ventas!$J$2:$J$5000,MATCH($A92,Ventas!$A$2:$A$5000,0)))/(AF92*4),"0%")&amp;" de 4 meses",""))</f>
        <v/>
      </c>
      <c r="AD92" s="62" t="str">
        <f t="shared" si="7"/>
        <v/>
      </c>
      <c r="AE92" s="62" t="str">
        <f t="array" ref="AE92">IF(X92="","",IF(AND(E92=0,AVERAGE(INDEX(Ventas!$C$2:$I$5000,MATCH($A92,Ventas!$A$2:$A$5000,0),0))&gt;0,INDEX(Ventas!$J$2:$J$5000,MATCH($A92,Ventas!$A$2:$A$5000,0))&lt;0.5*AVERAGE(INDEX(Ventas!$C$2:$I$5000,MATCH($A92,Ventas!$A$2:$A$5000,0),0))),"SÍ — stock 0 y Sep cayó (prom Feb-Ago "&amp;TEXT(AVERAGE(INDEX(Ventas!$C$2:$I$5000,MATCH($A92,Ventas!$A$2:$A$5000,0),0)),"#,##0")&amp;")",""))</f>
        <v/>
      </c>
      <c r="AF92" s="60">
        <f t="array" ref="AF92">IF(X92="","",IF(AE92&lt;&gt;"",MAX(X92,AVERAGE(INDEX(Ventas!$C$2:$I$5000,MATCH($A92,Ventas!$A$2:$A$5000,0),0))),X92))</f>
        <v>60</v>
      </c>
      <c r="AG92" s="60">
        <f t="shared" si="8"/>
        <v>-80</v>
      </c>
      <c r="AH92" s="63" t="str">
        <f t="shared" si="9"/>
        <v>OK</v>
      </c>
    </row>
    <row r="93" ht="13.5" customHeight="1">
      <c r="A93" s="49" t="s">
        <v>3015</v>
      </c>
      <c r="B93" s="50" t="s">
        <v>183</v>
      </c>
      <c r="C93" s="50" t="s">
        <v>3636</v>
      </c>
      <c r="D93" s="50" t="s">
        <v>590</v>
      </c>
      <c r="E93" s="51">
        <v>761.0</v>
      </c>
      <c r="F93" s="52"/>
      <c r="G93" s="53"/>
      <c r="H93" s="55"/>
      <c r="I93" s="55"/>
      <c r="J93" s="53"/>
      <c r="K93" s="53"/>
      <c r="L93" s="55"/>
      <c r="M93" s="53"/>
      <c r="N93" s="74"/>
      <c r="O93" s="57" t="str">
        <f t="shared" si="1"/>
        <v>OK — cubierto (6.1 meses)</v>
      </c>
      <c r="P93" s="58">
        <f t="shared" si="2"/>
        <v>761</v>
      </c>
      <c r="Q93" s="1"/>
      <c r="R93" s="1"/>
      <c r="S93" s="1"/>
      <c r="T93" s="1"/>
      <c r="U93" s="1"/>
      <c r="V93" s="1"/>
      <c r="W93" s="1"/>
      <c r="X93" s="60">
        <f>IFERROR(VLOOKUP($A93,Ventas!$A$2:$L$5000,12,FALSE()),"")</f>
        <v>124</v>
      </c>
      <c r="Y93" s="60">
        <f t="shared" si="3"/>
        <v>496</v>
      </c>
      <c r="Z93" s="61">
        <f t="shared" si="4"/>
        <v>6.1</v>
      </c>
      <c r="AA93" s="60">
        <f t="shared" si="5"/>
        <v>-265</v>
      </c>
      <c r="AB93" s="62" t="str">
        <f t="shared" si="6"/>
        <v/>
      </c>
      <c r="AC93" s="62" t="str">
        <f t="array" ref="AC93">IF(AH93&lt;&gt;"COMPRAR","",IF(MAX(INDEX(Ventas!$G$2:$G$5000,MATCH($A93,Ventas!$A$2:$A$5000,0)),INDEX(Ventas!$H$2:$H$5000,MATCH($A93,Ventas!$A$2:$A$5000,0)),INDEX(Ventas!$I$2:$I$5000,MATCH($A93,Ventas!$A$2:$A$5000,0)),INDEX(Ventas!$J$2:$J$5000,MATCH($A93,Ventas!$A$2:$A$5000,0)))&gt;0.5*AF93*4,"1 mes = "&amp;TEXT(MAX(INDEX(Ventas!$G$2:$G$5000,MATCH($A93,Ventas!$A$2:$A$5000,0)),INDEX(Ventas!$H$2:$H$5000,MATCH($A93,Ventas!$A$2:$A$5000,0)),INDEX(Ventas!$I$2:$I$5000,MATCH($A93,Ventas!$A$2:$A$5000,0)),INDEX(Ventas!$J$2:$J$5000,MATCH($A93,Ventas!$A$2:$A$5000,0)))/(AF93*4),"0%")&amp;" de 4 meses",""))</f>
        <v/>
      </c>
      <c r="AD93" s="62" t="str">
        <f t="shared" si="7"/>
        <v/>
      </c>
      <c r="AE93" s="62" t="str">
        <f t="array" ref="AE93">IF(X93="","",IF(AND(E93=0,AVERAGE(INDEX(Ventas!$C$2:$I$5000,MATCH($A93,Ventas!$A$2:$A$5000,0),0))&gt;0,INDEX(Ventas!$J$2:$J$5000,MATCH($A93,Ventas!$A$2:$A$5000,0))&lt;0.5*AVERAGE(INDEX(Ventas!$C$2:$I$5000,MATCH($A93,Ventas!$A$2:$A$5000,0),0))),"SÍ — stock 0 y Sep cayó (prom Feb-Ago "&amp;TEXT(AVERAGE(INDEX(Ventas!$C$2:$I$5000,MATCH($A93,Ventas!$A$2:$A$5000,0),0)),"#,##0")&amp;")",""))</f>
        <v/>
      </c>
      <c r="AF93" s="60">
        <f t="array" ref="AF93">IF(X93="","",IF(AE93&lt;&gt;"",MAX(X93,AVERAGE(INDEX(Ventas!$C$2:$I$5000,MATCH($A93,Ventas!$A$2:$A$5000,0),0))),X93))</f>
        <v>124</v>
      </c>
      <c r="AG93" s="60">
        <f t="shared" si="8"/>
        <v>-265</v>
      </c>
      <c r="AH93" s="63" t="str">
        <f t="shared" si="9"/>
        <v>OK</v>
      </c>
    </row>
    <row r="94" ht="13.5" customHeight="1">
      <c r="A94" s="64" t="s">
        <v>3039</v>
      </c>
      <c r="B94" s="65" t="s">
        <v>183</v>
      </c>
      <c r="C94" s="65" t="s">
        <v>3636</v>
      </c>
      <c r="D94" s="65" t="s">
        <v>3643</v>
      </c>
      <c r="E94" s="51">
        <v>480.0</v>
      </c>
      <c r="F94" s="66"/>
      <c r="G94" s="53"/>
      <c r="H94" s="55"/>
      <c r="I94" s="55"/>
      <c r="J94" s="53"/>
      <c r="K94" s="53"/>
      <c r="L94" s="55"/>
      <c r="M94" s="53"/>
      <c r="N94" s="73"/>
      <c r="O94" s="57" t="str">
        <f t="shared" si="1"/>
        <v>SOBRESTOCK — 46.3 meses de cobertura</v>
      </c>
      <c r="P94" s="58">
        <f t="shared" si="2"/>
        <v>480</v>
      </c>
      <c r="Q94" s="1"/>
      <c r="R94" s="1"/>
      <c r="S94" s="1"/>
      <c r="T94" s="1"/>
      <c r="U94" s="1"/>
      <c r="V94" s="1"/>
      <c r="W94" s="1"/>
      <c r="X94" s="60">
        <f>IFERROR(VLOOKUP($A94,Ventas!$A$2:$L$5000,12,FALSE()),"")</f>
        <v>10.375</v>
      </c>
      <c r="Y94" s="60">
        <f t="shared" si="3"/>
        <v>42</v>
      </c>
      <c r="Z94" s="61">
        <f t="shared" si="4"/>
        <v>46.3</v>
      </c>
      <c r="AA94" s="60">
        <f t="shared" si="5"/>
        <v>-438</v>
      </c>
      <c r="AB94" s="62" t="str">
        <f t="shared" si="6"/>
        <v/>
      </c>
      <c r="AC94" s="62" t="str">
        <f t="array" ref="AC94">IF(AH94&lt;&gt;"COMPRAR","",IF(MAX(INDEX(Ventas!$G$2:$G$5000,MATCH($A94,Ventas!$A$2:$A$5000,0)),INDEX(Ventas!$H$2:$H$5000,MATCH($A94,Ventas!$A$2:$A$5000,0)),INDEX(Ventas!$I$2:$I$5000,MATCH($A94,Ventas!$A$2:$A$5000,0)),INDEX(Ventas!$J$2:$J$5000,MATCH($A94,Ventas!$A$2:$A$5000,0)))&gt;0.5*AF94*4,"1 mes = "&amp;TEXT(MAX(INDEX(Ventas!$G$2:$G$5000,MATCH($A94,Ventas!$A$2:$A$5000,0)),INDEX(Ventas!$H$2:$H$5000,MATCH($A94,Ventas!$A$2:$A$5000,0)),INDEX(Ventas!$I$2:$I$5000,MATCH($A94,Ventas!$A$2:$A$5000,0)),INDEX(Ventas!$J$2:$J$5000,MATCH($A94,Ventas!$A$2:$A$5000,0)))/(AF94*4),"0%")&amp;" de 4 meses",""))</f>
        <v/>
      </c>
      <c r="AD94" s="62" t="str">
        <f t="shared" si="7"/>
        <v/>
      </c>
      <c r="AE94" s="62" t="str">
        <f t="array" ref="AE94">IF(X94="","",IF(AND(E94=0,AVERAGE(INDEX(Ventas!$C$2:$I$5000,MATCH($A94,Ventas!$A$2:$A$5000,0),0))&gt;0,INDEX(Ventas!$J$2:$J$5000,MATCH($A94,Ventas!$A$2:$A$5000,0))&lt;0.5*AVERAGE(INDEX(Ventas!$C$2:$I$5000,MATCH($A94,Ventas!$A$2:$A$5000,0),0))),"SÍ — stock 0 y Sep cayó (prom Feb-Ago "&amp;TEXT(AVERAGE(INDEX(Ventas!$C$2:$I$5000,MATCH($A94,Ventas!$A$2:$A$5000,0),0)),"#,##0")&amp;")",""))</f>
        <v/>
      </c>
      <c r="AF94" s="60">
        <f t="array" ref="AF94">IF(X94="","",IF(AE94&lt;&gt;"",MAX(X94,AVERAGE(INDEX(Ventas!$C$2:$I$5000,MATCH($A94,Ventas!$A$2:$A$5000,0),0))),X94))</f>
        <v>10.375</v>
      </c>
      <c r="AG94" s="60">
        <f t="shared" si="8"/>
        <v>-438</v>
      </c>
      <c r="AH94" s="63" t="str">
        <f t="shared" si="9"/>
        <v>SOBRESTOCK</v>
      </c>
    </row>
    <row r="95" ht="13.5" customHeight="1">
      <c r="A95" s="49" t="s">
        <v>3035</v>
      </c>
      <c r="B95" s="50" t="s">
        <v>183</v>
      </c>
      <c r="C95" s="50" t="s">
        <v>3636</v>
      </c>
      <c r="D95" s="50" t="s">
        <v>3644</v>
      </c>
      <c r="E95" s="51">
        <v>50.0</v>
      </c>
      <c r="F95" s="52"/>
      <c r="G95" s="53"/>
      <c r="H95" s="55"/>
      <c r="I95" s="55"/>
      <c r="J95" s="53"/>
      <c r="K95" s="53"/>
      <c r="L95" s="55"/>
      <c r="M95" s="53"/>
      <c r="N95" s="74"/>
      <c r="O95" s="57" t="str">
        <f t="shared" si="1"/>
        <v>COMPRAR — faltan 150 m para 4 meses</v>
      </c>
      <c r="P95" s="58">
        <f t="shared" si="2"/>
        <v>50</v>
      </c>
      <c r="Q95" s="1"/>
      <c r="R95" s="1"/>
      <c r="S95" s="1"/>
      <c r="T95" s="1"/>
      <c r="U95" s="1"/>
      <c r="V95" s="1"/>
      <c r="W95" s="1"/>
      <c r="X95" s="60">
        <f>IFERROR(VLOOKUP($A95,Ventas!$A$2:$L$5000,12,FALSE()),"")</f>
        <v>50</v>
      </c>
      <c r="Y95" s="60">
        <f t="shared" si="3"/>
        <v>200</v>
      </c>
      <c r="Z95" s="61">
        <f t="shared" si="4"/>
        <v>1</v>
      </c>
      <c r="AA95" s="60">
        <f t="shared" si="5"/>
        <v>150</v>
      </c>
      <c r="AB95" s="62" t="str">
        <f t="shared" si="6"/>
        <v/>
      </c>
      <c r="AC95" s="62" t="str">
        <f t="array" ref="AC95">IF(AH95&lt;&gt;"COMPRAR","",IF(MAX(INDEX(Ventas!$G$2:$G$5000,MATCH($A95,Ventas!$A$2:$A$5000,0)),INDEX(Ventas!$H$2:$H$5000,MATCH($A95,Ventas!$A$2:$A$5000,0)),INDEX(Ventas!$I$2:$I$5000,MATCH($A95,Ventas!$A$2:$A$5000,0)),INDEX(Ventas!$J$2:$J$5000,MATCH($A95,Ventas!$A$2:$A$5000,0)))&gt;0.5*AF95*4,"1 mes = "&amp;TEXT(MAX(INDEX(Ventas!$G$2:$G$5000,MATCH($A95,Ventas!$A$2:$A$5000,0)),INDEX(Ventas!$H$2:$H$5000,MATCH($A95,Ventas!$A$2:$A$5000,0)),INDEX(Ventas!$I$2:$I$5000,MATCH($A95,Ventas!$A$2:$A$5000,0)),INDEX(Ventas!$J$2:$J$5000,MATCH($A95,Ventas!$A$2:$A$5000,0)))/(AF95*4),"0%")&amp;" de 4 meses",""))</f>
        <v/>
      </c>
      <c r="AD95" s="62" t="str">
        <f t="shared" si="7"/>
        <v/>
      </c>
      <c r="AE95" s="62" t="str">
        <f t="array" ref="AE95">IF(X95="","",IF(AND(E95=0,AVERAGE(INDEX(Ventas!$C$2:$I$5000,MATCH($A95,Ventas!$A$2:$A$5000,0),0))&gt;0,INDEX(Ventas!$J$2:$J$5000,MATCH($A95,Ventas!$A$2:$A$5000,0))&lt;0.5*AVERAGE(INDEX(Ventas!$C$2:$I$5000,MATCH($A95,Ventas!$A$2:$A$5000,0),0))),"SÍ — stock 0 y Sep cayó (prom Feb-Ago "&amp;TEXT(AVERAGE(INDEX(Ventas!$C$2:$I$5000,MATCH($A95,Ventas!$A$2:$A$5000,0),0)),"#,##0")&amp;")",""))</f>
        <v/>
      </c>
      <c r="AF95" s="60">
        <f t="array" ref="AF95">IF(X95="","",IF(AE95&lt;&gt;"",MAX(X95,AVERAGE(INDEX(Ventas!$C$2:$I$5000,MATCH($A95,Ventas!$A$2:$A$5000,0),0))),X95))</f>
        <v>50</v>
      </c>
      <c r="AG95" s="60">
        <f t="shared" si="8"/>
        <v>150</v>
      </c>
      <c r="AH95" s="63" t="str">
        <f t="shared" si="9"/>
        <v>COMPRAR</v>
      </c>
    </row>
    <row r="96" ht="13.5" customHeight="1">
      <c r="A96" s="64" t="s">
        <v>3033</v>
      </c>
      <c r="B96" s="65" t="s">
        <v>183</v>
      </c>
      <c r="C96" s="65" t="s">
        <v>3636</v>
      </c>
      <c r="D96" s="65" t="s">
        <v>3645</v>
      </c>
      <c r="E96" s="51">
        <v>800.0</v>
      </c>
      <c r="F96" s="66"/>
      <c r="G96" s="53"/>
      <c r="H96" s="55"/>
      <c r="I96" s="55"/>
      <c r="J96" s="53"/>
      <c r="K96" s="53"/>
      <c r="L96" s="55"/>
      <c r="M96" s="53"/>
      <c r="N96" s="73"/>
      <c r="O96" s="57" t="str">
        <f t="shared" si="1"/>
        <v>SOBRESTOCK — 16.0 meses de cobertura</v>
      </c>
      <c r="P96" s="58">
        <f t="shared" si="2"/>
        <v>800</v>
      </c>
      <c r="Q96" s="1"/>
      <c r="R96" s="1"/>
      <c r="S96" s="1"/>
      <c r="T96" s="1"/>
      <c r="U96" s="1"/>
      <c r="V96" s="1"/>
      <c r="W96" s="1"/>
      <c r="X96" s="60">
        <f>IFERROR(VLOOKUP($A96,Ventas!$A$2:$L$5000,12,FALSE()),"")</f>
        <v>50</v>
      </c>
      <c r="Y96" s="60">
        <f t="shared" si="3"/>
        <v>200</v>
      </c>
      <c r="Z96" s="61">
        <f t="shared" si="4"/>
        <v>16</v>
      </c>
      <c r="AA96" s="60">
        <f t="shared" si="5"/>
        <v>-600</v>
      </c>
      <c r="AB96" s="62" t="str">
        <f t="shared" si="6"/>
        <v/>
      </c>
      <c r="AC96" s="62" t="str">
        <f t="array" ref="AC96">IF(AH96&lt;&gt;"COMPRAR","",IF(MAX(INDEX(Ventas!$G$2:$G$5000,MATCH($A96,Ventas!$A$2:$A$5000,0)),INDEX(Ventas!$H$2:$H$5000,MATCH($A96,Ventas!$A$2:$A$5000,0)),INDEX(Ventas!$I$2:$I$5000,MATCH($A96,Ventas!$A$2:$A$5000,0)),INDEX(Ventas!$J$2:$J$5000,MATCH($A96,Ventas!$A$2:$A$5000,0)))&gt;0.5*AF96*4,"1 mes = "&amp;TEXT(MAX(INDEX(Ventas!$G$2:$G$5000,MATCH($A96,Ventas!$A$2:$A$5000,0)),INDEX(Ventas!$H$2:$H$5000,MATCH($A96,Ventas!$A$2:$A$5000,0)),INDEX(Ventas!$I$2:$I$5000,MATCH($A96,Ventas!$A$2:$A$5000,0)),INDEX(Ventas!$J$2:$J$5000,MATCH($A96,Ventas!$A$2:$A$5000,0)))/(AF96*4),"0%")&amp;" de 4 meses",""))</f>
        <v/>
      </c>
      <c r="AD96" s="62" t="str">
        <f t="shared" si="7"/>
        <v/>
      </c>
      <c r="AE96" s="62" t="str">
        <f t="array" ref="AE96">IF(X96="","",IF(AND(E96=0,AVERAGE(INDEX(Ventas!$C$2:$I$5000,MATCH($A96,Ventas!$A$2:$A$5000,0),0))&gt;0,INDEX(Ventas!$J$2:$J$5000,MATCH($A96,Ventas!$A$2:$A$5000,0))&lt;0.5*AVERAGE(INDEX(Ventas!$C$2:$I$5000,MATCH($A96,Ventas!$A$2:$A$5000,0),0))),"SÍ — stock 0 y Sep cayó (prom Feb-Ago "&amp;TEXT(AVERAGE(INDEX(Ventas!$C$2:$I$5000,MATCH($A96,Ventas!$A$2:$A$5000,0),0)),"#,##0")&amp;")",""))</f>
        <v/>
      </c>
      <c r="AF96" s="60">
        <f t="array" ref="AF96">IF(X96="","",IF(AE96&lt;&gt;"",MAX(X96,AVERAGE(INDEX(Ventas!$C$2:$I$5000,MATCH($A96,Ventas!$A$2:$A$5000,0),0))),X96))</f>
        <v>50</v>
      </c>
      <c r="AG96" s="60">
        <f t="shared" si="8"/>
        <v>-600</v>
      </c>
      <c r="AH96" s="63" t="str">
        <f t="shared" si="9"/>
        <v>SOBRESTOCK</v>
      </c>
    </row>
    <row r="97" ht="13.5" customHeight="1">
      <c r="A97" s="49" t="s">
        <v>3037</v>
      </c>
      <c r="B97" s="50" t="s">
        <v>183</v>
      </c>
      <c r="C97" s="50" t="s">
        <v>3636</v>
      </c>
      <c r="D97" s="50" t="s">
        <v>3646</v>
      </c>
      <c r="E97" s="51">
        <v>50.0</v>
      </c>
      <c r="F97" s="52"/>
      <c r="G97" s="53"/>
      <c r="H97" s="55"/>
      <c r="I97" s="55"/>
      <c r="J97" s="53"/>
      <c r="K97" s="53"/>
      <c r="L97" s="55"/>
      <c r="M97" s="53"/>
      <c r="N97" s="74"/>
      <c r="O97" s="57" t="str">
        <f t="shared" si="1"/>
        <v>COMPRAR — faltan 50 m para 4 meses</v>
      </c>
      <c r="P97" s="58">
        <f t="shared" si="2"/>
        <v>50</v>
      </c>
      <c r="Q97" s="1"/>
      <c r="R97" s="1"/>
      <c r="S97" s="1"/>
      <c r="T97" s="1"/>
      <c r="U97" s="1"/>
      <c r="V97" s="1"/>
      <c r="W97" s="1"/>
      <c r="X97" s="60">
        <f>IFERROR(VLOOKUP($A97,Ventas!$A$2:$L$5000,12,FALSE()),"")</f>
        <v>25</v>
      </c>
      <c r="Y97" s="60">
        <f t="shared" si="3"/>
        <v>100</v>
      </c>
      <c r="Z97" s="61">
        <f t="shared" si="4"/>
        <v>2</v>
      </c>
      <c r="AA97" s="60">
        <f t="shared" si="5"/>
        <v>50</v>
      </c>
      <c r="AB97" s="62" t="str">
        <f t="shared" si="6"/>
        <v/>
      </c>
      <c r="AC97" s="62" t="str">
        <f t="array" ref="AC97">IF(AH97&lt;&gt;"COMPRAR","",IF(MAX(INDEX(Ventas!$G$2:$G$5000,MATCH($A97,Ventas!$A$2:$A$5000,0)),INDEX(Ventas!$H$2:$H$5000,MATCH($A97,Ventas!$A$2:$A$5000,0)),INDEX(Ventas!$I$2:$I$5000,MATCH($A97,Ventas!$A$2:$A$5000,0)),INDEX(Ventas!$J$2:$J$5000,MATCH($A97,Ventas!$A$2:$A$5000,0)))&gt;0.5*AF97*4,"1 mes = "&amp;TEXT(MAX(INDEX(Ventas!$G$2:$G$5000,MATCH($A97,Ventas!$A$2:$A$5000,0)),INDEX(Ventas!$H$2:$H$5000,MATCH($A97,Ventas!$A$2:$A$5000,0)),INDEX(Ventas!$I$2:$I$5000,MATCH($A97,Ventas!$A$2:$A$5000,0)),INDEX(Ventas!$J$2:$J$5000,MATCH($A97,Ventas!$A$2:$A$5000,0)))/(AF97*4),"0%")&amp;" de 4 meses",""))</f>
        <v/>
      </c>
      <c r="AD97" s="62" t="str">
        <f t="shared" si="7"/>
        <v/>
      </c>
      <c r="AE97" s="62" t="str">
        <f t="array" ref="AE97">IF(X97="","",IF(AND(E97=0,AVERAGE(INDEX(Ventas!$C$2:$I$5000,MATCH($A97,Ventas!$A$2:$A$5000,0),0))&gt;0,INDEX(Ventas!$J$2:$J$5000,MATCH($A97,Ventas!$A$2:$A$5000,0))&lt;0.5*AVERAGE(INDEX(Ventas!$C$2:$I$5000,MATCH($A97,Ventas!$A$2:$A$5000,0),0))),"SÍ — stock 0 y Sep cayó (prom Feb-Ago "&amp;TEXT(AVERAGE(INDEX(Ventas!$C$2:$I$5000,MATCH($A97,Ventas!$A$2:$A$5000,0),0)),"#,##0")&amp;")",""))</f>
        <v/>
      </c>
      <c r="AF97" s="60">
        <f t="array" ref="AF97">IF(X97="","",IF(AE97&lt;&gt;"",MAX(X97,AVERAGE(INDEX(Ventas!$C$2:$I$5000,MATCH($A97,Ventas!$A$2:$A$5000,0),0))),X97))</f>
        <v>25</v>
      </c>
      <c r="AG97" s="60">
        <f t="shared" si="8"/>
        <v>50</v>
      </c>
      <c r="AH97" s="63" t="str">
        <f t="shared" si="9"/>
        <v>COMPRAR</v>
      </c>
    </row>
    <row r="98" ht="13.5" customHeight="1">
      <c r="A98" s="64" t="s">
        <v>2607</v>
      </c>
      <c r="B98" s="65" t="s">
        <v>183</v>
      </c>
      <c r="C98" s="65" t="s">
        <v>3647</v>
      </c>
      <c r="D98" s="65" t="s">
        <v>1329</v>
      </c>
      <c r="E98" s="51">
        <v>1983.0</v>
      </c>
      <c r="F98" s="66"/>
      <c r="G98" s="53"/>
      <c r="H98" s="55"/>
      <c r="I98" s="55"/>
      <c r="J98" s="53"/>
      <c r="K98" s="53"/>
      <c r="L98" s="55"/>
      <c r="M98" s="53"/>
      <c r="N98" s="73"/>
      <c r="O98" s="57" t="str">
        <f t="shared" si="1"/>
        <v>SOBRESTOCK — 31.7 meses de cobertura</v>
      </c>
      <c r="P98" s="58">
        <f t="shared" si="2"/>
        <v>1983</v>
      </c>
      <c r="Q98" s="1"/>
      <c r="R98" s="1"/>
      <c r="S98" s="1"/>
      <c r="T98" s="1"/>
      <c r="U98" s="1"/>
      <c r="V98" s="1"/>
      <c r="W98" s="1"/>
      <c r="X98" s="60">
        <f>IFERROR(VLOOKUP($A98,Ventas!$A$2:$L$5000,12,FALSE()),"")</f>
        <v>62.5</v>
      </c>
      <c r="Y98" s="60">
        <f t="shared" si="3"/>
        <v>250</v>
      </c>
      <c r="Z98" s="61">
        <f t="shared" si="4"/>
        <v>31.7</v>
      </c>
      <c r="AA98" s="60">
        <f t="shared" si="5"/>
        <v>-1733</v>
      </c>
      <c r="AB98" s="62" t="str">
        <f t="shared" si="6"/>
        <v/>
      </c>
      <c r="AC98" s="62" t="str">
        <f t="array" ref="AC98">IF(AH98&lt;&gt;"COMPRAR","",IF(MAX(INDEX(Ventas!$G$2:$G$5000,MATCH($A98,Ventas!$A$2:$A$5000,0)),INDEX(Ventas!$H$2:$H$5000,MATCH($A98,Ventas!$A$2:$A$5000,0)),INDEX(Ventas!$I$2:$I$5000,MATCH($A98,Ventas!$A$2:$A$5000,0)),INDEX(Ventas!$J$2:$J$5000,MATCH($A98,Ventas!$A$2:$A$5000,0)))&gt;0.5*AF98*4,"1 mes = "&amp;TEXT(MAX(INDEX(Ventas!$G$2:$G$5000,MATCH($A98,Ventas!$A$2:$A$5000,0)),INDEX(Ventas!$H$2:$H$5000,MATCH($A98,Ventas!$A$2:$A$5000,0)),INDEX(Ventas!$I$2:$I$5000,MATCH($A98,Ventas!$A$2:$A$5000,0)),INDEX(Ventas!$J$2:$J$5000,MATCH($A98,Ventas!$A$2:$A$5000,0)))/(AF98*4),"0%")&amp;" de 4 meses",""))</f>
        <v/>
      </c>
      <c r="AD98" s="62" t="str">
        <f t="shared" si="7"/>
        <v/>
      </c>
      <c r="AE98" s="62" t="str">
        <f t="array" ref="AE98">IF(X98="","",IF(AND(E98=0,AVERAGE(INDEX(Ventas!$C$2:$I$5000,MATCH($A98,Ventas!$A$2:$A$5000,0),0))&gt;0,INDEX(Ventas!$J$2:$J$5000,MATCH($A98,Ventas!$A$2:$A$5000,0))&lt;0.5*AVERAGE(INDEX(Ventas!$C$2:$I$5000,MATCH($A98,Ventas!$A$2:$A$5000,0),0))),"SÍ — stock 0 y Sep cayó (prom Feb-Ago "&amp;TEXT(AVERAGE(INDEX(Ventas!$C$2:$I$5000,MATCH($A98,Ventas!$A$2:$A$5000,0),0)),"#,##0")&amp;")",""))</f>
        <v/>
      </c>
      <c r="AF98" s="60">
        <f t="array" ref="AF98">IF(X98="","",IF(AE98&lt;&gt;"",MAX(X98,AVERAGE(INDEX(Ventas!$C$2:$I$5000,MATCH($A98,Ventas!$A$2:$A$5000,0),0))),X98))</f>
        <v>62.5</v>
      </c>
      <c r="AG98" s="60">
        <f t="shared" si="8"/>
        <v>-1733</v>
      </c>
      <c r="AH98" s="63" t="str">
        <f t="shared" si="9"/>
        <v>SOBRESTOCK</v>
      </c>
    </row>
    <row r="99" ht="13.5" customHeight="1">
      <c r="A99" s="49" t="s">
        <v>2605</v>
      </c>
      <c r="B99" s="50" t="s">
        <v>183</v>
      </c>
      <c r="C99" s="50" t="s">
        <v>3647</v>
      </c>
      <c r="D99" s="50" t="s">
        <v>1009</v>
      </c>
      <c r="E99" s="51">
        <v>1856.0</v>
      </c>
      <c r="F99" s="52"/>
      <c r="G99" s="53"/>
      <c r="H99" s="55"/>
      <c r="I99" s="55"/>
      <c r="J99" s="53"/>
      <c r="K99" s="53"/>
      <c r="L99" s="55"/>
      <c r="M99" s="53"/>
      <c r="N99" s="74"/>
      <c r="O99" s="57" t="str">
        <f t="shared" si="1"/>
        <v>SOBRESTOCK — 49.5 meses de cobertura</v>
      </c>
      <c r="P99" s="58">
        <f t="shared" si="2"/>
        <v>1856</v>
      </c>
      <c r="Q99" s="1"/>
      <c r="R99" s="1"/>
      <c r="S99" s="1"/>
      <c r="T99" s="1"/>
      <c r="U99" s="1"/>
      <c r="V99" s="1"/>
      <c r="W99" s="1"/>
      <c r="X99" s="60">
        <f>IFERROR(VLOOKUP($A99,Ventas!$A$2:$L$5000,12,FALSE()),"")</f>
        <v>37.5</v>
      </c>
      <c r="Y99" s="60">
        <f t="shared" si="3"/>
        <v>150</v>
      </c>
      <c r="Z99" s="61">
        <f t="shared" si="4"/>
        <v>49.5</v>
      </c>
      <c r="AA99" s="60">
        <f t="shared" si="5"/>
        <v>-1706</v>
      </c>
      <c r="AB99" s="62" t="str">
        <f t="shared" si="6"/>
        <v/>
      </c>
      <c r="AC99" s="62" t="str">
        <f t="array" ref="AC99">IF(AH99&lt;&gt;"COMPRAR","",IF(MAX(INDEX(Ventas!$G$2:$G$5000,MATCH($A99,Ventas!$A$2:$A$5000,0)),INDEX(Ventas!$H$2:$H$5000,MATCH($A99,Ventas!$A$2:$A$5000,0)),INDEX(Ventas!$I$2:$I$5000,MATCH($A99,Ventas!$A$2:$A$5000,0)),INDEX(Ventas!$J$2:$J$5000,MATCH($A99,Ventas!$A$2:$A$5000,0)))&gt;0.5*AF99*4,"1 mes = "&amp;TEXT(MAX(INDEX(Ventas!$G$2:$G$5000,MATCH($A99,Ventas!$A$2:$A$5000,0)),INDEX(Ventas!$H$2:$H$5000,MATCH($A99,Ventas!$A$2:$A$5000,0)),INDEX(Ventas!$I$2:$I$5000,MATCH($A99,Ventas!$A$2:$A$5000,0)),INDEX(Ventas!$J$2:$J$5000,MATCH($A99,Ventas!$A$2:$A$5000,0)))/(AF99*4),"0%")&amp;" de 4 meses",""))</f>
        <v/>
      </c>
      <c r="AD99" s="62" t="str">
        <f t="shared" si="7"/>
        <v/>
      </c>
      <c r="AE99" s="62" t="str">
        <f t="array" ref="AE99">IF(X99="","",IF(AND(E99=0,AVERAGE(INDEX(Ventas!$C$2:$I$5000,MATCH($A99,Ventas!$A$2:$A$5000,0),0))&gt;0,INDEX(Ventas!$J$2:$J$5000,MATCH($A99,Ventas!$A$2:$A$5000,0))&lt;0.5*AVERAGE(INDEX(Ventas!$C$2:$I$5000,MATCH($A99,Ventas!$A$2:$A$5000,0),0))),"SÍ — stock 0 y Sep cayó (prom Feb-Ago "&amp;TEXT(AVERAGE(INDEX(Ventas!$C$2:$I$5000,MATCH($A99,Ventas!$A$2:$A$5000,0),0)),"#,##0")&amp;")",""))</f>
        <v/>
      </c>
      <c r="AF99" s="60">
        <f t="array" ref="AF99">IF(X99="","",IF(AE99&lt;&gt;"",MAX(X99,AVERAGE(INDEX(Ventas!$C$2:$I$5000,MATCH($A99,Ventas!$A$2:$A$5000,0),0))),X99))</f>
        <v>37.5</v>
      </c>
      <c r="AG99" s="60">
        <f t="shared" si="8"/>
        <v>-1706</v>
      </c>
      <c r="AH99" s="63" t="str">
        <f t="shared" si="9"/>
        <v>SOBRESTOCK</v>
      </c>
    </row>
    <row r="100" ht="13.5" customHeight="1">
      <c r="A100" s="64" t="s">
        <v>1942</v>
      </c>
      <c r="B100" s="65" t="s">
        <v>183</v>
      </c>
      <c r="C100" s="65" t="s">
        <v>3648</v>
      </c>
      <c r="D100" s="65" t="s">
        <v>3649</v>
      </c>
      <c r="E100" s="51">
        <v>40.0</v>
      </c>
      <c r="F100" s="66"/>
      <c r="G100" s="53"/>
      <c r="H100" s="55"/>
      <c r="I100" s="55">
        <v>1000.0</v>
      </c>
      <c r="J100" s="53"/>
      <c r="K100" s="53"/>
      <c r="L100" s="55">
        <v>1000.0</v>
      </c>
      <c r="M100" s="53"/>
      <c r="N100" s="73"/>
      <c r="O100" s="57" t="str">
        <f t="shared" si="1"/>
        <v>OK — cubierto (3.7 meses)</v>
      </c>
      <c r="P100" s="58">
        <f t="shared" si="2"/>
        <v>2040</v>
      </c>
      <c r="Q100" s="59">
        <v>800.0</v>
      </c>
      <c r="R100" s="1"/>
      <c r="S100" s="1"/>
      <c r="T100" s="1"/>
      <c r="U100" s="1"/>
      <c r="V100" s="1"/>
      <c r="W100" s="1"/>
      <c r="X100" s="60">
        <f>IFERROR(VLOOKUP($A100,Ventas!$A$2:$L$5000,12,FALSE()),"")</f>
        <v>547</v>
      </c>
      <c r="Y100" s="60">
        <f t="shared" si="3"/>
        <v>2188</v>
      </c>
      <c r="Z100" s="61">
        <f t="shared" si="4"/>
        <v>3.7</v>
      </c>
      <c r="AA100" s="60">
        <f t="shared" si="5"/>
        <v>148</v>
      </c>
      <c r="AB100" s="62" t="str">
        <f t="shared" si="6"/>
        <v/>
      </c>
      <c r="AC100" s="62" t="str">
        <f t="array" ref="AC100">IF(AH100&lt;&gt;"COMPRAR","",IF(MAX(INDEX(Ventas!$G$2:$G$5000,MATCH($A100,Ventas!$A$2:$A$5000,0)),INDEX(Ventas!$H$2:$H$5000,MATCH($A100,Ventas!$A$2:$A$5000,0)),INDEX(Ventas!$I$2:$I$5000,MATCH($A100,Ventas!$A$2:$A$5000,0)),INDEX(Ventas!$J$2:$J$5000,MATCH($A100,Ventas!$A$2:$A$5000,0)))&gt;0.5*AF100*4,"1 mes = "&amp;TEXT(MAX(INDEX(Ventas!$G$2:$G$5000,MATCH($A100,Ventas!$A$2:$A$5000,0)),INDEX(Ventas!$H$2:$H$5000,MATCH($A100,Ventas!$A$2:$A$5000,0)),INDEX(Ventas!$I$2:$I$5000,MATCH($A100,Ventas!$A$2:$A$5000,0)),INDEX(Ventas!$J$2:$J$5000,MATCH($A100,Ventas!$A$2:$A$5000,0)))/(AF100*4),"0%")&amp;" de 4 meses",""))</f>
        <v/>
      </c>
      <c r="AD100" s="62" t="str">
        <f t="shared" si="7"/>
        <v>SÍ — 40 m vs 290 m</v>
      </c>
      <c r="AE100" s="62" t="str">
        <f t="array" ref="AE100">IF(X100="","",IF(AND(E100=0,AVERAGE(INDEX(Ventas!$C$2:$I$5000,MATCH($A100,Ventas!$A$2:$A$5000,0),0))&gt;0,INDEX(Ventas!$J$2:$J$5000,MATCH($A100,Ventas!$A$2:$A$5000,0))&lt;0.5*AVERAGE(INDEX(Ventas!$C$2:$I$5000,MATCH($A100,Ventas!$A$2:$A$5000,0),0))),"SÍ — stock 0 y Sep cayó (prom Feb-Ago "&amp;TEXT(AVERAGE(INDEX(Ventas!$C$2:$I$5000,MATCH($A100,Ventas!$A$2:$A$5000,0),0)),"#,##0")&amp;")",""))</f>
        <v/>
      </c>
      <c r="AF100" s="60">
        <f t="array" ref="AF100">IF(X100="","",IF(AE100&lt;&gt;"",MAX(X100,AVERAGE(INDEX(Ventas!$C$2:$I$5000,MATCH($A100,Ventas!$A$2:$A$5000,0),0))),X100))</f>
        <v>547</v>
      </c>
      <c r="AG100" s="60">
        <f t="shared" si="8"/>
        <v>148</v>
      </c>
      <c r="AH100" s="63" t="str">
        <f t="shared" si="9"/>
        <v>OK</v>
      </c>
    </row>
    <row r="101" ht="13.5" customHeight="1">
      <c r="A101" s="49" t="s">
        <v>1946</v>
      </c>
      <c r="B101" s="50" t="s">
        <v>183</v>
      </c>
      <c r="C101" s="50" t="s">
        <v>3648</v>
      </c>
      <c r="D101" s="50" t="s">
        <v>3640</v>
      </c>
      <c r="E101" s="51">
        <v>0.0</v>
      </c>
      <c r="F101" s="52"/>
      <c r="G101" s="53"/>
      <c r="H101" s="55"/>
      <c r="I101" s="55"/>
      <c r="J101" s="53"/>
      <c r="K101" s="53"/>
      <c r="L101" s="55"/>
      <c r="M101" s="53"/>
      <c r="N101" s="74"/>
      <c r="O101" s="57" t="str">
        <f t="shared" si="1"/>
        <v>SIN VENTAS Jun-Sep — no comprar</v>
      </c>
      <c r="P101" s="58">
        <f t="shared" si="2"/>
        <v>0</v>
      </c>
      <c r="Q101" s="1"/>
      <c r="R101" s="1"/>
      <c r="S101" s="1"/>
      <c r="T101" s="1"/>
      <c r="U101" s="1"/>
      <c r="V101" s="1"/>
      <c r="W101" s="1"/>
      <c r="X101" s="60">
        <f>IFERROR(VLOOKUP($A101,Ventas!$A$2:$L$5000,12,FALSE()),"")</f>
        <v>0</v>
      </c>
      <c r="Y101" s="60">
        <f t="shared" si="3"/>
        <v>0</v>
      </c>
      <c r="Z101" s="61" t="str">
        <f t="shared" si="4"/>
        <v/>
      </c>
      <c r="AA101" s="60">
        <f t="shared" si="5"/>
        <v>0</v>
      </c>
      <c r="AB101" s="62" t="str">
        <f t="shared" si="6"/>
        <v/>
      </c>
      <c r="AC101" s="62" t="str">
        <f t="array" ref="AC101">IF(AH101&lt;&gt;"COMPRAR","",IF(MAX(INDEX(Ventas!$G$2:$G$5000,MATCH($A101,Ventas!$A$2:$A$5000,0)),INDEX(Ventas!$H$2:$H$5000,MATCH($A101,Ventas!$A$2:$A$5000,0)),INDEX(Ventas!$I$2:$I$5000,MATCH($A101,Ventas!$A$2:$A$5000,0)),INDEX(Ventas!$J$2:$J$5000,MATCH($A101,Ventas!$A$2:$A$5000,0)))&gt;0.5*AF101*4,"1 mes = "&amp;TEXT(MAX(INDEX(Ventas!$G$2:$G$5000,MATCH($A101,Ventas!$A$2:$A$5000,0)),INDEX(Ventas!$H$2:$H$5000,MATCH($A101,Ventas!$A$2:$A$5000,0)),INDEX(Ventas!$I$2:$I$5000,MATCH($A101,Ventas!$A$2:$A$5000,0)),INDEX(Ventas!$J$2:$J$5000,MATCH($A101,Ventas!$A$2:$A$5000,0)))/(AF101*4),"0%")&amp;" de 4 meses",""))</f>
        <v/>
      </c>
      <c r="AD101" s="62" t="str">
        <f t="shared" si="7"/>
        <v/>
      </c>
      <c r="AE101" s="62" t="str">
        <f t="array" ref="AE101">IF(X101="","",IF(AND(E101=0,AVERAGE(INDEX(Ventas!$C$2:$I$5000,MATCH($A101,Ventas!$A$2:$A$5000,0),0))&gt;0,INDEX(Ventas!$J$2:$J$5000,MATCH($A101,Ventas!$A$2:$A$5000,0))&lt;0.5*AVERAGE(INDEX(Ventas!$C$2:$I$5000,MATCH($A101,Ventas!$A$2:$A$5000,0),0))),"SÍ — stock 0 y Sep cayó (prom Feb-Ago "&amp;TEXT(AVERAGE(INDEX(Ventas!$C$2:$I$5000,MATCH($A101,Ventas!$A$2:$A$5000,0),0)),"#,##0")&amp;")",""))</f>
        <v/>
      </c>
      <c r="AF101" s="60">
        <f t="array" ref="AF101">IF(X101="","",IF(AE101&lt;&gt;"",MAX(X101,AVERAGE(INDEX(Ventas!$C$2:$I$5000,MATCH($A101,Ventas!$A$2:$A$5000,0),0))),X101))</f>
        <v>0</v>
      </c>
      <c r="AG101" s="60">
        <f t="shared" si="8"/>
        <v>0</v>
      </c>
      <c r="AH101" s="63" t="str">
        <f t="shared" si="9"/>
        <v>SIN VENTAS</v>
      </c>
    </row>
    <row r="102" ht="13.5" customHeight="1">
      <c r="A102" s="64" t="s">
        <v>1944</v>
      </c>
      <c r="B102" s="65" t="s">
        <v>183</v>
      </c>
      <c r="C102" s="65" t="s">
        <v>3648</v>
      </c>
      <c r="D102" s="65" t="s">
        <v>3650</v>
      </c>
      <c r="E102" s="51">
        <v>952.0</v>
      </c>
      <c r="F102" s="66"/>
      <c r="G102" s="53"/>
      <c r="H102" s="55"/>
      <c r="I102" s="55"/>
      <c r="J102" s="53"/>
      <c r="K102" s="53"/>
      <c r="L102" s="55"/>
      <c r="M102" s="53"/>
      <c r="N102" s="73"/>
      <c r="O102" s="57" t="str">
        <f t="shared" si="1"/>
        <v>SIN VENTAS Jun-Sep — no comprar (952 m disponibles)</v>
      </c>
      <c r="P102" s="58">
        <f t="shared" si="2"/>
        <v>952</v>
      </c>
      <c r="Q102" s="1"/>
      <c r="R102" s="1"/>
      <c r="S102" s="1"/>
      <c r="T102" s="1"/>
      <c r="U102" s="1"/>
      <c r="V102" s="1"/>
      <c r="W102" s="1"/>
      <c r="X102" s="60">
        <f>IFERROR(VLOOKUP($A102,Ventas!$A$2:$L$5000,12,FALSE()),"")</f>
        <v>0</v>
      </c>
      <c r="Y102" s="60">
        <f t="shared" si="3"/>
        <v>0</v>
      </c>
      <c r="Z102" s="61" t="str">
        <f t="shared" si="4"/>
        <v/>
      </c>
      <c r="AA102" s="60">
        <f t="shared" si="5"/>
        <v>-952</v>
      </c>
      <c r="AB102" s="62" t="str">
        <f t="shared" si="6"/>
        <v/>
      </c>
      <c r="AC102" s="62" t="str">
        <f t="array" ref="AC102">IF(AH102&lt;&gt;"COMPRAR","",IF(MAX(INDEX(Ventas!$G$2:$G$5000,MATCH($A102,Ventas!$A$2:$A$5000,0)),INDEX(Ventas!$H$2:$H$5000,MATCH($A102,Ventas!$A$2:$A$5000,0)),INDEX(Ventas!$I$2:$I$5000,MATCH($A102,Ventas!$A$2:$A$5000,0)),INDEX(Ventas!$J$2:$J$5000,MATCH($A102,Ventas!$A$2:$A$5000,0)))&gt;0.5*AF102*4,"1 mes = "&amp;TEXT(MAX(INDEX(Ventas!$G$2:$G$5000,MATCH($A102,Ventas!$A$2:$A$5000,0)),INDEX(Ventas!$H$2:$H$5000,MATCH($A102,Ventas!$A$2:$A$5000,0)),INDEX(Ventas!$I$2:$I$5000,MATCH($A102,Ventas!$A$2:$A$5000,0)),INDEX(Ventas!$J$2:$J$5000,MATCH($A102,Ventas!$A$2:$A$5000,0)))/(AF102*4),"0%")&amp;" de 4 meses",""))</f>
        <v/>
      </c>
      <c r="AD102" s="62" t="str">
        <f t="shared" si="7"/>
        <v/>
      </c>
      <c r="AE102" s="62" t="str">
        <f t="array" ref="AE102">IF(X102="","",IF(AND(E102=0,AVERAGE(INDEX(Ventas!$C$2:$I$5000,MATCH($A102,Ventas!$A$2:$A$5000,0),0))&gt;0,INDEX(Ventas!$J$2:$J$5000,MATCH($A102,Ventas!$A$2:$A$5000,0))&lt;0.5*AVERAGE(INDEX(Ventas!$C$2:$I$5000,MATCH($A102,Ventas!$A$2:$A$5000,0),0))),"SÍ — stock 0 y Sep cayó (prom Feb-Ago "&amp;TEXT(AVERAGE(INDEX(Ventas!$C$2:$I$5000,MATCH($A102,Ventas!$A$2:$A$5000,0),0)),"#,##0")&amp;")",""))</f>
        <v/>
      </c>
      <c r="AF102" s="60">
        <f t="array" ref="AF102">IF(X102="","",IF(AE102&lt;&gt;"",MAX(X102,AVERAGE(INDEX(Ventas!$C$2:$I$5000,MATCH($A102,Ventas!$A$2:$A$5000,0),0))),X102))</f>
        <v>0</v>
      </c>
      <c r="AG102" s="60">
        <f t="shared" si="8"/>
        <v>-952</v>
      </c>
      <c r="AH102" s="63" t="str">
        <f t="shared" si="9"/>
        <v>SIN VENTAS</v>
      </c>
    </row>
    <row r="103" ht="13.5" customHeight="1">
      <c r="A103" s="49" t="s">
        <v>1938</v>
      </c>
      <c r="B103" s="50" t="s">
        <v>183</v>
      </c>
      <c r="C103" s="50" t="s">
        <v>3648</v>
      </c>
      <c r="D103" s="50" t="s">
        <v>3651</v>
      </c>
      <c r="E103" s="51">
        <v>1811.0</v>
      </c>
      <c r="F103" s="52"/>
      <c r="G103" s="53"/>
      <c r="H103" s="55"/>
      <c r="I103" s="55"/>
      <c r="J103" s="53"/>
      <c r="K103" s="53"/>
      <c r="L103" s="55"/>
      <c r="M103" s="53"/>
      <c r="N103" s="74"/>
      <c r="O103" s="57" t="str">
        <f t="shared" si="1"/>
        <v>SOBRESTOCK — 11.1 meses de cobertura</v>
      </c>
      <c r="P103" s="58">
        <f t="shared" si="2"/>
        <v>1811</v>
      </c>
      <c r="Q103" s="1"/>
      <c r="R103" s="1"/>
      <c r="S103" s="1"/>
      <c r="T103" s="1"/>
      <c r="U103" s="1"/>
      <c r="V103" s="1"/>
      <c r="W103" s="1"/>
      <c r="X103" s="60">
        <f>IFERROR(VLOOKUP($A103,Ventas!$A$2:$L$5000,12,FALSE()),"")</f>
        <v>162.5</v>
      </c>
      <c r="Y103" s="60">
        <f t="shared" si="3"/>
        <v>650</v>
      </c>
      <c r="Z103" s="61">
        <f t="shared" si="4"/>
        <v>11.1</v>
      </c>
      <c r="AA103" s="60">
        <f t="shared" si="5"/>
        <v>-1161</v>
      </c>
      <c r="AB103" s="62" t="str">
        <f t="shared" si="6"/>
        <v/>
      </c>
      <c r="AC103" s="62" t="str">
        <f t="array" ref="AC103">IF(AH103&lt;&gt;"COMPRAR","",IF(MAX(INDEX(Ventas!$G$2:$G$5000,MATCH($A103,Ventas!$A$2:$A$5000,0)),INDEX(Ventas!$H$2:$H$5000,MATCH($A103,Ventas!$A$2:$A$5000,0)),INDEX(Ventas!$I$2:$I$5000,MATCH($A103,Ventas!$A$2:$A$5000,0)),INDEX(Ventas!$J$2:$J$5000,MATCH($A103,Ventas!$A$2:$A$5000,0)))&gt;0.5*AF103*4,"1 mes = "&amp;TEXT(MAX(INDEX(Ventas!$G$2:$G$5000,MATCH($A103,Ventas!$A$2:$A$5000,0)),INDEX(Ventas!$H$2:$H$5000,MATCH($A103,Ventas!$A$2:$A$5000,0)),INDEX(Ventas!$I$2:$I$5000,MATCH($A103,Ventas!$A$2:$A$5000,0)),INDEX(Ventas!$J$2:$J$5000,MATCH($A103,Ventas!$A$2:$A$5000,0)))/(AF103*4),"0%")&amp;" de 4 meses",""))</f>
        <v/>
      </c>
      <c r="AD103" s="62" t="str">
        <f t="shared" si="7"/>
        <v/>
      </c>
      <c r="AE103" s="62" t="str">
        <f t="array" ref="AE103">IF(X103="","",IF(AND(E103=0,AVERAGE(INDEX(Ventas!$C$2:$I$5000,MATCH($A103,Ventas!$A$2:$A$5000,0),0))&gt;0,INDEX(Ventas!$J$2:$J$5000,MATCH($A103,Ventas!$A$2:$A$5000,0))&lt;0.5*AVERAGE(INDEX(Ventas!$C$2:$I$5000,MATCH($A103,Ventas!$A$2:$A$5000,0),0))),"SÍ — stock 0 y Sep cayó (prom Feb-Ago "&amp;TEXT(AVERAGE(INDEX(Ventas!$C$2:$I$5000,MATCH($A103,Ventas!$A$2:$A$5000,0),0)),"#,##0")&amp;")",""))</f>
        <v/>
      </c>
      <c r="AF103" s="60">
        <f t="array" ref="AF103">IF(X103="","",IF(AE103&lt;&gt;"",MAX(X103,AVERAGE(INDEX(Ventas!$C$2:$I$5000,MATCH($A103,Ventas!$A$2:$A$5000,0),0))),X103))</f>
        <v>162.5</v>
      </c>
      <c r="AG103" s="60">
        <f t="shared" si="8"/>
        <v>-1161</v>
      </c>
      <c r="AH103" s="63" t="str">
        <f t="shared" si="9"/>
        <v>SOBRESTOCK</v>
      </c>
    </row>
    <row r="104" ht="13.5" customHeight="1">
      <c r="A104" s="64" t="s">
        <v>1930</v>
      </c>
      <c r="B104" s="65" t="s">
        <v>183</v>
      </c>
      <c r="C104" s="65" t="s">
        <v>3648</v>
      </c>
      <c r="D104" s="65" t="s">
        <v>3652</v>
      </c>
      <c r="E104" s="51">
        <v>0.0</v>
      </c>
      <c r="F104" s="66"/>
      <c r="G104" s="53"/>
      <c r="H104" s="55"/>
      <c r="I104" s="55"/>
      <c r="J104" s="53"/>
      <c r="K104" s="53"/>
      <c r="L104" s="55"/>
      <c r="M104" s="53"/>
      <c r="N104" s="73"/>
      <c r="O104" s="57" t="str">
        <f t="shared" si="1"/>
        <v>COMPRAR — faltan 482 m para 4 meses</v>
      </c>
      <c r="P104" s="58">
        <f t="shared" si="2"/>
        <v>0</v>
      </c>
      <c r="Q104" s="59">
        <v>300.0</v>
      </c>
      <c r="R104" s="1"/>
      <c r="S104" s="1"/>
      <c r="T104" s="1"/>
      <c r="U104" s="1"/>
      <c r="V104" s="1"/>
      <c r="W104" s="1"/>
      <c r="X104" s="60">
        <f>IFERROR(VLOOKUP($A104,Ventas!$A$2:$L$5000,12,FALSE()),"")</f>
        <v>120.4</v>
      </c>
      <c r="Y104" s="60">
        <f t="shared" si="3"/>
        <v>482</v>
      </c>
      <c r="Z104" s="61">
        <f t="shared" si="4"/>
        <v>0</v>
      </c>
      <c r="AA104" s="60">
        <f t="shared" si="5"/>
        <v>482</v>
      </c>
      <c r="AB104" s="62" t="str">
        <f t="shared" si="6"/>
        <v/>
      </c>
      <c r="AC104" s="62" t="str">
        <f t="array" ref="AC104">IF(AH104&lt;&gt;"COMPRAR","",IF(MAX(INDEX(Ventas!$G$2:$G$5000,MATCH($A104,Ventas!$A$2:$A$5000,0)),INDEX(Ventas!$H$2:$H$5000,MATCH($A104,Ventas!$A$2:$A$5000,0)),INDEX(Ventas!$I$2:$I$5000,MATCH($A104,Ventas!$A$2:$A$5000,0)),INDEX(Ventas!$J$2:$J$5000,MATCH($A104,Ventas!$A$2:$A$5000,0)))&gt;0.5*AF104*4,"1 mes = "&amp;TEXT(MAX(INDEX(Ventas!$G$2:$G$5000,MATCH($A104,Ventas!$A$2:$A$5000,0)),INDEX(Ventas!$H$2:$H$5000,MATCH($A104,Ventas!$A$2:$A$5000,0)),INDEX(Ventas!$I$2:$I$5000,MATCH($A104,Ventas!$A$2:$A$5000,0)),INDEX(Ventas!$J$2:$J$5000,MATCH($A104,Ventas!$A$2:$A$5000,0)))/(AF104*4),"0%")&amp;" de 4 meses",""))</f>
        <v>1 mes = 57% de 4 meses</v>
      </c>
      <c r="AD104" s="62" t="str">
        <f t="shared" si="7"/>
        <v>SÍ — 0 m vs 64 m</v>
      </c>
      <c r="AE104" s="62" t="str">
        <f t="array" ref="AE104">IF(X104="","",IF(AND(E104=0,AVERAGE(INDEX(Ventas!$C$2:$I$5000,MATCH($A104,Ventas!$A$2:$A$5000,0),0))&gt;0,INDEX(Ventas!$J$2:$J$5000,MATCH($A104,Ventas!$A$2:$A$5000,0))&lt;0.5*AVERAGE(INDEX(Ventas!$C$2:$I$5000,MATCH($A104,Ventas!$A$2:$A$5000,0),0))),"SÍ — stock 0 y Sep cayó (prom Feb-Ago "&amp;TEXT(AVERAGE(INDEX(Ventas!$C$2:$I$5000,MATCH($A104,Ventas!$A$2:$A$5000,0),0)),"#,##0")&amp;")",""))</f>
        <v>SÍ — stock 0 y Sep cayó (prom Feb-Ago 123)</v>
      </c>
      <c r="AF104" s="60">
        <f t="array" ref="AF104">IF(X104="","",IF(AE104&lt;&gt;"",MAX(X104,AVERAGE(INDEX(Ventas!$C$2:$I$5000,MATCH($A104,Ventas!$A$2:$A$5000,0),0))),X104))</f>
        <v>123.0857143</v>
      </c>
      <c r="AG104" s="60">
        <f t="shared" si="8"/>
        <v>492</v>
      </c>
      <c r="AH104" s="63" t="str">
        <f t="shared" si="9"/>
        <v>COMPRAR</v>
      </c>
    </row>
    <row r="105" ht="13.5" customHeight="1">
      <c r="A105" s="49" t="s">
        <v>1932</v>
      </c>
      <c r="B105" s="50" t="s">
        <v>183</v>
      </c>
      <c r="C105" s="50" t="s">
        <v>3648</v>
      </c>
      <c r="D105" s="50" t="s">
        <v>3653</v>
      </c>
      <c r="E105" s="51">
        <v>100.0</v>
      </c>
      <c r="F105" s="52"/>
      <c r="G105" s="53"/>
      <c r="H105" s="55"/>
      <c r="I105" s="55">
        <v>1000.0</v>
      </c>
      <c r="J105" s="53"/>
      <c r="K105" s="53"/>
      <c r="L105" s="55"/>
      <c r="M105" s="53"/>
      <c r="N105" s="74"/>
      <c r="O105" s="57" t="str">
        <f t="shared" si="1"/>
        <v>PEDIR MENOS — sobran 408 m; revisar pedidos sin facturar (1,000 m)</v>
      </c>
      <c r="P105" s="58">
        <f t="shared" si="2"/>
        <v>1100</v>
      </c>
      <c r="Q105" s="59">
        <v>300.0</v>
      </c>
      <c r="R105" s="1"/>
      <c r="S105" s="1"/>
      <c r="T105" s="1"/>
      <c r="U105" s="1"/>
      <c r="V105" s="1"/>
      <c r="W105" s="1"/>
      <c r="X105" s="60">
        <f>IFERROR(VLOOKUP($A105,Ventas!$A$2:$L$5000,12,FALSE()),"")</f>
        <v>172.875</v>
      </c>
      <c r="Y105" s="60">
        <f t="shared" si="3"/>
        <v>692</v>
      </c>
      <c r="Z105" s="61">
        <f t="shared" si="4"/>
        <v>6.4</v>
      </c>
      <c r="AA105" s="60">
        <f t="shared" si="5"/>
        <v>-408</v>
      </c>
      <c r="AB105" s="62" t="str">
        <f t="shared" si="6"/>
        <v/>
      </c>
      <c r="AC105" s="62" t="str">
        <f t="array" ref="AC105">IF(AH105&lt;&gt;"COMPRAR","",IF(MAX(INDEX(Ventas!$G$2:$G$5000,MATCH($A105,Ventas!$A$2:$A$5000,0)),INDEX(Ventas!$H$2:$H$5000,MATCH($A105,Ventas!$A$2:$A$5000,0)),INDEX(Ventas!$I$2:$I$5000,MATCH($A105,Ventas!$A$2:$A$5000,0)),INDEX(Ventas!$J$2:$J$5000,MATCH($A105,Ventas!$A$2:$A$5000,0)))&gt;0.5*AF105*4,"1 mes = "&amp;TEXT(MAX(INDEX(Ventas!$G$2:$G$5000,MATCH($A105,Ventas!$A$2:$A$5000,0)),INDEX(Ventas!$H$2:$H$5000,MATCH($A105,Ventas!$A$2:$A$5000,0)),INDEX(Ventas!$I$2:$I$5000,MATCH($A105,Ventas!$A$2:$A$5000,0)),INDEX(Ventas!$J$2:$J$5000,MATCH($A105,Ventas!$A$2:$A$5000,0)))/(AF105*4),"0%")&amp;" de 4 meses",""))</f>
        <v/>
      </c>
      <c r="AD105" s="62" t="str">
        <f t="shared" si="7"/>
        <v/>
      </c>
      <c r="AE105" s="62" t="str">
        <f t="array" ref="AE105">IF(X105="","",IF(AND(E105=0,AVERAGE(INDEX(Ventas!$C$2:$I$5000,MATCH($A105,Ventas!$A$2:$A$5000,0),0))&gt;0,INDEX(Ventas!$J$2:$J$5000,MATCH($A105,Ventas!$A$2:$A$5000,0))&lt;0.5*AVERAGE(INDEX(Ventas!$C$2:$I$5000,MATCH($A105,Ventas!$A$2:$A$5000,0),0))),"SÍ — stock 0 y Sep cayó (prom Feb-Ago "&amp;TEXT(AVERAGE(INDEX(Ventas!$C$2:$I$5000,MATCH($A105,Ventas!$A$2:$A$5000,0),0)),"#,##0")&amp;")",""))</f>
        <v/>
      </c>
      <c r="AF105" s="60">
        <f t="array" ref="AF105">IF(X105="","",IF(AE105&lt;&gt;"",MAX(X105,AVERAGE(INDEX(Ventas!$C$2:$I$5000,MATCH($A105,Ventas!$A$2:$A$5000,0),0))),X105))</f>
        <v>172.875</v>
      </c>
      <c r="AG105" s="60">
        <f t="shared" si="8"/>
        <v>-408</v>
      </c>
      <c r="AH105" s="63" t="str">
        <f t="shared" si="9"/>
        <v>PEDIR MENOS</v>
      </c>
    </row>
    <row r="106" ht="13.5" customHeight="1">
      <c r="A106" s="64" t="s">
        <v>1928</v>
      </c>
      <c r="B106" s="65" t="s">
        <v>183</v>
      </c>
      <c r="C106" s="65" t="s">
        <v>3648</v>
      </c>
      <c r="D106" s="65" t="s">
        <v>3654</v>
      </c>
      <c r="E106" s="51">
        <v>0.0</v>
      </c>
      <c r="F106" s="66"/>
      <c r="G106" s="53"/>
      <c r="H106" s="55"/>
      <c r="I106" s="55"/>
      <c r="J106" s="53"/>
      <c r="K106" s="53"/>
      <c r="L106" s="55">
        <v>1000.0</v>
      </c>
      <c r="M106" s="53"/>
      <c r="N106" s="73"/>
      <c r="O106" s="57" t="str">
        <f t="shared" si="1"/>
        <v>SIN VENTAS Jun-Sep — no comprar (1,000 m disponibles)</v>
      </c>
      <c r="P106" s="58">
        <f t="shared" si="2"/>
        <v>1000</v>
      </c>
      <c r="Q106" s="59">
        <v>300.0</v>
      </c>
      <c r="R106" s="1"/>
      <c r="S106" s="1"/>
      <c r="T106" s="1"/>
      <c r="U106" s="1"/>
      <c r="V106" s="1"/>
      <c r="W106" s="1"/>
      <c r="X106" s="60">
        <f>IFERROR(VLOOKUP($A106,Ventas!$A$2:$L$5000,12,FALSE()),"")</f>
        <v>0</v>
      </c>
      <c r="Y106" s="60">
        <f t="shared" si="3"/>
        <v>0</v>
      </c>
      <c r="Z106" s="61" t="str">
        <f t="shared" si="4"/>
        <v/>
      </c>
      <c r="AA106" s="60">
        <f t="shared" si="5"/>
        <v>-1000</v>
      </c>
      <c r="AB106" s="62" t="str">
        <f t="shared" si="6"/>
        <v/>
      </c>
      <c r="AC106" s="62" t="str">
        <f t="array" ref="AC106">IF(AH106&lt;&gt;"COMPRAR","",IF(MAX(INDEX(Ventas!$G$2:$G$5000,MATCH($A106,Ventas!$A$2:$A$5000,0)),INDEX(Ventas!$H$2:$H$5000,MATCH($A106,Ventas!$A$2:$A$5000,0)),INDEX(Ventas!$I$2:$I$5000,MATCH($A106,Ventas!$A$2:$A$5000,0)),INDEX(Ventas!$J$2:$J$5000,MATCH($A106,Ventas!$A$2:$A$5000,0)))&gt;0.5*AF106*4,"1 mes = "&amp;TEXT(MAX(INDEX(Ventas!$G$2:$G$5000,MATCH($A106,Ventas!$A$2:$A$5000,0)),INDEX(Ventas!$H$2:$H$5000,MATCH($A106,Ventas!$A$2:$A$5000,0)),INDEX(Ventas!$I$2:$I$5000,MATCH($A106,Ventas!$A$2:$A$5000,0)),INDEX(Ventas!$J$2:$J$5000,MATCH($A106,Ventas!$A$2:$A$5000,0)))/(AF106*4),"0%")&amp;" de 4 meses",""))</f>
        <v/>
      </c>
      <c r="AD106" s="62" t="str">
        <f t="shared" si="7"/>
        <v/>
      </c>
      <c r="AE106" s="62" t="str">
        <f t="array" ref="AE106">IF(X106="","",IF(AND(E106=0,AVERAGE(INDEX(Ventas!$C$2:$I$5000,MATCH($A106,Ventas!$A$2:$A$5000,0),0))&gt;0,INDEX(Ventas!$J$2:$J$5000,MATCH($A106,Ventas!$A$2:$A$5000,0))&lt;0.5*AVERAGE(INDEX(Ventas!$C$2:$I$5000,MATCH($A106,Ventas!$A$2:$A$5000,0),0))),"SÍ — stock 0 y Sep cayó (prom Feb-Ago "&amp;TEXT(AVERAGE(INDEX(Ventas!$C$2:$I$5000,MATCH($A106,Ventas!$A$2:$A$5000,0),0)),"#,##0")&amp;")",""))</f>
        <v>SÍ — stock 0 y Sep cayó (prom Feb-Ago 94)</v>
      </c>
      <c r="AF106" s="60">
        <f t="array" ref="AF106">IF(X106="","",IF(AE106&lt;&gt;"",MAX(X106,AVERAGE(INDEX(Ventas!$C$2:$I$5000,MATCH($A106,Ventas!$A$2:$A$5000,0),0))),X106))</f>
        <v>93.78571429</v>
      </c>
      <c r="AG106" s="60">
        <f t="shared" si="8"/>
        <v>-625</v>
      </c>
      <c r="AH106" s="63" t="str">
        <f t="shared" si="9"/>
        <v>PEDIR MENOS</v>
      </c>
    </row>
    <row r="107" ht="13.5" customHeight="1">
      <c r="A107" s="49" t="s">
        <v>3655</v>
      </c>
      <c r="B107" s="50" t="s">
        <v>183</v>
      </c>
      <c r="C107" s="50" t="s">
        <v>3648</v>
      </c>
      <c r="D107" s="50" t="s">
        <v>3642</v>
      </c>
      <c r="E107" s="51">
        <v>1696.0</v>
      </c>
      <c r="F107" s="52"/>
      <c r="G107" s="53"/>
      <c r="H107" s="55"/>
      <c r="I107" s="55"/>
      <c r="J107" s="53"/>
      <c r="K107" s="53"/>
      <c r="L107" s="55"/>
      <c r="M107" s="53"/>
      <c r="N107" s="74"/>
      <c r="O107" s="57" t="str">
        <f t="shared" si="1"/>
        <v>SIN HISTORIAL DE VENTAS — artículo nuevo o código distinto en Ventas</v>
      </c>
      <c r="P107" s="58">
        <f t="shared" si="2"/>
        <v>1696</v>
      </c>
      <c r="Q107" s="59">
        <v>300.0</v>
      </c>
      <c r="R107" s="1"/>
      <c r="S107" s="1"/>
      <c r="T107" s="1"/>
      <c r="U107" s="1"/>
      <c r="V107" s="1"/>
      <c r="W107" s="1"/>
      <c r="X107" s="60" t="str">
        <f>IFERROR(VLOOKUP($A107,Ventas!$A$2:$L$5000,12,FALSE()),"")</f>
        <v/>
      </c>
      <c r="Y107" s="60" t="str">
        <f t="shared" si="3"/>
        <v/>
      </c>
      <c r="Z107" s="61" t="str">
        <f t="shared" si="4"/>
        <v/>
      </c>
      <c r="AA107" s="60" t="str">
        <f t="shared" si="5"/>
        <v/>
      </c>
      <c r="AB107" s="62" t="str">
        <f t="shared" si="6"/>
        <v/>
      </c>
      <c r="AC107" s="62" t="str">
        <f t="array" ref="AC107">IF(AH107&lt;&gt;"COMPRAR","",IF(MAX(INDEX(Ventas!$G$2:$G$5000,MATCH($A107,Ventas!$A$2:$A$5000,0)),INDEX(Ventas!$H$2:$H$5000,MATCH($A107,Ventas!$A$2:$A$5000,0)),INDEX(Ventas!$I$2:$I$5000,MATCH($A107,Ventas!$A$2:$A$5000,0)),INDEX(Ventas!$J$2:$J$5000,MATCH($A107,Ventas!$A$2:$A$5000,0)))&gt;0.5*AF107*4,"1 mes = "&amp;TEXT(MAX(INDEX(Ventas!$G$2:$G$5000,MATCH($A107,Ventas!$A$2:$A$5000,0)),INDEX(Ventas!$H$2:$H$5000,MATCH($A107,Ventas!$A$2:$A$5000,0)),INDEX(Ventas!$I$2:$I$5000,MATCH($A107,Ventas!$A$2:$A$5000,0)),INDEX(Ventas!$J$2:$J$5000,MATCH($A107,Ventas!$A$2:$A$5000,0)))/(AF107*4),"0%")&amp;" de 4 meses",""))</f>
        <v/>
      </c>
      <c r="AD107" s="62" t="str">
        <f t="shared" si="7"/>
        <v/>
      </c>
      <c r="AE107" s="62" t="str">
        <f t="array" ref="AE107">IF(X107="","",IF(AND(E107=0,AVERAGE(INDEX(Ventas!$C$2:$I$5000,MATCH($A107,Ventas!$A$2:$A$5000,0),0))&gt;0,INDEX(Ventas!$J$2:$J$5000,MATCH($A107,Ventas!$A$2:$A$5000,0))&lt;0.5*AVERAGE(INDEX(Ventas!$C$2:$I$5000,MATCH($A107,Ventas!$A$2:$A$5000,0),0))),"SÍ — stock 0 y Sep cayó (prom Feb-Ago "&amp;TEXT(AVERAGE(INDEX(Ventas!$C$2:$I$5000,MATCH($A107,Ventas!$A$2:$A$5000,0),0)),"#,##0")&amp;")",""))</f>
        <v/>
      </c>
      <c r="AF107" s="60" t="str">
        <f t="array" ref="AF107">IF(X107="","",IF(AE107&lt;&gt;"",MAX(X107,AVERAGE(INDEX(Ventas!$C$2:$I$5000,MATCH($A107,Ventas!$A$2:$A$5000,0),0))),X107))</f>
        <v/>
      </c>
      <c r="AG107" s="60" t="str">
        <f t="shared" si="8"/>
        <v/>
      </c>
      <c r="AH107" s="63" t="str">
        <f t="shared" si="9"/>
        <v>SIN HISTORIAL</v>
      </c>
    </row>
    <row r="108" ht="13.5" customHeight="1">
      <c r="A108" s="64" t="s">
        <v>1926</v>
      </c>
      <c r="B108" s="65" t="s">
        <v>183</v>
      </c>
      <c r="C108" s="65" t="s">
        <v>3648</v>
      </c>
      <c r="D108" s="65" t="s">
        <v>3656</v>
      </c>
      <c r="E108" s="51">
        <v>721.0</v>
      </c>
      <c r="F108" s="66"/>
      <c r="G108" s="53"/>
      <c r="H108" s="55"/>
      <c r="I108" s="55"/>
      <c r="J108" s="53"/>
      <c r="K108" s="53"/>
      <c r="L108" s="55"/>
      <c r="M108" s="53"/>
      <c r="N108" s="73"/>
      <c r="O108" s="57" t="str">
        <f t="shared" si="1"/>
        <v>SOBRESTOCK — 18.0 meses de cobertura</v>
      </c>
      <c r="P108" s="58">
        <f t="shared" si="2"/>
        <v>721</v>
      </c>
      <c r="Q108" s="1"/>
      <c r="R108" s="1"/>
      <c r="S108" s="1"/>
      <c r="T108" s="1"/>
      <c r="U108" s="1"/>
      <c r="V108" s="1"/>
      <c r="W108" s="1"/>
      <c r="X108" s="60">
        <f>IFERROR(VLOOKUP($A108,Ventas!$A$2:$L$5000,12,FALSE()),"")</f>
        <v>40</v>
      </c>
      <c r="Y108" s="60">
        <f t="shared" si="3"/>
        <v>160</v>
      </c>
      <c r="Z108" s="61">
        <f t="shared" si="4"/>
        <v>18</v>
      </c>
      <c r="AA108" s="60">
        <f t="shared" si="5"/>
        <v>-561</v>
      </c>
      <c r="AB108" s="62" t="str">
        <f t="shared" si="6"/>
        <v/>
      </c>
      <c r="AC108" s="62" t="str">
        <f t="array" ref="AC108">IF(AH108&lt;&gt;"COMPRAR","",IF(MAX(INDEX(Ventas!$G$2:$G$5000,MATCH($A108,Ventas!$A$2:$A$5000,0)),INDEX(Ventas!$H$2:$H$5000,MATCH($A108,Ventas!$A$2:$A$5000,0)),INDEX(Ventas!$I$2:$I$5000,MATCH($A108,Ventas!$A$2:$A$5000,0)),INDEX(Ventas!$J$2:$J$5000,MATCH($A108,Ventas!$A$2:$A$5000,0)))&gt;0.5*AF108*4,"1 mes = "&amp;TEXT(MAX(INDEX(Ventas!$G$2:$G$5000,MATCH($A108,Ventas!$A$2:$A$5000,0)),INDEX(Ventas!$H$2:$H$5000,MATCH($A108,Ventas!$A$2:$A$5000,0)),INDEX(Ventas!$I$2:$I$5000,MATCH($A108,Ventas!$A$2:$A$5000,0)),INDEX(Ventas!$J$2:$J$5000,MATCH($A108,Ventas!$A$2:$A$5000,0)))/(AF108*4),"0%")&amp;" de 4 meses",""))</f>
        <v/>
      </c>
      <c r="AD108" s="62" t="str">
        <f t="shared" si="7"/>
        <v/>
      </c>
      <c r="AE108" s="62" t="str">
        <f t="array" ref="AE108">IF(X108="","",IF(AND(E108=0,AVERAGE(INDEX(Ventas!$C$2:$I$5000,MATCH($A108,Ventas!$A$2:$A$5000,0),0))&gt;0,INDEX(Ventas!$J$2:$J$5000,MATCH($A108,Ventas!$A$2:$A$5000,0))&lt;0.5*AVERAGE(INDEX(Ventas!$C$2:$I$5000,MATCH($A108,Ventas!$A$2:$A$5000,0),0))),"SÍ — stock 0 y Sep cayó (prom Feb-Ago "&amp;TEXT(AVERAGE(INDEX(Ventas!$C$2:$I$5000,MATCH($A108,Ventas!$A$2:$A$5000,0),0)),"#,##0")&amp;")",""))</f>
        <v/>
      </c>
      <c r="AF108" s="60">
        <f t="array" ref="AF108">IF(X108="","",IF(AE108&lt;&gt;"",MAX(X108,AVERAGE(INDEX(Ventas!$C$2:$I$5000,MATCH($A108,Ventas!$A$2:$A$5000,0),0))),X108))</f>
        <v>40</v>
      </c>
      <c r="AG108" s="60">
        <f t="shared" si="8"/>
        <v>-561</v>
      </c>
      <c r="AH108" s="63" t="str">
        <f t="shared" si="9"/>
        <v>SOBRESTOCK</v>
      </c>
    </row>
    <row r="109" ht="13.5" customHeight="1">
      <c r="A109" s="49" t="s">
        <v>1934</v>
      </c>
      <c r="B109" s="50" t="s">
        <v>183</v>
      </c>
      <c r="C109" s="50" t="s">
        <v>3648</v>
      </c>
      <c r="D109" s="50" t="s">
        <v>3657</v>
      </c>
      <c r="E109" s="51">
        <v>0.0</v>
      </c>
      <c r="F109" s="52"/>
      <c r="G109" s="53"/>
      <c r="H109" s="55"/>
      <c r="I109" s="55"/>
      <c r="J109" s="53"/>
      <c r="K109" s="53"/>
      <c r="L109" s="55"/>
      <c r="M109" s="53"/>
      <c r="N109" s="74"/>
      <c r="O109" s="57" t="str">
        <f t="shared" si="1"/>
        <v>SIN VENTAS Jun-Sep — no comprar</v>
      </c>
      <c r="P109" s="58">
        <f t="shared" si="2"/>
        <v>0</v>
      </c>
      <c r="Q109" s="59">
        <v>300.0</v>
      </c>
      <c r="R109" s="1"/>
      <c r="S109" s="1"/>
      <c r="T109" s="1"/>
      <c r="U109" s="1"/>
      <c r="V109" s="1"/>
      <c r="W109" s="1"/>
      <c r="X109" s="60">
        <f>IFERROR(VLOOKUP($A109,Ventas!$A$2:$L$5000,12,FALSE()),"")</f>
        <v>0</v>
      </c>
      <c r="Y109" s="60">
        <f t="shared" si="3"/>
        <v>0</v>
      </c>
      <c r="Z109" s="61" t="str">
        <f t="shared" si="4"/>
        <v/>
      </c>
      <c r="AA109" s="60">
        <f t="shared" si="5"/>
        <v>0</v>
      </c>
      <c r="AB109" s="62" t="str">
        <f t="shared" si="6"/>
        <v/>
      </c>
      <c r="AC109" s="62" t="str">
        <f t="array" ref="AC109">IF(AH109&lt;&gt;"COMPRAR","",IF(MAX(INDEX(Ventas!$G$2:$G$5000,MATCH($A109,Ventas!$A$2:$A$5000,0)),INDEX(Ventas!$H$2:$H$5000,MATCH($A109,Ventas!$A$2:$A$5000,0)),INDEX(Ventas!$I$2:$I$5000,MATCH($A109,Ventas!$A$2:$A$5000,0)),INDEX(Ventas!$J$2:$J$5000,MATCH($A109,Ventas!$A$2:$A$5000,0)))&gt;0.5*AF109*4,"1 mes = "&amp;TEXT(MAX(INDEX(Ventas!$G$2:$G$5000,MATCH($A109,Ventas!$A$2:$A$5000,0)),INDEX(Ventas!$H$2:$H$5000,MATCH($A109,Ventas!$A$2:$A$5000,0)),INDEX(Ventas!$I$2:$I$5000,MATCH($A109,Ventas!$A$2:$A$5000,0)),INDEX(Ventas!$J$2:$J$5000,MATCH($A109,Ventas!$A$2:$A$5000,0)))/(AF109*4),"0%")&amp;" de 4 meses",""))</f>
        <v/>
      </c>
      <c r="AD109" s="62" t="str">
        <f t="shared" si="7"/>
        <v/>
      </c>
      <c r="AE109" s="62" t="str">
        <f t="array" ref="AE109">IF(X109="","",IF(AND(E109=0,AVERAGE(INDEX(Ventas!$C$2:$I$5000,MATCH($A109,Ventas!$A$2:$A$5000,0),0))&gt;0,INDEX(Ventas!$J$2:$J$5000,MATCH($A109,Ventas!$A$2:$A$5000,0))&lt;0.5*AVERAGE(INDEX(Ventas!$C$2:$I$5000,MATCH($A109,Ventas!$A$2:$A$5000,0),0))),"SÍ — stock 0 y Sep cayó (prom Feb-Ago "&amp;TEXT(AVERAGE(INDEX(Ventas!$C$2:$I$5000,MATCH($A109,Ventas!$A$2:$A$5000,0),0)),"#,##0")&amp;")",""))</f>
        <v>SÍ — stock 0 y Sep cayó (prom Feb-Ago 293)</v>
      </c>
      <c r="AF109" s="60">
        <f t="array" ref="AF109">IF(X109="","",IF(AE109&lt;&gt;"",MAX(X109,AVERAGE(INDEX(Ventas!$C$2:$I$5000,MATCH($A109,Ventas!$A$2:$A$5000,0),0))),X109))</f>
        <v>293.2857143</v>
      </c>
      <c r="AG109" s="60">
        <f t="shared" si="8"/>
        <v>1173</v>
      </c>
      <c r="AH109" s="63" t="str">
        <f t="shared" si="9"/>
        <v>COMPRAR</v>
      </c>
    </row>
    <row r="110" ht="13.5" customHeight="1">
      <c r="A110" s="64" t="s">
        <v>1940</v>
      </c>
      <c r="B110" s="65" t="s">
        <v>183</v>
      </c>
      <c r="C110" s="65" t="s">
        <v>3648</v>
      </c>
      <c r="D110" s="65" t="s">
        <v>3658</v>
      </c>
      <c r="E110" s="51">
        <v>352.0</v>
      </c>
      <c r="F110" s="66"/>
      <c r="G110" s="53"/>
      <c r="H110" s="55"/>
      <c r="I110" s="55">
        <v>1000.0</v>
      </c>
      <c r="J110" s="53"/>
      <c r="K110" s="53"/>
      <c r="L110" s="55">
        <v>1000.0</v>
      </c>
      <c r="M110" s="53"/>
      <c r="N110" s="73"/>
      <c r="O110" s="57" t="str">
        <f t="shared" si="1"/>
        <v>COMPRAR — faltan 586 m para 4 meses (ya contando pedidos)</v>
      </c>
      <c r="P110" s="58">
        <f t="shared" si="2"/>
        <v>2352</v>
      </c>
      <c r="Q110" s="59">
        <v>300.0</v>
      </c>
      <c r="R110" s="1"/>
      <c r="S110" s="1"/>
      <c r="T110" s="1"/>
      <c r="U110" s="1"/>
      <c r="V110" s="1"/>
      <c r="W110" s="1"/>
      <c r="X110" s="60">
        <f>IFERROR(VLOOKUP($A110,Ventas!$A$2:$L$5000,12,FALSE()),"")</f>
        <v>734.375</v>
      </c>
      <c r="Y110" s="60">
        <f t="shared" si="3"/>
        <v>2938</v>
      </c>
      <c r="Z110" s="61">
        <f t="shared" si="4"/>
        <v>3.2</v>
      </c>
      <c r="AA110" s="60">
        <f t="shared" si="5"/>
        <v>586</v>
      </c>
      <c r="AB110" s="62" t="str">
        <f t="shared" si="6"/>
        <v/>
      </c>
      <c r="AC110" s="62" t="str">
        <f t="array" ref="AC110">IF(AH110&lt;&gt;"COMPRAR","",IF(MAX(INDEX(Ventas!$G$2:$G$5000,MATCH($A110,Ventas!$A$2:$A$5000,0)),INDEX(Ventas!$H$2:$H$5000,MATCH($A110,Ventas!$A$2:$A$5000,0)),INDEX(Ventas!$I$2:$I$5000,MATCH($A110,Ventas!$A$2:$A$5000,0)),INDEX(Ventas!$J$2:$J$5000,MATCH($A110,Ventas!$A$2:$A$5000,0)))&gt;0.5*AF110*4,"1 mes = "&amp;TEXT(MAX(INDEX(Ventas!$G$2:$G$5000,MATCH($A110,Ventas!$A$2:$A$5000,0)),INDEX(Ventas!$H$2:$H$5000,MATCH($A110,Ventas!$A$2:$A$5000,0)),INDEX(Ventas!$I$2:$I$5000,MATCH($A110,Ventas!$A$2:$A$5000,0)),INDEX(Ventas!$J$2:$J$5000,MATCH($A110,Ventas!$A$2:$A$5000,0)))/(AF110*4),"0%")&amp;" de 4 meses",""))</f>
        <v/>
      </c>
      <c r="AD110" s="62" t="str">
        <f t="shared" si="7"/>
        <v>SÍ — 352 m vs 389 m</v>
      </c>
      <c r="AE110" s="62" t="str">
        <f t="array" ref="AE110">IF(X110="","",IF(AND(E110=0,AVERAGE(INDEX(Ventas!$C$2:$I$5000,MATCH($A110,Ventas!$A$2:$A$5000,0),0))&gt;0,INDEX(Ventas!$J$2:$J$5000,MATCH($A110,Ventas!$A$2:$A$5000,0))&lt;0.5*AVERAGE(INDEX(Ventas!$C$2:$I$5000,MATCH($A110,Ventas!$A$2:$A$5000,0),0))),"SÍ — stock 0 y Sep cayó (prom Feb-Ago "&amp;TEXT(AVERAGE(INDEX(Ventas!$C$2:$I$5000,MATCH($A110,Ventas!$A$2:$A$5000,0),0)),"#,##0")&amp;")",""))</f>
        <v/>
      </c>
      <c r="AF110" s="60">
        <f t="array" ref="AF110">IF(X110="","",IF(AE110&lt;&gt;"",MAX(X110,AVERAGE(INDEX(Ventas!$C$2:$I$5000,MATCH($A110,Ventas!$A$2:$A$5000,0),0))),X110))</f>
        <v>734.375</v>
      </c>
      <c r="AG110" s="60">
        <f t="shared" si="8"/>
        <v>586</v>
      </c>
      <c r="AH110" s="63" t="str">
        <f t="shared" si="9"/>
        <v>COMPRAR</v>
      </c>
    </row>
    <row r="111" ht="13.5" customHeight="1">
      <c r="A111" s="49" t="s">
        <v>2283</v>
      </c>
      <c r="B111" s="50" t="s">
        <v>183</v>
      </c>
      <c r="C111" s="50" t="s">
        <v>3659</v>
      </c>
      <c r="D111" s="50" t="s">
        <v>1329</v>
      </c>
      <c r="E111" s="51">
        <v>1252.0</v>
      </c>
      <c r="F111" s="52"/>
      <c r="G111" s="53"/>
      <c r="H111" s="55"/>
      <c r="I111" s="55"/>
      <c r="J111" s="53"/>
      <c r="K111" s="53"/>
      <c r="L111" s="55"/>
      <c r="M111" s="53"/>
      <c r="N111" s="74"/>
      <c r="O111" s="57" t="str">
        <f t="shared" si="1"/>
        <v>SOBRESTOCK — 9.1 meses de cobertura</v>
      </c>
      <c r="P111" s="58">
        <f t="shared" si="2"/>
        <v>1252</v>
      </c>
      <c r="Q111" s="1"/>
      <c r="R111" s="1"/>
      <c r="S111" s="1"/>
      <c r="T111" s="1"/>
      <c r="U111" s="1"/>
      <c r="V111" s="1"/>
      <c r="W111" s="1"/>
      <c r="X111" s="60">
        <f>IFERROR(VLOOKUP($A111,Ventas!$A$2:$L$5000,12,FALSE()),"")</f>
        <v>137.5</v>
      </c>
      <c r="Y111" s="60">
        <f t="shared" si="3"/>
        <v>550</v>
      </c>
      <c r="Z111" s="61">
        <f t="shared" si="4"/>
        <v>9.1</v>
      </c>
      <c r="AA111" s="60">
        <f t="shared" si="5"/>
        <v>-702</v>
      </c>
      <c r="AB111" s="62" t="str">
        <f t="shared" si="6"/>
        <v/>
      </c>
      <c r="AC111" s="62" t="str">
        <f t="array" ref="AC111">IF(AH111&lt;&gt;"COMPRAR","",IF(MAX(INDEX(Ventas!$G$2:$G$5000,MATCH($A111,Ventas!$A$2:$A$5000,0)),INDEX(Ventas!$H$2:$H$5000,MATCH($A111,Ventas!$A$2:$A$5000,0)),INDEX(Ventas!$I$2:$I$5000,MATCH($A111,Ventas!$A$2:$A$5000,0)),INDEX(Ventas!$J$2:$J$5000,MATCH($A111,Ventas!$A$2:$A$5000,0)))&gt;0.5*AF111*4,"1 mes = "&amp;TEXT(MAX(INDEX(Ventas!$G$2:$G$5000,MATCH($A111,Ventas!$A$2:$A$5000,0)),INDEX(Ventas!$H$2:$H$5000,MATCH($A111,Ventas!$A$2:$A$5000,0)),INDEX(Ventas!$I$2:$I$5000,MATCH($A111,Ventas!$A$2:$A$5000,0)),INDEX(Ventas!$J$2:$J$5000,MATCH($A111,Ventas!$A$2:$A$5000,0)))/(AF111*4),"0%")&amp;" de 4 meses",""))</f>
        <v/>
      </c>
      <c r="AD111" s="62" t="str">
        <f t="shared" si="7"/>
        <v/>
      </c>
      <c r="AE111" s="62" t="str">
        <f t="array" ref="AE111">IF(X111="","",IF(AND(E111=0,AVERAGE(INDEX(Ventas!$C$2:$I$5000,MATCH($A111,Ventas!$A$2:$A$5000,0),0))&gt;0,INDEX(Ventas!$J$2:$J$5000,MATCH($A111,Ventas!$A$2:$A$5000,0))&lt;0.5*AVERAGE(INDEX(Ventas!$C$2:$I$5000,MATCH($A111,Ventas!$A$2:$A$5000,0),0))),"SÍ — stock 0 y Sep cayó (prom Feb-Ago "&amp;TEXT(AVERAGE(INDEX(Ventas!$C$2:$I$5000,MATCH($A111,Ventas!$A$2:$A$5000,0),0)),"#,##0")&amp;")",""))</f>
        <v/>
      </c>
      <c r="AF111" s="60">
        <f t="array" ref="AF111">IF(X111="","",IF(AE111&lt;&gt;"",MAX(X111,AVERAGE(INDEX(Ventas!$C$2:$I$5000,MATCH($A111,Ventas!$A$2:$A$5000,0),0))),X111))</f>
        <v>137.5</v>
      </c>
      <c r="AG111" s="60">
        <f t="shared" si="8"/>
        <v>-702</v>
      </c>
      <c r="AH111" s="63" t="str">
        <f t="shared" si="9"/>
        <v>SOBRESTOCK</v>
      </c>
    </row>
    <row r="112" ht="13.5" customHeight="1">
      <c r="A112" s="64" t="s">
        <v>2287</v>
      </c>
      <c r="B112" s="65" t="s">
        <v>183</v>
      </c>
      <c r="C112" s="65" t="s">
        <v>3659</v>
      </c>
      <c r="D112" s="65" t="s">
        <v>3660</v>
      </c>
      <c r="E112" s="51">
        <v>1068.0</v>
      </c>
      <c r="F112" s="66"/>
      <c r="G112" s="53"/>
      <c r="H112" s="55"/>
      <c r="I112" s="55"/>
      <c r="J112" s="53"/>
      <c r="K112" s="53"/>
      <c r="L112" s="55"/>
      <c r="M112" s="53"/>
      <c r="N112" s="73"/>
      <c r="O112" s="57" t="str">
        <f t="shared" si="1"/>
        <v>SOBRESTOCK — 28.5 meses de cobertura</v>
      </c>
      <c r="P112" s="58">
        <f t="shared" si="2"/>
        <v>1068</v>
      </c>
      <c r="Q112" s="1"/>
      <c r="R112" s="1"/>
      <c r="S112" s="1"/>
      <c r="T112" s="1"/>
      <c r="U112" s="1"/>
      <c r="V112" s="1"/>
      <c r="W112" s="1"/>
      <c r="X112" s="60">
        <f>IFERROR(VLOOKUP($A112,Ventas!$A$2:$L$5000,12,FALSE()),"")</f>
        <v>37.5</v>
      </c>
      <c r="Y112" s="60">
        <f t="shared" si="3"/>
        <v>150</v>
      </c>
      <c r="Z112" s="61">
        <f t="shared" si="4"/>
        <v>28.5</v>
      </c>
      <c r="AA112" s="60">
        <f t="shared" si="5"/>
        <v>-918</v>
      </c>
      <c r="AB112" s="62" t="str">
        <f t="shared" si="6"/>
        <v/>
      </c>
      <c r="AC112" s="62" t="str">
        <f t="array" ref="AC112">IF(AH112&lt;&gt;"COMPRAR","",IF(MAX(INDEX(Ventas!$G$2:$G$5000,MATCH($A112,Ventas!$A$2:$A$5000,0)),INDEX(Ventas!$H$2:$H$5000,MATCH($A112,Ventas!$A$2:$A$5000,0)),INDEX(Ventas!$I$2:$I$5000,MATCH($A112,Ventas!$A$2:$A$5000,0)),INDEX(Ventas!$J$2:$J$5000,MATCH($A112,Ventas!$A$2:$A$5000,0)))&gt;0.5*AF112*4,"1 mes = "&amp;TEXT(MAX(INDEX(Ventas!$G$2:$G$5000,MATCH($A112,Ventas!$A$2:$A$5000,0)),INDEX(Ventas!$H$2:$H$5000,MATCH($A112,Ventas!$A$2:$A$5000,0)),INDEX(Ventas!$I$2:$I$5000,MATCH($A112,Ventas!$A$2:$A$5000,0)),INDEX(Ventas!$J$2:$J$5000,MATCH($A112,Ventas!$A$2:$A$5000,0)))/(AF112*4),"0%")&amp;" de 4 meses",""))</f>
        <v/>
      </c>
      <c r="AD112" s="62" t="str">
        <f t="shared" si="7"/>
        <v/>
      </c>
      <c r="AE112" s="62" t="str">
        <f t="array" ref="AE112">IF(X112="","",IF(AND(E112=0,AVERAGE(INDEX(Ventas!$C$2:$I$5000,MATCH($A112,Ventas!$A$2:$A$5000,0),0))&gt;0,INDEX(Ventas!$J$2:$J$5000,MATCH($A112,Ventas!$A$2:$A$5000,0))&lt;0.5*AVERAGE(INDEX(Ventas!$C$2:$I$5000,MATCH($A112,Ventas!$A$2:$A$5000,0),0))),"SÍ — stock 0 y Sep cayó (prom Feb-Ago "&amp;TEXT(AVERAGE(INDEX(Ventas!$C$2:$I$5000,MATCH($A112,Ventas!$A$2:$A$5000,0),0)),"#,##0")&amp;")",""))</f>
        <v/>
      </c>
      <c r="AF112" s="60">
        <f t="array" ref="AF112">IF(X112="","",IF(AE112&lt;&gt;"",MAX(X112,AVERAGE(INDEX(Ventas!$C$2:$I$5000,MATCH($A112,Ventas!$A$2:$A$5000,0),0))),X112))</f>
        <v>37.5</v>
      </c>
      <c r="AG112" s="60">
        <f t="shared" si="8"/>
        <v>-918</v>
      </c>
      <c r="AH112" s="63" t="str">
        <f t="shared" si="9"/>
        <v>SOBRESTOCK</v>
      </c>
    </row>
    <row r="113" ht="13.5" customHeight="1">
      <c r="A113" s="49" t="s">
        <v>2281</v>
      </c>
      <c r="B113" s="50" t="s">
        <v>183</v>
      </c>
      <c r="C113" s="50" t="s">
        <v>3659</v>
      </c>
      <c r="D113" s="50" t="s">
        <v>1009</v>
      </c>
      <c r="E113" s="51">
        <v>8069.0</v>
      </c>
      <c r="F113" s="52"/>
      <c r="G113" s="53"/>
      <c r="H113" s="55"/>
      <c r="I113" s="55"/>
      <c r="J113" s="53"/>
      <c r="K113" s="53"/>
      <c r="L113" s="55"/>
      <c r="M113" s="53"/>
      <c r="N113" s="74"/>
      <c r="O113" s="57" t="str">
        <f t="shared" si="1"/>
        <v>SOBRESTOCK — 13.6 meses de cobertura</v>
      </c>
      <c r="P113" s="58">
        <f t="shared" si="2"/>
        <v>8069</v>
      </c>
      <c r="Q113" s="1"/>
      <c r="R113" s="1"/>
      <c r="S113" s="1"/>
      <c r="T113" s="1"/>
      <c r="U113" s="1"/>
      <c r="V113" s="1"/>
      <c r="W113" s="1"/>
      <c r="X113" s="60">
        <f>IFERROR(VLOOKUP($A113,Ventas!$A$2:$L$5000,12,FALSE()),"")</f>
        <v>594.125</v>
      </c>
      <c r="Y113" s="60">
        <f t="shared" si="3"/>
        <v>2377</v>
      </c>
      <c r="Z113" s="61">
        <f t="shared" si="4"/>
        <v>13.6</v>
      </c>
      <c r="AA113" s="60">
        <f t="shared" si="5"/>
        <v>-5692</v>
      </c>
      <c r="AB113" s="62" t="str">
        <f t="shared" si="6"/>
        <v/>
      </c>
      <c r="AC113" s="62" t="str">
        <f t="array" ref="AC113">IF(AH113&lt;&gt;"COMPRAR","",IF(MAX(INDEX(Ventas!$G$2:$G$5000,MATCH($A113,Ventas!$A$2:$A$5000,0)),INDEX(Ventas!$H$2:$H$5000,MATCH($A113,Ventas!$A$2:$A$5000,0)),INDEX(Ventas!$I$2:$I$5000,MATCH($A113,Ventas!$A$2:$A$5000,0)),INDEX(Ventas!$J$2:$J$5000,MATCH($A113,Ventas!$A$2:$A$5000,0)))&gt;0.5*AF113*4,"1 mes = "&amp;TEXT(MAX(INDEX(Ventas!$G$2:$G$5000,MATCH($A113,Ventas!$A$2:$A$5000,0)),INDEX(Ventas!$H$2:$H$5000,MATCH($A113,Ventas!$A$2:$A$5000,0)),INDEX(Ventas!$I$2:$I$5000,MATCH($A113,Ventas!$A$2:$A$5000,0)),INDEX(Ventas!$J$2:$J$5000,MATCH($A113,Ventas!$A$2:$A$5000,0)))/(AF113*4),"0%")&amp;" de 4 meses",""))</f>
        <v/>
      </c>
      <c r="AD113" s="62" t="str">
        <f t="shared" si="7"/>
        <v/>
      </c>
      <c r="AE113" s="62" t="str">
        <f t="array" ref="AE113">IF(X113="","",IF(AND(E113=0,AVERAGE(INDEX(Ventas!$C$2:$I$5000,MATCH($A113,Ventas!$A$2:$A$5000,0),0))&gt;0,INDEX(Ventas!$J$2:$J$5000,MATCH($A113,Ventas!$A$2:$A$5000,0))&lt;0.5*AVERAGE(INDEX(Ventas!$C$2:$I$5000,MATCH($A113,Ventas!$A$2:$A$5000,0),0))),"SÍ — stock 0 y Sep cayó (prom Feb-Ago "&amp;TEXT(AVERAGE(INDEX(Ventas!$C$2:$I$5000,MATCH($A113,Ventas!$A$2:$A$5000,0),0)),"#,##0")&amp;")",""))</f>
        <v/>
      </c>
      <c r="AF113" s="60">
        <f t="array" ref="AF113">IF(X113="","",IF(AE113&lt;&gt;"",MAX(X113,AVERAGE(INDEX(Ventas!$C$2:$I$5000,MATCH($A113,Ventas!$A$2:$A$5000,0),0))),X113))</f>
        <v>594.125</v>
      </c>
      <c r="AG113" s="60">
        <f t="shared" si="8"/>
        <v>-5692</v>
      </c>
      <c r="AH113" s="63" t="str">
        <f t="shared" si="9"/>
        <v>SOBRESTOCK</v>
      </c>
    </row>
    <row r="114" ht="13.5" customHeight="1">
      <c r="A114" s="64" t="s">
        <v>2285</v>
      </c>
      <c r="B114" s="65" t="s">
        <v>183</v>
      </c>
      <c r="C114" s="65" t="s">
        <v>3659</v>
      </c>
      <c r="D114" s="65" t="s">
        <v>1911</v>
      </c>
      <c r="E114" s="51">
        <v>1381.0</v>
      </c>
      <c r="F114" s="66"/>
      <c r="G114" s="53"/>
      <c r="H114" s="55"/>
      <c r="I114" s="55"/>
      <c r="J114" s="53"/>
      <c r="K114" s="53"/>
      <c r="L114" s="55"/>
      <c r="M114" s="53"/>
      <c r="N114" s="73"/>
      <c r="O114" s="57" t="str">
        <f t="shared" si="1"/>
        <v>SOBRESTOCK — 13.8 meses de cobertura</v>
      </c>
      <c r="P114" s="58">
        <f t="shared" si="2"/>
        <v>1381</v>
      </c>
      <c r="Q114" s="1"/>
      <c r="R114" s="1"/>
      <c r="S114" s="1"/>
      <c r="T114" s="1"/>
      <c r="U114" s="1"/>
      <c r="V114" s="1"/>
      <c r="W114" s="1"/>
      <c r="X114" s="60">
        <f>IFERROR(VLOOKUP($A114,Ventas!$A$2:$L$5000,12,FALSE()),"")</f>
        <v>100.375</v>
      </c>
      <c r="Y114" s="60">
        <f t="shared" si="3"/>
        <v>402</v>
      </c>
      <c r="Z114" s="61">
        <f t="shared" si="4"/>
        <v>13.8</v>
      </c>
      <c r="AA114" s="60">
        <f t="shared" si="5"/>
        <v>-979</v>
      </c>
      <c r="AB114" s="62" t="str">
        <f t="shared" si="6"/>
        <v/>
      </c>
      <c r="AC114" s="62" t="str">
        <f t="array" ref="AC114">IF(AH114&lt;&gt;"COMPRAR","",IF(MAX(INDEX(Ventas!$G$2:$G$5000,MATCH($A114,Ventas!$A$2:$A$5000,0)),INDEX(Ventas!$H$2:$H$5000,MATCH($A114,Ventas!$A$2:$A$5000,0)),INDEX(Ventas!$I$2:$I$5000,MATCH($A114,Ventas!$A$2:$A$5000,0)),INDEX(Ventas!$J$2:$J$5000,MATCH($A114,Ventas!$A$2:$A$5000,0)))&gt;0.5*AF114*4,"1 mes = "&amp;TEXT(MAX(INDEX(Ventas!$G$2:$G$5000,MATCH($A114,Ventas!$A$2:$A$5000,0)),INDEX(Ventas!$H$2:$H$5000,MATCH($A114,Ventas!$A$2:$A$5000,0)),INDEX(Ventas!$I$2:$I$5000,MATCH($A114,Ventas!$A$2:$A$5000,0)),INDEX(Ventas!$J$2:$J$5000,MATCH($A114,Ventas!$A$2:$A$5000,0)))/(AF114*4),"0%")&amp;" de 4 meses",""))</f>
        <v/>
      </c>
      <c r="AD114" s="62" t="str">
        <f t="shared" si="7"/>
        <v/>
      </c>
      <c r="AE114" s="62" t="str">
        <f t="array" ref="AE114">IF(X114="","",IF(AND(E114=0,AVERAGE(INDEX(Ventas!$C$2:$I$5000,MATCH($A114,Ventas!$A$2:$A$5000,0),0))&gt;0,INDEX(Ventas!$J$2:$J$5000,MATCH($A114,Ventas!$A$2:$A$5000,0))&lt;0.5*AVERAGE(INDEX(Ventas!$C$2:$I$5000,MATCH($A114,Ventas!$A$2:$A$5000,0),0))),"SÍ — stock 0 y Sep cayó (prom Feb-Ago "&amp;TEXT(AVERAGE(INDEX(Ventas!$C$2:$I$5000,MATCH($A114,Ventas!$A$2:$A$5000,0),0)),"#,##0")&amp;")",""))</f>
        <v/>
      </c>
      <c r="AF114" s="60">
        <f t="array" ref="AF114">IF(X114="","",IF(AE114&lt;&gt;"",MAX(X114,AVERAGE(INDEX(Ventas!$C$2:$I$5000,MATCH($A114,Ventas!$A$2:$A$5000,0),0))),X114))</f>
        <v>100.375</v>
      </c>
      <c r="AG114" s="60">
        <f t="shared" si="8"/>
        <v>-979</v>
      </c>
      <c r="AH114" s="63" t="str">
        <f t="shared" si="9"/>
        <v>SOBRESTOCK</v>
      </c>
    </row>
    <row r="115" ht="13.5" customHeight="1">
      <c r="A115" s="49" t="s">
        <v>849</v>
      </c>
      <c r="B115" s="50" t="s">
        <v>183</v>
      </c>
      <c r="C115" s="50" t="s">
        <v>3661</v>
      </c>
      <c r="D115" s="50" t="s">
        <v>1329</v>
      </c>
      <c r="E115" s="51">
        <v>0.0</v>
      </c>
      <c r="F115" s="52"/>
      <c r="G115" s="53"/>
      <c r="H115" s="55"/>
      <c r="I115" s="55"/>
      <c r="J115" s="53"/>
      <c r="K115" s="53"/>
      <c r="L115" s="55"/>
      <c r="M115" s="53"/>
      <c r="N115" s="74"/>
      <c r="O115" s="57" t="str">
        <f t="shared" si="1"/>
        <v>COMPRAR — faltan 201 m para 4 meses</v>
      </c>
      <c r="P115" s="58">
        <f t="shared" si="2"/>
        <v>0</v>
      </c>
      <c r="Q115" s="1"/>
      <c r="R115" s="1"/>
      <c r="S115" s="1"/>
      <c r="T115" s="1"/>
      <c r="U115" s="1"/>
      <c r="V115" s="1"/>
      <c r="W115" s="1"/>
      <c r="X115" s="60">
        <f>IFERROR(VLOOKUP($A115,Ventas!$A$2:$L$5000,12,FALSE()),"")</f>
        <v>50.25</v>
      </c>
      <c r="Y115" s="60">
        <f t="shared" si="3"/>
        <v>201</v>
      </c>
      <c r="Z115" s="61">
        <f t="shared" si="4"/>
        <v>0</v>
      </c>
      <c r="AA115" s="60">
        <f t="shared" si="5"/>
        <v>201</v>
      </c>
      <c r="AB115" s="62" t="str">
        <f t="shared" si="6"/>
        <v/>
      </c>
      <c r="AC115" s="62" t="str">
        <f t="array" ref="AC115">IF(AH115&lt;&gt;"COMPRAR","",IF(MAX(INDEX(Ventas!$G$2:$G$5000,MATCH($A115,Ventas!$A$2:$A$5000,0)),INDEX(Ventas!$H$2:$H$5000,MATCH($A115,Ventas!$A$2:$A$5000,0)),INDEX(Ventas!$I$2:$I$5000,MATCH($A115,Ventas!$A$2:$A$5000,0)),INDEX(Ventas!$J$2:$J$5000,MATCH($A115,Ventas!$A$2:$A$5000,0)))&gt;0.5*AF115*4,"1 mes = "&amp;TEXT(MAX(INDEX(Ventas!$G$2:$G$5000,MATCH($A115,Ventas!$A$2:$A$5000,0)),INDEX(Ventas!$H$2:$H$5000,MATCH($A115,Ventas!$A$2:$A$5000,0)),INDEX(Ventas!$I$2:$I$5000,MATCH($A115,Ventas!$A$2:$A$5000,0)),INDEX(Ventas!$J$2:$J$5000,MATCH($A115,Ventas!$A$2:$A$5000,0)))/(AF115*4),"0%")&amp;" de 4 meses",""))</f>
        <v>1 mes = 54% de 4 meses</v>
      </c>
      <c r="AD115" s="62" t="str">
        <f t="shared" si="7"/>
        <v>SÍ — 0 m vs 27 m</v>
      </c>
      <c r="AE115" s="62" t="str">
        <f t="array" ref="AE115">IF(X115="","",IF(AND(E115=0,AVERAGE(INDEX(Ventas!$C$2:$I$5000,MATCH($A115,Ventas!$A$2:$A$5000,0),0))&gt;0,INDEX(Ventas!$J$2:$J$5000,MATCH($A115,Ventas!$A$2:$A$5000,0))&lt;0.5*AVERAGE(INDEX(Ventas!$C$2:$I$5000,MATCH($A115,Ventas!$A$2:$A$5000,0),0))),"SÍ — stock 0 y Sep cayó (prom Feb-Ago "&amp;TEXT(AVERAGE(INDEX(Ventas!$C$2:$I$5000,MATCH($A115,Ventas!$A$2:$A$5000,0),0)),"#,##0")&amp;")",""))</f>
        <v>SÍ — stock 0 y Sep cayó (prom Feb-Ago 69)</v>
      </c>
      <c r="AF115" s="60">
        <f t="array" ref="AF115">IF(X115="","",IF(AE115&lt;&gt;"",MAX(X115,AVERAGE(INDEX(Ventas!$C$2:$I$5000,MATCH($A115,Ventas!$A$2:$A$5000,0),0))),X115))</f>
        <v>69.28571429</v>
      </c>
      <c r="AG115" s="60">
        <f t="shared" si="8"/>
        <v>277</v>
      </c>
      <c r="AH115" s="63" t="str">
        <f t="shared" si="9"/>
        <v>COMPRAR</v>
      </c>
    </row>
    <row r="116" ht="13.5" customHeight="1">
      <c r="A116" s="64" t="s">
        <v>851</v>
      </c>
      <c r="B116" s="65" t="s">
        <v>183</v>
      </c>
      <c r="C116" s="65" t="s">
        <v>3661</v>
      </c>
      <c r="D116" s="65" t="s">
        <v>1911</v>
      </c>
      <c r="E116" s="51">
        <v>409.0</v>
      </c>
      <c r="F116" s="66"/>
      <c r="G116" s="53"/>
      <c r="H116" s="55"/>
      <c r="I116" s="55"/>
      <c r="J116" s="53"/>
      <c r="K116" s="53"/>
      <c r="L116" s="55"/>
      <c r="M116" s="53"/>
      <c r="N116" s="73"/>
      <c r="O116" s="57" t="str">
        <f t="shared" si="1"/>
        <v>SOBRESTOCK — 16.4 meses de cobertura</v>
      </c>
      <c r="P116" s="58">
        <f t="shared" si="2"/>
        <v>409</v>
      </c>
      <c r="Q116" s="1"/>
      <c r="R116" s="1"/>
      <c r="S116" s="1"/>
      <c r="T116" s="1"/>
      <c r="U116" s="1"/>
      <c r="V116" s="1"/>
      <c r="W116" s="1"/>
      <c r="X116" s="60">
        <f>IFERROR(VLOOKUP($A116,Ventas!$A$2:$L$5000,12,FALSE()),"")</f>
        <v>25</v>
      </c>
      <c r="Y116" s="60">
        <f t="shared" si="3"/>
        <v>100</v>
      </c>
      <c r="Z116" s="61">
        <f t="shared" si="4"/>
        <v>16.4</v>
      </c>
      <c r="AA116" s="60">
        <f t="shared" si="5"/>
        <v>-309</v>
      </c>
      <c r="AB116" s="62" t="str">
        <f t="shared" si="6"/>
        <v/>
      </c>
      <c r="AC116" s="62" t="str">
        <f t="array" ref="AC116">IF(AH116&lt;&gt;"COMPRAR","",IF(MAX(INDEX(Ventas!$G$2:$G$5000,MATCH($A116,Ventas!$A$2:$A$5000,0)),INDEX(Ventas!$H$2:$H$5000,MATCH($A116,Ventas!$A$2:$A$5000,0)),INDEX(Ventas!$I$2:$I$5000,MATCH($A116,Ventas!$A$2:$A$5000,0)),INDEX(Ventas!$J$2:$J$5000,MATCH($A116,Ventas!$A$2:$A$5000,0)))&gt;0.5*AF116*4,"1 mes = "&amp;TEXT(MAX(INDEX(Ventas!$G$2:$G$5000,MATCH($A116,Ventas!$A$2:$A$5000,0)),INDEX(Ventas!$H$2:$H$5000,MATCH($A116,Ventas!$A$2:$A$5000,0)),INDEX(Ventas!$I$2:$I$5000,MATCH($A116,Ventas!$A$2:$A$5000,0)),INDEX(Ventas!$J$2:$J$5000,MATCH($A116,Ventas!$A$2:$A$5000,0)))/(AF116*4),"0%")&amp;" de 4 meses",""))</f>
        <v/>
      </c>
      <c r="AD116" s="62" t="str">
        <f t="shared" si="7"/>
        <v/>
      </c>
      <c r="AE116" s="62" t="str">
        <f t="array" ref="AE116">IF(X116="","",IF(AND(E116=0,AVERAGE(INDEX(Ventas!$C$2:$I$5000,MATCH($A116,Ventas!$A$2:$A$5000,0),0))&gt;0,INDEX(Ventas!$J$2:$J$5000,MATCH($A116,Ventas!$A$2:$A$5000,0))&lt;0.5*AVERAGE(INDEX(Ventas!$C$2:$I$5000,MATCH($A116,Ventas!$A$2:$A$5000,0),0))),"SÍ — stock 0 y Sep cayó (prom Feb-Ago "&amp;TEXT(AVERAGE(INDEX(Ventas!$C$2:$I$5000,MATCH($A116,Ventas!$A$2:$A$5000,0),0)),"#,##0")&amp;")",""))</f>
        <v/>
      </c>
      <c r="AF116" s="60">
        <f t="array" ref="AF116">IF(X116="","",IF(AE116&lt;&gt;"",MAX(X116,AVERAGE(INDEX(Ventas!$C$2:$I$5000,MATCH($A116,Ventas!$A$2:$A$5000,0),0))),X116))</f>
        <v>25</v>
      </c>
      <c r="AG116" s="60">
        <f t="shared" si="8"/>
        <v>-309</v>
      </c>
      <c r="AH116" s="63" t="str">
        <f t="shared" si="9"/>
        <v>SOBRESTOCK</v>
      </c>
    </row>
    <row r="117" ht="13.5" customHeight="1">
      <c r="A117" s="49" t="s">
        <v>845</v>
      </c>
      <c r="B117" s="50" t="s">
        <v>183</v>
      </c>
      <c r="C117" s="50" t="s">
        <v>3661</v>
      </c>
      <c r="D117" s="50" t="s">
        <v>3637</v>
      </c>
      <c r="E117" s="51">
        <v>679.0</v>
      </c>
      <c r="F117" s="52"/>
      <c r="G117" s="53"/>
      <c r="H117" s="55"/>
      <c r="I117" s="39"/>
      <c r="J117" s="53"/>
      <c r="K117" s="53"/>
      <c r="L117" s="55"/>
      <c r="M117" s="53"/>
      <c r="N117" s="74"/>
      <c r="O117" s="57" t="str">
        <f t="shared" si="1"/>
        <v>SIN VENTAS Jun-Sep — no comprar (679 m disponibles)</v>
      </c>
      <c r="P117" s="58">
        <f t="shared" si="2"/>
        <v>679</v>
      </c>
      <c r="Q117" s="1"/>
      <c r="R117" s="1"/>
      <c r="S117" s="1"/>
      <c r="T117" s="1"/>
      <c r="U117" s="1"/>
      <c r="V117" s="1"/>
      <c r="W117" s="1"/>
      <c r="X117" s="60">
        <f>IFERROR(VLOOKUP($A117,Ventas!$A$2:$L$5000,12,FALSE()),"")</f>
        <v>0</v>
      </c>
      <c r="Y117" s="60">
        <f t="shared" si="3"/>
        <v>0</v>
      </c>
      <c r="Z117" s="61" t="str">
        <f t="shared" si="4"/>
        <v/>
      </c>
      <c r="AA117" s="60">
        <f t="shared" si="5"/>
        <v>-679</v>
      </c>
      <c r="AB117" s="62" t="str">
        <f t="shared" si="6"/>
        <v/>
      </c>
      <c r="AC117" s="62" t="str">
        <f t="array" ref="AC117">IF(AH117&lt;&gt;"COMPRAR","",IF(MAX(INDEX(Ventas!$G$2:$G$5000,MATCH($A117,Ventas!$A$2:$A$5000,0)),INDEX(Ventas!$H$2:$H$5000,MATCH($A117,Ventas!$A$2:$A$5000,0)),INDEX(Ventas!$I$2:$I$5000,MATCH($A117,Ventas!$A$2:$A$5000,0)),INDEX(Ventas!$J$2:$J$5000,MATCH($A117,Ventas!$A$2:$A$5000,0)))&gt;0.5*AF117*4,"1 mes = "&amp;TEXT(MAX(INDEX(Ventas!$G$2:$G$5000,MATCH($A117,Ventas!$A$2:$A$5000,0)),INDEX(Ventas!$H$2:$H$5000,MATCH($A117,Ventas!$A$2:$A$5000,0)),INDEX(Ventas!$I$2:$I$5000,MATCH($A117,Ventas!$A$2:$A$5000,0)),INDEX(Ventas!$J$2:$J$5000,MATCH($A117,Ventas!$A$2:$A$5000,0)))/(AF117*4),"0%")&amp;" de 4 meses",""))</f>
        <v/>
      </c>
      <c r="AD117" s="62" t="str">
        <f t="shared" si="7"/>
        <v/>
      </c>
      <c r="AE117" s="62" t="str">
        <f t="array" ref="AE117">IF(X117="","",IF(AND(E117=0,AVERAGE(INDEX(Ventas!$C$2:$I$5000,MATCH($A117,Ventas!$A$2:$A$5000,0),0))&gt;0,INDEX(Ventas!$J$2:$J$5000,MATCH($A117,Ventas!$A$2:$A$5000,0))&lt;0.5*AVERAGE(INDEX(Ventas!$C$2:$I$5000,MATCH($A117,Ventas!$A$2:$A$5000,0),0))),"SÍ — stock 0 y Sep cayó (prom Feb-Ago "&amp;TEXT(AVERAGE(INDEX(Ventas!$C$2:$I$5000,MATCH($A117,Ventas!$A$2:$A$5000,0),0)),"#,##0")&amp;")",""))</f>
        <v/>
      </c>
      <c r="AF117" s="60">
        <f t="array" ref="AF117">IF(X117="","",IF(AE117&lt;&gt;"",MAX(X117,AVERAGE(INDEX(Ventas!$C$2:$I$5000,MATCH($A117,Ventas!$A$2:$A$5000,0),0))),X117))</f>
        <v>0</v>
      </c>
      <c r="AG117" s="60">
        <f t="shared" si="8"/>
        <v>-679</v>
      </c>
      <c r="AH117" s="63" t="str">
        <f t="shared" si="9"/>
        <v>SIN VENTAS</v>
      </c>
    </row>
    <row r="118" ht="13.5" customHeight="1">
      <c r="A118" s="64" t="s">
        <v>181</v>
      </c>
      <c r="B118" s="65" t="s">
        <v>183</v>
      </c>
      <c r="C118" s="65" t="s">
        <v>3662</v>
      </c>
      <c r="D118" s="65" t="s">
        <v>1329</v>
      </c>
      <c r="E118" s="51">
        <v>5965.0</v>
      </c>
      <c r="F118" s="66"/>
      <c r="G118" s="53">
        <v>8096.0</v>
      </c>
      <c r="H118" s="55"/>
      <c r="I118" s="55"/>
      <c r="J118" s="53"/>
      <c r="K118" s="53"/>
      <c r="L118" s="55"/>
      <c r="M118" s="53"/>
      <c r="N118" s="83">
        <v>5000.0</v>
      </c>
      <c r="O118" s="57" t="str">
        <f t="shared" si="1"/>
        <v>PEDIR MENOS — sobran 5,876 m; revisar pedidos sin facturar (5,000 m)</v>
      </c>
      <c r="P118" s="58">
        <f t="shared" si="2"/>
        <v>19061</v>
      </c>
      <c r="Q118" s="1"/>
      <c r="R118" s="1"/>
      <c r="S118" s="1"/>
      <c r="T118" s="1"/>
      <c r="U118" s="1"/>
      <c r="V118" s="1"/>
      <c r="W118" s="1"/>
      <c r="X118" s="60">
        <f>IFERROR(VLOOKUP($A118,Ventas!$A$2:$L$5000,12,FALSE()),"")</f>
        <v>3296.25</v>
      </c>
      <c r="Y118" s="60">
        <f t="shared" si="3"/>
        <v>13185</v>
      </c>
      <c r="Z118" s="61">
        <f t="shared" si="4"/>
        <v>5.8</v>
      </c>
      <c r="AA118" s="60">
        <f t="shared" si="5"/>
        <v>-5876</v>
      </c>
      <c r="AB118" s="62" t="str">
        <f t="shared" si="6"/>
        <v/>
      </c>
      <c r="AC118" s="62" t="str">
        <f t="array" ref="AC118">IF(AH118&lt;&gt;"COMPRAR","",IF(MAX(INDEX(Ventas!$G$2:$G$5000,MATCH($A118,Ventas!$A$2:$A$5000,0)),INDEX(Ventas!$H$2:$H$5000,MATCH($A118,Ventas!$A$2:$A$5000,0)),INDEX(Ventas!$I$2:$I$5000,MATCH($A118,Ventas!$A$2:$A$5000,0)),INDEX(Ventas!$J$2:$J$5000,MATCH($A118,Ventas!$A$2:$A$5000,0)))&gt;0.5*AF118*4,"1 mes = "&amp;TEXT(MAX(INDEX(Ventas!$G$2:$G$5000,MATCH($A118,Ventas!$A$2:$A$5000,0)),INDEX(Ventas!$H$2:$H$5000,MATCH($A118,Ventas!$A$2:$A$5000,0)),INDEX(Ventas!$I$2:$I$5000,MATCH($A118,Ventas!$A$2:$A$5000,0)),INDEX(Ventas!$J$2:$J$5000,MATCH($A118,Ventas!$A$2:$A$5000,0)))/(AF118*4),"0%")&amp;" de 4 meses",""))</f>
        <v/>
      </c>
      <c r="AD118" s="62" t="str">
        <f t="shared" si="7"/>
        <v/>
      </c>
      <c r="AE118" s="62" t="str">
        <f t="array" ref="AE118">IF(X118="","",IF(AND(E118=0,AVERAGE(INDEX(Ventas!$C$2:$I$5000,MATCH($A118,Ventas!$A$2:$A$5000,0),0))&gt;0,INDEX(Ventas!$J$2:$J$5000,MATCH($A118,Ventas!$A$2:$A$5000,0))&lt;0.5*AVERAGE(INDEX(Ventas!$C$2:$I$5000,MATCH($A118,Ventas!$A$2:$A$5000,0),0))),"SÍ — stock 0 y Sep cayó (prom Feb-Ago "&amp;TEXT(AVERAGE(INDEX(Ventas!$C$2:$I$5000,MATCH($A118,Ventas!$A$2:$A$5000,0),0)),"#,##0")&amp;")",""))</f>
        <v/>
      </c>
      <c r="AF118" s="60">
        <f t="array" ref="AF118">IF(X118="","",IF(AE118&lt;&gt;"",MAX(X118,AVERAGE(INDEX(Ventas!$C$2:$I$5000,MATCH($A118,Ventas!$A$2:$A$5000,0),0))),X118))</f>
        <v>3296.25</v>
      </c>
      <c r="AG118" s="60">
        <f t="shared" si="8"/>
        <v>-5876</v>
      </c>
      <c r="AH118" s="63" t="str">
        <f t="shared" si="9"/>
        <v>PEDIR MENOS</v>
      </c>
    </row>
    <row r="119" ht="13.5" customHeight="1">
      <c r="A119" s="49" t="s">
        <v>202</v>
      </c>
      <c r="B119" s="50" t="s">
        <v>183</v>
      </c>
      <c r="C119" s="50" t="s">
        <v>3662</v>
      </c>
      <c r="D119" s="50" t="s">
        <v>3663</v>
      </c>
      <c r="E119" s="51">
        <v>0.0</v>
      </c>
      <c r="F119" s="52"/>
      <c r="G119" s="53">
        <v>3063.0</v>
      </c>
      <c r="H119" s="55"/>
      <c r="I119" s="55"/>
      <c r="J119" s="53"/>
      <c r="K119" s="53"/>
      <c r="L119" s="55"/>
      <c r="M119" s="53"/>
      <c r="N119" s="84">
        <v>3000.0</v>
      </c>
      <c r="O119" s="57" t="str">
        <f t="shared" si="1"/>
        <v>PEDIR MENOS — sobran 672 m; revisar pedidos sin facturar (3,000 m)</v>
      </c>
      <c r="P119" s="58">
        <f t="shared" si="2"/>
        <v>6063</v>
      </c>
      <c r="Q119" s="1"/>
      <c r="R119" s="1"/>
      <c r="S119" s="1"/>
      <c r="T119" s="1"/>
      <c r="U119" s="1"/>
      <c r="V119" s="1"/>
      <c r="W119" s="1"/>
      <c r="X119" s="60">
        <f>IFERROR(VLOOKUP($A119,Ventas!$A$2:$L$5000,12,FALSE()),"")</f>
        <v>1347.75</v>
      </c>
      <c r="Y119" s="60">
        <f t="shared" si="3"/>
        <v>5391</v>
      </c>
      <c r="Z119" s="61">
        <f t="shared" si="4"/>
        <v>4.5</v>
      </c>
      <c r="AA119" s="60">
        <f t="shared" si="5"/>
        <v>-672</v>
      </c>
      <c r="AB119" s="62" t="str">
        <f t="shared" si="6"/>
        <v/>
      </c>
      <c r="AC119" s="62" t="str">
        <f t="array" ref="AC119">IF(AH119&lt;&gt;"COMPRAR","",IF(MAX(INDEX(Ventas!$G$2:$G$5000,MATCH($A119,Ventas!$A$2:$A$5000,0)),INDEX(Ventas!$H$2:$H$5000,MATCH($A119,Ventas!$A$2:$A$5000,0)),INDEX(Ventas!$I$2:$I$5000,MATCH($A119,Ventas!$A$2:$A$5000,0)),INDEX(Ventas!$J$2:$J$5000,MATCH($A119,Ventas!$A$2:$A$5000,0)))&gt;0.5*AF119*4,"1 mes = "&amp;TEXT(MAX(INDEX(Ventas!$G$2:$G$5000,MATCH($A119,Ventas!$A$2:$A$5000,0)),INDEX(Ventas!$H$2:$H$5000,MATCH($A119,Ventas!$A$2:$A$5000,0)),INDEX(Ventas!$I$2:$I$5000,MATCH($A119,Ventas!$A$2:$A$5000,0)),INDEX(Ventas!$J$2:$J$5000,MATCH($A119,Ventas!$A$2:$A$5000,0)))/(AF119*4),"0%")&amp;" de 4 meses",""))</f>
        <v/>
      </c>
      <c r="AD119" s="62" t="str">
        <f t="shared" si="7"/>
        <v>SÍ — 0 m vs 714 m</v>
      </c>
      <c r="AE119" s="62" t="str">
        <f t="array" ref="AE119">IF(X119="","",IF(AND(E119=0,AVERAGE(INDEX(Ventas!$C$2:$I$5000,MATCH($A119,Ventas!$A$2:$A$5000,0),0))&gt;0,INDEX(Ventas!$J$2:$J$5000,MATCH($A119,Ventas!$A$2:$A$5000,0))&lt;0.5*AVERAGE(INDEX(Ventas!$C$2:$I$5000,MATCH($A119,Ventas!$A$2:$A$5000,0),0))),"SÍ — stock 0 y Sep cayó (prom Feb-Ago "&amp;TEXT(AVERAGE(INDEX(Ventas!$C$2:$I$5000,MATCH($A119,Ventas!$A$2:$A$5000,0),0)),"#,##0")&amp;")",""))</f>
        <v/>
      </c>
      <c r="AF119" s="60">
        <f t="array" ref="AF119">IF(X119="","",IF(AE119&lt;&gt;"",MAX(X119,AVERAGE(INDEX(Ventas!$C$2:$I$5000,MATCH($A119,Ventas!$A$2:$A$5000,0),0))),X119))</f>
        <v>1347.75</v>
      </c>
      <c r="AG119" s="60">
        <f t="shared" si="8"/>
        <v>-672</v>
      </c>
      <c r="AH119" s="63" t="str">
        <f t="shared" si="9"/>
        <v>PEDIR MENOS</v>
      </c>
    </row>
    <row r="120" ht="13.5" customHeight="1">
      <c r="A120" s="64" t="s">
        <v>138</v>
      </c>
      <c r="B120" s="65" t="s">
        <v>183</v>
      </c>
      <c r="C120" s="65" t="s">
        <v>3662</v>
      </c>
      <c r="D120" s="65" t="s">
        <v>3664</v>
      </c>
      <c r="E120" s="51">
        <v>0.0</v>
      </c>
      <c r="F120" s="66"/>
      <c r="G120" s="53">
        <v>3408.5</v>
      </c>
      <c r="H120" s="55"/>
      <c r="I120" s="55"/>
      <c r="J120" s="53"/>
      <c r="K120" s="53"/>
      <c r="L120" s="55"/>
      <c r="M120" s="53"/>
      <c r="N120" s="83">
        <v>2500.0</v>
      </c>
      <c r="O120" s="57" t="str">
        <f t="shared" si="1"/>
        <v>PEDIR MENOS — sobran 2,843 m; revisar pedidos sin facturar (2,500 m)</v>
      </c>
      <c r="P120" s="58">
        <f t="shared" si="2"/>
        <v>5908.5</v>
      </c>
      <c r="Q120" s="1"/>
      <c r="R120" s="1"/>
      <c r="S120" s="1"/>
      <c r="T120" s="1"/>
      <c r="U120" s="1"/>
      <c r="V120" s="1"/>
      <c r="W120" s="1"/>
      <c r="X120" s="60">
        <f>IFERROR(VLOOKUP($A120,Ventas!$A$2:$L$5000,12,FALSE()),"")</f>
        <v>766.5</v>
      </c>
      <c r="Y120" s="60">
        <f t="shared" si="3"/>
        <v>3066</v>
      </c>
      <c r="Z120" s="61">
        <f t="shared" si="4"/>
        <v>7.7</v>
      </c>
      <c r="AA120" s="60">
        <f t="shared" si="5"/>
        <v>-2842.5</v>
      </c>
      <c r="AB120" s="62" t="str">
        <f t="shared" si="6"/>
        <v/>
      </c>
      <c r="AC120" s="62" t="str">
        <f t="array" ref="AC120">IF(AH120&lt;&gt;"COMPRAR","",IF(MAX(INDEX(Ventas!$G$2:$G$5000,MATCH($A120,Ventas!$A$2:$A$5000,0)),INDEX(Ventas!$H$2:$H$5000,MATCH($A120,Ventas!$A$2:$A$5000,0)),INDEX(Ventas!$I$2:$I$5000,MATCH($A120,Ventas!$A$2:$A$5000,0)),INDEX(Ventas!$J$2:$J$5000,MATCH($A120,Ventas!$A$2:$A$5000,0)))&gt;0.5*AF120*4,"1 mes = "&amp;TEXT(MAX(INDEX(Ventas!$G$2:$G$5000,MATCH($A120,Ventas!$A$2:$A$5000,0)),INDEX(Ventas!$H$2:$H$5000,MATCH($A120,Ventas!$A$2:$A$5000,0)),INDEX(Ventas!$I$2:$I$5000,MATCH($A120,Ventas!$A$2:$A$5000,0)),INDEX(Ventas!$J$2:$J$5000,MATCH($A120,Ventas!$A$2:$A$5000,0)))/(AF120*4),"0%")&amp;" de 4 meses",""))</f>
        <v/>
      </c>
      <c r="AD120" s="62" t="str">
        <f t="shared" si="7"/>
        <v>SÍ — 0 m vs 406 m</v>
      </c>
      <c r="AE120" s="62" t="str">
        <f t="array" ref="AE120">IF(X120="","",IF(AND(E120=0,AVERAGE(INDEX(Ventas!$C$2:$I$5000,MATCH($A120,Ventas!$A$2:$A$5000,0),0))&gt;0,INDEX(Ventas!$J$2:$J$5000,MATCH($A120,Ventas!$A$2:$A$5000,0))&lt;0.5*AVERAGE(INDEX(Ventas!$C$2:$I$5000,MATCH($A120,Ventas!$A$2:$A$5000,0),0))),"SÍ — stock 0 y Sep cayó (prom Feb-Ago "&amp;TEXT(AVERAGE(INDEX(Ventas!$C$2:$I$5000,MATCH($A120,Ventas!$A$2:$A$5000,0),0)),"#,##0")&amp;")",""))</f>
        <v/>
      </c>
      <c r="AF120" s="60">
        <f t="array" ref="AF120">IF(X120="","",IF(AE120&lt;&gt;"",MAX(X120,AVERAGE(INDEX(Ventas!$C$2:$I$5000,MATCH($A120,Ventas!$A$2:$A$5000,0),0))),X120))</f>
        <v>766.5</v>
      </c>
      <c r="AG120" s="60">
        <f t="shared" si="8"/>
        <v>-2842.5</v>
      </c>
      <c r="AH120" s="63" t="str">
        <f t="shared" si="9"/>
        <v>PEDIR MENOS</v>
      </c>
    </row>
    <row r="121" ht="13.5" customHeight="1">
      <c r="A121" s="49" t="s">
        <v>158</v>
      </c>
      <c r="B121" s="50" t="s">
        <v>183</v>
      </c>
      <c r="C121" s="50" t="s">
        <v>3662</v>
      </c>
      <c r="D121" s="50" t="s">
        <v>3638</v>
      </c>
      <c r="E121" s="51">
        <v>0.0</v>
      </c>
      <c r="F121" s="52"/>
      <c r="G121" s="53">
        <v>1049.5</v>
      </c>
      <c r="H121" s="55"/>
      <c r="I121" s="55"/>
      <c r="J121" s="53"/>
      <c r="K121" s="53"/>
      <c r="L121" s="55"/>
      <c r="M121" s="53"/>
      <c r="N121" s="74"/>
      <c r="O121" s="57" t="str">
        <f t="shared" si="1"/>
        <v>SOBRESTOCK — 70.0 meses de cobertura</v>
      </c>
      <c r="P121" s="58">
        <f t="shared" si="2"/>
        <v>1049.5</v>
      </c>
      <c r="Q121" s="1"/>
      <c r="R121" s="1"/>
      <c r="S121" s="1"/>
      <c r="T121" s="1"/>
      <c r="U121" s="1"/>
      <c r="V121" s="1"/>
      <c r="W121" s="1"/>
      <c r="X121" s="60">
        <f>IFERROR(VLOOKUP($A121,Ventas!$A$2:$L$5000,12,FALSE()),"")</f>
        <v>15</v>
      </c>
      <c r="Y121" s="60">
        <f t="shared" si="3"/>
        <v>60</v>
      </c>
      <c r="Z121" s="61">
        <f t="shared" si="4"/>
        <v>70</v>
      </c>
      <c r="AA121" s="60">
        <f t="shared" si="5"/>
        <v>-989.5</v>
      </c>
      <c r="AB121" s="62" t="str">
        <f t="shared" si="6"/>
        <v/>
      </c>
      <c r="AC121" s="62" t="str">
        <f t="array" ref="AC121">IF(AH121&lt;&gt;"COMPRAR","",IF(MAX(INDEX(Ventas!$G$2:$G$5000,MATCH($A121,Ventas!$A$2:$A$5000,0)),INDEX(Ventas!$H$2:$H$5000,MATCH($A121,Ventas!$A$2:$A$5000,0)),INDEX(Ventas!$I$2:$I$5000,MATCH($A121,Ventas!$A$2:$A$5000,0)),INDEX(Ventas!$J$2:$J$5000,MATCH($A121,Ventas!$A$2:$A$5000,0)))&gt;0.5*AF121*4,"1 mes = "&amp;TEXT(MAX(INDEX(Ventas!$G$2:$G$5000,MATCH($A121,Ventas!$A$2:$A$5000,0)),INDEX(Ventas!$H$2:$H$5000,MATCH($A121,Ventas!$A$2:$A$5000,0)),INDEX(Ventas!$I$2:$I$5000,MATCH($A121,Ventas!$A$2:$A$5000,0)),INDEX(Ventas!$J$2:$J$5000,MATCH($A121,Ventas!$A$2:$A$5000,0)))/(AF121*4),"0%")&amp;" de 4 meses",""))</f>
        <v/>
      </c>
      <c r="AD121" s="62" t="str">
        <f t="shared" si="7"/>
        <v>SÍ — 0 m vs 8 m</v>
      </c>
      <c r="AE121" s="62" t="str">
        <f t="array" ref="AE121">IF(X121="","",IF(AND(E121=0,AVERAGE(INDEX(Ventas!$C$2:$I$5000,MATCH($A121,Ventas!$A$2:$A$5000,0),0))&gt;0,INDEX(Ventas!$J$2:$J$5000,MATCH($A121,Ventas!$A$2:$A$5000,0))&lt;0.5*AVERAGE(INDEX(Ventas!$C$2:$I$5000,MATCH($A121,Ventas!$A$2:$A$5000,0),0))),"SÍ — stock 0 y Sep cayó (prom Feb-Ago "&amp;TEXT(AVERAGE(INDEX(Ventas!$C$2:$I$5000,MATCH($A121,Ventas!$A$2:$A$5000,0),0)),"#,##0")&amp;")",""))</f>
        <v>SÍ — stock 0 y Sep cayó (prom Feb-Ago 129)</v>
      </c>
      <c r="AF121" s="60">
        <f t="array" ref="AF121">IF(X121="","",IF(AE121&lt;&gt;"",MAX(X121,AVERAGE(INDEX(Ventas!$C$2:$I$5000,MATCH($A121,Ventas!$A$2:$A$5000,0),0))),X121))</f>
        <v>128.5714286</v>
      </c>
      <c r="AG121" s="60">
        <f t="shared" si="8"/>
        <v>-535.5</v>
      </c>
      <c r="AH121" s="63" t="str">
        <f t="shared" si="9"/>
        <v>SOBRESTOCK</v>
      </c>
    </row>
    <row r="122" ht="13.5" customHeight="1">
      <c r="A122" s="64" t="s">
        <v>178</v>
      </c>
      <c r="B122" s="65" t="s">
        <v>183</v>
      </c>
      <c r="C122" s="65" t="s">
        <v>3662</v>
      </c>
      <c r="D122" s="65" t="s">
        <v>3665</v>
      </c>
      <c r="E122" s="51">
        <v>0.0</v>
      </c>
      <c r="F122" s="66"/>
      <c r="G122" s="53">
        <v>1058.0</v>
      </c>
      <c r="H122" s="55"/>
      <c r="I122" s="55"/>
      <c r="J122" s="53"/>
      <c r="K122" s="53"/>
      <c r="L122" s="55"/>
      <c r="M122" s="53"/>
      <c r="N122" s="73"/>
      <c r="O122" s="57" t="str">
        <f t="shared" si="1"/>
        <v>SOBRESTOCK — 12.8 meses de cobertura</v>
      </c>
      <c r="P122" s="58">
        <f t="shared" si="2"/>
        <v>1058</v>
      </c>
      <c r="Q122" s="1"/>
      <c r="R122" s="1"/>
      <c r="S122" s="1"/>
      <c r="T122" s="1"/>
      <c r="U122" s="1"/>
      <c r="V122" s="1"/>
      <c r="W122" s="1"/>
      <c r="X122" s="60">
        <f>IFERROR(VLOOKUP($A122,Ventas!$A$2:$L$5000,12,FALSE()),"")</f>
        <v>82.75</v>
      </c>
      <c r="Y122" s="60">
        <f t="shared" si="3"/>
        <v>331</v>
      </c>
      <c r="Z122" s="61">
        <f t="shared" si="4"/>
        <v>12.8</v>
      </c>
      <c r="AA122" s="60">
        <f t="shared" si="5"/>
        <v>-727</v>
      </c>
      <c r="AB122" s="62" t="str">
        <f t="shared" si="6"/>
        <v/>
      </c>
      <c r="AC122" s="62" t="str">
        <f t="array" ref="AC122">IF(AH122&lt;&gt;"COMPRAR","",IF(MAX(INDEX(Ventas!$G$2:$G$5000,MATCH($A122,Ventas!$A$2:$A$5000,0)),INDEX(Ventas!$H$2:$H$5000,MATCH($A122,Ventas!$A$2:$A$5000,0)),INDEX(Ventas!$I$2:$I$5000,MATCH($A122,Ventas!$A$2:$A$5000,0)),INDEX(Ventas!$J$2:$J$5000,MATCH($A122,Ventas!$A$2:$A$5000,0)))&gt;0.5*AF122*4,"1 mes = "&amp;TEXT(MAX(INDEX(Ventas!$G$2:$G$5000,MATCH($A122,Ventas!$A$2:$A$5000,0)),INDEX(Ventas!$H$2:$H$5000,MATCH($A122,Ventas!$A$2:$A$5000,0)),INDEX(Ventas!$I$2:$I$5000,MATCH($A122,Ventas!$A$2:$A$5000,0)),INDEX(Ventas!$J$2:$J$5000,MATCH($A122,Ventas!$A$2:$A$5000,0)))/(AF122*4),"0%")&amp;" de 4 meses",""))</f>
        <v/>
      </c>
      <c r="AD122" s="62" t="str">
        <f t="shared" si="7"/>
        <v>SÍ — 0 m vs 44 m</v>
      </c>
      <c r="AE122" s="62" t="str">
        <f t="array" ref="AE122">IF(X122="","",IF(AND(E122=0,AVERAGE(INDEX(Ventas!$C$2:$I$5000,MATCH($A122,Ventas!$A$2:$A$5000,0),0))&gt;0,INDEX(Ventas!$J$2:$J$5000,MATCH($A122,Ventas!$A$2:$A$5000,0))&lt;0.5*AVERAGE(INDEX(Ventas!$C$2:$I$5000,MATCH($A122,Ventas!$A$2:$A$5000,0),0))),"SÍ — stock 0 y Sep cayó (prom Feb-Ago "&amp;TEXT(AVERAGE(INDEX(Ventas!$C$2:$I$5000,MATCH($A122,Ventas!$A$2:$A$5000,0),0)),"#,##0")&amp;")",""))</f>
        <v>SÍ — stock 0 y Sep cayó (prom Feb-Ago 145)</v>
      </c>
      <c r="AF122" s="60">
        <f t="array" ref="AF122">IF(X122="","",IF(AE122&lt;&gt;"",MAX(X122,AVERAGE(INDEX(Ventas!$C$2:$I$5000,MATCH($A122,Ventas!$A$2:$A$5000,0),0))),X122))</f>
        <v>145.4285714</v>
      </c>
      <c r="AG122" s="60">
        <f t="shared" si="8"/>
        <v>-476</v>
      </c>
      <c r="AH122" s="63" t="str">
        <f t="shared" si="9"/>
        <v>OK</v>
      </c>
    </row>
    <row r="123" ht="13.5" customHeight="1">
      <c r="A123" s="49" t="s">
        <v>200</v>
      </c>
      <c r="B123" s="50" t="s">
        <v>183</v>
      </c>
      <c r="C123" s="50" t="s">
        <v>3662</v>
      </c>
      <c r="D123" s="50" t="s">
        <v>3666</v>
      </c>
      <c r="E123" s="51">
        <v>695.0</v>
      </c>
      <c r="F123" s="52"/>
      <c r="G123" s="53"/>
      <c r="H123" s="55"/>
      <c r="I123" s="55"/>
      <c r="J123" s="53"/>
      <c r="K123" s="53"/>
      <c r="L123" s="55"/>
      <c r="M123" s="53"/>
      <c r="N123" s="74"/>
      <c r="O123" s="57" t="str">
        <f t="shared" si="1"/>
        <v>SOBRESTOCK — 30.9 meses de cobertura</v>
      </c>
      <c r="P123" s="58">
        <f t="shared" si="2"/>
        <v>695</v>
      </c>
      <c r="Q123" s="1"/>
      <c r="R123" s="1"/>
      <c r="S123" s="1"/>
      <c r="T123" s="1"/>
      <c r="U123" s="1"/>
      <c r="V123" s="1"/>
      <c r="W123" s="1"/>
      <c r="X123" s="60">
        <f>IFERROR(VLOOKUP($A123,Ventas!$A$2:$L$5000,12,FALSE()),"")</f>
        <v>22.5</v>
      </c>
      <c r="Y123" s="60">
        <f t="shared" si="3"/>
        <v>90</v>
      </c>
      <c r="Z123" s="61">
        <f t="shared" si="4"/>
        <v>30.9</v>
      </c>
      <c r="AA123" s="60">
        <f t="shared" si="5"/>
        <v>-605</v>
      </c>
      <c r="AB123" s="62" t="str">
        <f t="shared" si="6"/>
        <v/>
      </c>
      <c r="AC123" s="62" t="str">
        <f t="array" ref="AC123">IF(AH123&lt;&gt;"COMPRAR","",IF(MAX(INDEX(Ventas!$G$2:$G$5000,MATCH($A123,Ventas!$A$2:$A$5000,0)),INDEX(Ventas!$H$2:$H$5000,MATCH($A123,Ventas!$A$2:$A$5000,0)),INDEX(Ventas!$I$2:$I$5000,MATCH($A123,Ventas!$A$2:$A$5000,0)),INDEX(Ventas!$J$2:$J$5000,MATCH($A123,Ventas!$A$2:$A$5000,0)))&gt;0.5*AF123*4,"1 mes = "&amp;TEXT(MAX(INDEX(Ventas!$G$2:$G$5000,MATCH($A123,Ventas!$A$2:$A$5000,0)),INDEX(Ventas!$H$2:$H$5000,MATCH($A123,Ventas!$A$2:$A$5000,0)),INDEX(Ventas!$I$2:$I$5000,MATCH($A123,Ventas!$A$2:$A$5000,0)),INDEX(Ventas!$J$2:$J$5000,MATCH($A123,Ventas!$A$2:$A$5000,0)))/(AF123*4),"0%")&amp;" de 4 meses",""))</f>
        <v/>
      </c>
      <c r="AD123" s="62" t="str">
        <f t="shared" si="7"/>
        <v/>
      </c>
      <c r="AE123" s="62" t="str">
        <f t="array" ref="AE123">IF(X123="","",IF(AND(E123=0,AVERAGE(INDEX(Ventas!$C$2:$I$5000,MATCH($A123,Ventas!$A$2:$A$5000,0),0))&gt;0,INDEX(Ventas!$J$2:$J$5000,MATCH($A123,Ventas!$A$2:$A$5000,0))&lt;0.5*AVERAGE(INDEX(Ventas!$C$2:$I$5000,MATCH($A123,Ventas!$A$2:$A$5000,0),0))),"SÍ — stock 0 y Sep cayó (prom Feb-Ago "&amp;TEXT(AVERAGE(INDEX(Ventas!$C$2:$I$5000,MATCH($A123,Ventas!$A$2:$A$5000,0),0)),"#,##0")&amp;")",""))</f>
        <v/>
      </c>
      <c r="AF123" s="60">
        <f t="array" ref="AF123">IF(X123="","",IF(AE123&lt;&gt;"",MAX(X123,AVERAGE(INDEX(Ventas!$C$2:$I$5000,MATCH($A123,Ventas!$A$2:$A$5000,0),0))),X123))</f>
        <v>22.5</v>
      </c>
      <c r="AG123" s="60">
        <f t="shared" si="8"/>
        <v>-605</v>
      </c>
      <c r="AH123" s="63" t="str">
        <f t="shared" si="9"/>
        <v>SOBRESTOCK</v>
      </c>
    </row>
    <row r="124" ht="13.5" customHeight="1">
      <c r="A124" s="64" t="s">
        <v>190</v>
      </c>
      <c r="B124" s="65" t="s">
        <v>183</v>
      </c>
      <c r="C124" s="65" t="s">
        <v>3662</v>
      </c>
      <c r="D124" s="65" t="s">
        <v>3667</v>
      </c>
      <c r="E124" s="51">
        <v>377.0</v>
      </c>
      <c r="F124" s="66"/>
      <c r="G124" s="53">
        <v>1070.0</v>
      </c>
      <c r="H124" s="55"/>
      <c r="I124" s="55"/>
      <c r="J124" s="53"/>
      <c r="K124" s="53"/>
      <c r="L124" s="55"/>
      <c r="M124" s="53"/>
      <c r="N124" s="73"/>
      <c r="O124" s="57" t="str">
        <f t="shared" si="1"/>
        <v>SOBRESTOCK — 23.6 meses de cobertura</v>
      </c>
      <c r="P124" s="58">
        <f t="shared" si="2"/>
        <v>1447</v>
      </c>
      <c r="Q124" s="1"/>
      <c r="R124" s="1"/>
      <c r="S124" s="1"/>
      <c r="T124" s="1"/>
      <c r="U124" s="1"/>
      <c r="V124" s="1"/>
      <c r="W124" s="1"/>
      <c r="X124" s="60">
        <f>IFERROR(VLOOKUP($A124,Ventas!$A$2:$L$5000,12,FALSE()),"")</f>
        <v>61.375</v>
      </c>
      <c r="Y124" s="60">
        <f t="shared" si="3"/>
        <v>246</v>
      </c>
      <c r="Z124" s="61">
        <f t="shared" si="4"/>
        <v>23.6</v>
      </c>
      <c r="AA124" s="60">
        <f t="shared" si="5"/>
        <v>-1201</v>
      </c>
      <c r="AB124" s="62" t="str">
        <f t="shared" si="6"/>
        <v/>
      </c>
      <c r="AC124" s="62" t="str">
        <f t="array" ref="AC124">IF(AH124&lt;&gt;"COMPRAR","",IF(MAX(INDEX(Ventas!$G$2:$G$5000,MATCH($A124,Ventas!$A$2:$A$5000,0)),INDEX(Ventas!$H$2:$H$5000,MATCH($A124,Ventas!$A$2:$A$5000,0)),INDEX(Ventas!$I$2:$I$5000,MATCH($A124,Ventas!$A$2:$A$5000,0)),INDEX(Ventas!$J$2:$J$5000,MATCH($A124,Ventas!$A$2:$A$5000,0)))&gt;0.5*AF124*4,"1 mes = "&amp;TEXT(MAX(INDEX(Ventas!$G$2:$G$5000,MATCH($A124,Ventas!$A$2:$A$5000,0)),INDEX(Ventas!$H$2:$H$5000,MATCH($A124,Ventas!$A$2:$A$5000,0)),INDEX(Ventas!$I$2:$I$5000,MATCH($A124,Ventas!$A$2:$A$5000,0)),INDEX(Ventas!$J$2:$J$5000,MATCH($A124,Ventas!$A$2:$A$5000,0)))/(AF124*4),"0%")&amp;" de 4 meses",""))</f>
        <v/>
      </c>
      <c r="AD124" s="62" t="str">
        <f t="shared" si="7"/>
        <v/>
      </c>
      <c r="AE124" s="62" t="str">
        <f t="array" ref="AE124">IF(X124="","",IF(AND(E124=0,AVERAGE(INDEX(Ventas!$C$2:$I$5000,MATCH($A124,Ventas!$A$2:$A$5000,0),0))&gt;0,INDEX(Ventas!$J$2:$J$5000,MATCH($A124,Ventas!$A$2:$A$5000,0))&lt;0.5*AVERAGE(INDEX(Ventas!$C$2:$I$5000,MATCH($A124,Ventas!$A$2:$A$5000,0),0))),"SÍ — stock 0 y Sep cayó (prom Feb-Ago "&amp;TEXT(AVERAGE(INDEX(Ventas!$C$2:$I$5000,MATCH($A124,Ventas!$A$2:$A$5000,0),0)),"#,##0")&amp;")",""))</f>
        <v/>
      </c>
      <c r="AF124" s="60">
        <f t="array" ref="AF124">IF(X124="","",IF(AE124&lt;&gt;"",MAX(X124,AVERAGE(INDEX(Ventas!$C$2:$I$5000,MATCH($A124,Ventas!$A$2:$A$5000,0),0))),X124))</f>
        <v>61.375</v>
      </c>
      <c r="AG124" s="60">
        <f t="shared" si="8"/>
        <v>-1201</v>
      </c>
      <c r="AH124" s="63" t="str">
        <f t="shared" si="9"/>
        <v>SOBRESTOCK</v>
      </c>
    </row>
    <row r="125" ht="13.5" customHeight="1">
      <c r="A125" s="49" t="s">
        <v>192</v>
      </c>
      <c r="B125" s="50" t="s">
        <v>183</v>
      </c>
      <c r="C125" s="50" t="s">
        <v>3662</v>
      </c>
      <c r="D125" s="50" t="s">
        <v>3668</v>
      </c>
      <c r="E125" s="51">
        <v>2450.0</v>
      </c>
      <c r="F125" s="52"/>
      <c r="G125" s="53"/>
      <c r="H125" s="55"/>
      <c r="I125" s="55"/>
      <c r="J125" s="53"/>
      <c r="K125" s="53"/>
      <c r="L125" s="55"/>
      <c r="M125" s="53"/>
      <c r="N125" s="74"/>
      <c r="O125" s="57" t="str">
        <f t="shared" si="1"/>
        <v>SOBRESTOCK — 47.1 meses de cobertura</v>
      </c>
      <c r="P125" s="58">
        <f t="shared" si="2"/>
        <v>2450</v>
      </c>
      <c r="Q125" s="1"/>
      <c r="R125" s="1"/>
      <c r="S125" s="1"/>
      <c r="T125" s="1"/>
      <c r="U125" s="1"/>
      <c r="V125" s="1"/>
      <c r="W125" s="1"/>
      <c r="X125" s="60">
        <f>IFERROR(VLOOKUP($A125,Ventas!$A$2:$L$5000,12,FALSE()),"")</f>
        <v>52</v>
      </c>
      <c r="Y125" s="60">
        <f t="shared" si="3"/>
        <v>208</v>
      </c>
      <c r="Z125" s="61">
        <f t="shared" si="4"/>
        <v>47.1</v>
      </c>
      <c r="AA125" s="60">
        <f t="shared" si="5"/>
        <v>-2242</v>
      </c>
      <c r="AB125" s="62" t="str">
        <f t="shared" si="6"/>
        <v/>
      </c>
      <c r="AC125" s="62" t="str">
        <f t="array" ref="AC125">IF(AH125&lt;&gt;"COMPRAR","",IF(MAX(INDEX(Ventas!$G$2:$G$5000,MATCH($A125,Ventas!$A$2:$A$5000,0)),INDEX(Ventas!$H$2:$H$5000,MATCH($A125,Ventas!$A$2:$A$5000,0)),INDEX(Ventas!$I$2:$I$5000,MATCH($A125,Ventas!$A$2:$A$5000,0)),INDEX(Ventas!$J$2:$J$5000,MATCH($A125,Ventas!$A$2:$A$5000,0)))&gt;0.5*AF125*4,"1 mes = "&amp;TEXT(MAX(INDEX(Ventas!$G$2:$G$5000,MATCH($A125,Ventas!$A$2:$A$5000,0)),INDEX(Ventas!$H$2:$H$5000,MATCH($A125,Ventas!$A$2:$A$5000,0)),INDEX(Ventas!$I$2:$I$5000,MATCH($A125,Ventas!$A$2:$A$5000,0)),INDEX(Ventas!$J$2:$J$5000,MATCH($A125,Ventas!$A$2:$A$5000,0)))/(AF125*4),"0%")&amp;" de 4 meses",""))</f>
        <v/>
      </c>
      <c r="AD125" s="62" t="str">
        <f t="shared" si="7"/>
        <v/>
      </c>
      <c r="AE125" s="62" t="str">
        <f t="array" ref="AE125">IF(X125="","",IF(AND(E125=0,AVERAGE(INDEX(Ventas!$C$2:$I$5000,MATCH($A125,Ventas!$A$2:$A$5000,0),0))&gt;0,INDEX(Ventas!$J$2:$J$5000,MATCH($A125,Ventas!$A$2:$A$5000,0))&lt;0.5*AVERAGE(INDEX(Ventas!$C$2:$I$5000,MATCH($A125,Ventas!$A$2:$A$5000,0),0))),"SÍ — stock 0 y Sep cayó (prom Feb-Ago "&amp;TEXT(AVERAGE(INDEX(Ventas!$C$2:$I$5000,MATCH($A125,Ventas!$A$2:$A$5000,0),0)),"#,##0")&amp;")",""))</f>
        <v/>
      </c>
      <c r="AF125" s="60">
        <f t="array" ref="AF125">IF(X125="","",IF(AE125&lt;&gt;"",MAX(X125,AVERAGE(INDEX(Ventas!$C$2:$I$5000,MATCH($A125,Ventas!$A$2:$A$5000,0),0))),X125))</f>
        <v>52</v>
      </c>
      <c r="AG125" s="60">
        <f t="shared" si="8"/>
        <v>-2242</v>
      </c>
      <c r="AH125" s="63" t="str">
        <f t="shared" si="9"/>
        <v>SOBRESTOCK</v>
      </c>
    </row>
    <row r="126" ht="13.5" customHeight="1">
      <c r="A126" s="64" t="s">
        <v>164</v>
      </c>
      <c r="B126" s="65" t="s">
        <v>183</v>
      </c>
      <c r="C126" s="65" t="s">
        <v>3662</v>
      </c>
      <c r="D126" s="65" t="s">
        <v>3669</v>
      </c>
      <c r="E126" s="51">
        <v>60.0</v>
      </c>
      <c r="F126" s="66"/>
      <c r="G126" s="53"/>
      <c r="H126" s="55"/>
      <c r="I126" s="55"/>
      <c r="J126" s="53"/>
      <c r="K126" s="53"/>
      <c r="L126" s="55"/>
      <c r="M126" s="53"/>
      <c r="N126" s="83">
        <v>1000.0</v>
      </c>
      <c r="O126" s="57" t="str">
        <f t="shared" si="1"/>
        <v>COMPRAR — faltan 173 m para 4 meses (ya contando pedidos)</v>
      </c>
      <c r="P126" s="58">
        <f t="shared" si="2"/>
        <v>1060</v>
      </c>
      <c r="Q126" s="1"/>
      <c r="R126" s="1"/>
      <c r="S126" s="1"/>
      <c r="T126" s="1"/>
      <c r="U126" s="1"/>
      <c r="V126" s="1"/>
      <c r="W126" s="1"/>
      <c r="X126" s="60">
        <f>IFERROR(VLOOKUP($A126,Ventas!$A$2:$L$5000,12,FALSE()),"")</f>
        <v>308.25</v>
      </c>
      <c r="Y126" s="60">
        <f t="shared" si="3"/>
        <v>1233</v>
      </c>
      <c r="Z126" s="61">
        <f t="shared" si="4"/>
        <v>3.4</v>
      </c>
      <c r="AA126" s="60">
        <f t="shared" si="5"/>
        <v>173</v>
      </c>
      <c r="AB126" s="62" t="str">
        <f t="shared" si="6"/>
        <v/>
      </c>
      <c r="AC126" s="62" t="str">
        <f t="array" ref="AC126">IF(AH126&lt;&gt;"COMPRAR","",IF(MAX(INDEX(Ventas!$G$2:$G$5000,MATCH($A126,Ventas!$A$2:$A$5000,0)),INDEX(Ventas!$H$2:$H$5000,MATCH($A126,Ventas!$A$2:$A$5000,0)),INDEX(Ventas!$I$2:$I$5000,MATCH($A126,Ventas!$A$2:$A$5000,0)),INDEX(Ventas!$J$2:$J$5000,MATCH($A126,Ventas!$A$2:$A$5000,0)))&gt;0.5*AF126*4,"1 mes = "&amp;TEXT(MAX(INDEX(Ventas!$G$2:$G$5000,MATCH($A126,Ventas!$A$2:$A$5000,0)),INDEX(Ventas!$H$2:$H$5000,MATCH($A126,Ventas!$A$2:$A$5000,0)),INDEX(Ventas!$I$2:$I$5000,MATCH($A126,Ventas!$A$2:$A$5000,0)),INDEX(Ventas!$J$2:$J$5000,MATCH($A126,Ventas!$A$2:$A$5000,0)))/(AF126*4),"0%")&amp;" de 4 meses",""))</f>
        <v>1 mes = 56% de 4 meses</v>
      </c>
      <c r="AD126" s="62" t="str">
        <f t="shared" si="7"/>
        <v>SÍ — 60 m vs 163 m</v>
      </c>
      <c r="AE126" s="62" t="str">
        <f t="array" ref="AE126">IF(X126="","",IF(AND(E126=0,AVERAGE(INDEX(Ventas!$C$2:$I$5000,MATCH($A126,Ventas!$A$2:$A$5000,0),0))&gt;0,INDEX(Ventas!$J$2:$J$5000,MATCH($A126,Ventas!$A$2:$A$5000,0))&lt;0.5*AVERAGE(INDEX(Ventas!$C$2:$I$5000,MATCH($A126,Ventas!$A$2:$A$5000,0),0))),"SÍ — stock 0 y Sep cayó (prom Feb-Ago "&amp;TEXT(AVERAGE(INDEX(Ventas!$C$2:$I$5000,MATCH($A126,Ventas!$A$2:$A$5000,0),0)),"#,##0")&amp;")",""))</f>
        <v/>
      </c>
      <c r="AF126" s="60">
        <f t="array" ref="AF126">IF(X126="","",IF(AE126&lt;&gt;"",MAX(X126,AVERAGE(INDEX(Ventas!$C$2:$I$5000,MATCH($A126,Ventas!$A$2:$A$5000,0),0))),X126))</f>
        <v>308.25</v>
      </c>
      <c r="AG126" s="60">
        <f t="shared" si="8"/>
        <v>173</v>
      </c>
      <c r="AH126" s="63" t="str">
        <f t="shared" si="9"/>
        <v>COMPRAR</v>
      </c>
    </row>
    <row r="127" ht="13.5" customHeight="1">
      <c r="A127" s="49" t="s">
        <v>194</v>
      </c>
      <c r="B127" s="50" t="s">
        <v>183</v>
      </c>
      <c r="C127" s="50" t="s">
        <v>3662</v>
      </c>
      <c r="D127" s="50" t="s">
        <v>2572</v>
      </c>
      <c r="E127" s="51">
        <v>0.0</v>
      </c>
      <c r="F127" s="52"/>
      <c r="G127" s="53"/>
      <c r="H127" s="55"/>
      <c r="I127" s="55"/>
      <c r="J127" s="53"/>
      <c r="K127" s="53"/>
      <c r="L127" s="55"/>
      <c r="M127" s="53"/>
      <c r="N127" s="74"/>
      <c r="O127" s="57" t="str">
        <f t="shared" si="1"/>
        <v>COMPRAR — faltan 1,002 m para 4 meses</v>
      </c>
      <c r="P127" s="58">
        <f t="shared" si="2"/>
        <v>0</v>
      </c>
      <c r="Q127" s="1"/>
      <c r="R127" s="1"/>
      <c r="S127" s="1"/>
      <c r="T127" s="1"/>
      <c r="U127" s="1"/>
      <c r="V127" s="1"/>
      <c r="W127" s="1"/>
      <c r="X127" s="60">
        <f>IFERROR(VLOOKUP($A127,Ventas!$A$2:$L$5000,12,FALSE()),"")</f>
        <v>250.5</v>
      </c>
      <c r="Y127" s="60">
        <f t="shared" si="3"/>
        <v>1002</v>
      </c>
      <c r="Z127" s="61">
        <f t="shared" si="4"/>
        <v>0</v>
      </c>
      <c r="AA127" s="60">
        <f t="shared" si="5"/>
        <v>1002</v>
      </c>
      <c r="AB127" s="62" t="str">
        <f t="shared" si="6"/>
        <v/>
      </c>
      <c r="AC127" s="62" t="str">
        <f t="array" ref="AC127">IF(AH127&lt;&gt;"COMPRAR","",IF(MAX(INDEX(Ventas!$G$2:$G$5000,MATCH($A127,Ventas!$A$2:$A$5000,0)),INDEX(Ventas!$H$2:$H$5000,MATCH($A127,Ventas!$A$2:$A$5000,0)),INDEX(Ventas!$I$2:$I$5000,MATCH($A127,Ventas!$A$2:$A$5000,0)),INDEX(Ventas!$J$2:$J$5000,MATCH($A127,Ventas!$A$2:$A$5000,0)))&gt;0.5*AF127*4,"1 mes = "&amp;TEXT(MAX(INDEX(Ventas!$G$2:$G$5000,MATCH($A127,Ventas!$A$2:$A$5000,0)),INDEX(Ventas!$H$2:$H$5000,MATCH($A127,Ventas!$A$2:$A$5000,0)),INDEX(Ventas!$I$2:$I$5000,MATCH($A127,Ventas!$A$2:$A$5000,0)),INDEX(Ventas!$J$2:$J$5000,MATCH($A127,Ventas!$A$2:$A$5000,0)))/(AF127*4),"0%")&amp;" de 4 meses",""))</f>
        <v/>
      </c>
      <c r="AD127" s="62" t="str">
        <f t="shared" si="7"/>
        <v>SÍ — 0 m vs 133 m</v>
      </c>
      <c r="AE127" s="62" t="str">
        <f t="array" ref="AE127">IF(X127="","",IF(AND(E127=0,AVERAGE(INDEX(Ventas!$C$2:$I$5000,MATCH($A127,Ventas!$A$2:$A$5000,0),0))&gt;0,INDEX(Ventas!$J$2:$J$5000,MATCH($A127,Ventas!$A$2:$A$5000,0))&lt;0.5*AVERAGE(INDEX(Ventas!$C$2:$I$5000,MATCH($A127,Ventas!$A$2:$A$5000,0),0))),"SÍ — stock 0 y Sep cayó (prom Feb-Ago "&amp;TEXT(AVERAGE(INDEX(Ventas!$C$2:$I$5000,MATCH($A127,Ventas!$A$2:$A$5000,0),0)),"#,##0")&amp;")",""))</f>
        <v/>
      </c>
      <c r="AF127" s="60">
        <f t="array" ref="AF127">IF(X127="","",IF(AE127&lt;&gt;"",MAX(X127,AVERAGE(INDEX(Ventas!$C$2:$I$5000,MATCH($A127,Ventas!$A$2:$A$5000,0),0))),X127))</f>
        <v>250.5</v>
      </c>
      <c r="AG127" s="60">
        <f t="shared" si="8"/>
        <v>1002</v>
      </c>
      <c r="AH127" s="63" t="str">
        <f t="shared" si="9"/>
        <v>COMPRAR</v>
      </c>
    </row>
    <row r="128" ht="13.5" customHeight="1">
      <c r="A128" s="64" t="s">
        <v>143</v>
      </c>
      <c r="B128" s="65" t="s">
        <v>183</v>
      </c>
      <c r="C128" s="65" t="s">
        <v>3662</v>
      </c>
      <c r="D128" s="65" t="s">
        <v>2820</v>
      </c>
      <c r="E128" s="51">
        <v>866.0</v>
      </c>
      <c r="F128" s="66"/>
      <c r="G128" s="53"/>
      <c r="H128" s="55"/>
      <c r="I128" s="55"/>
      <c r="J128" s="53"/>
      <c r="K128" s="53"/>
      <c r="L128" s="55"/>
      <c r="M128" s="53"/>
      <c r="N128" s="73"/>
      <c r="O128" s="57" t="str">
        <f t="shared" si="1"/>
        <v>SOBRESTOCK — 19.2 meses de cobertura</v>
      </c>
      <c r="P128" s="58">
        <f t="shared" si="2"/>
        <v>866</v>
      </c>
      <c r="Q128" s="1"/>
      <c r="R128" s="1"/>
      <c r="S128" s="1"/>
      <c r="T128" s="1"/>
      <c r="U128" s="1"/>
      <c r="V128" s="1"/>
      <c r="W128" s="1"/>
      <c r="X128" s="60">
        <f>IFERROR(VLOOKUP($A128,Ventas!$A$2:$L$5000,12,FALSE()),"")</f>
        <v>45</v>
      </c>
      <c r="Y128" s="60">
        <f t="shared" si="3"/>
        <v>180</v>
      </c>
      <c r="Z128" s="61">
        <f t="shared" si="4"/>
        <v>19.2</v>
      </c>
      <c r="AA128" s="60">
        <f t="shared" si="5"/>
        <v>-686</v>
      </c>
      <c r="AB128" s="62" t="str">
        <f t="shared" si="6"/>
        <v/>
      </c>
      <c r="AC128" s="62" t="str">
        <f t="array" ref="AC128">IF(AH128&lt;&gt;"COMPRAR","",IF(MAX(INDEX(Ventas!$G$2:$G$5000,MATCH($A128,Ventas!$A$2:$A$5000,0)),INDEX(Ventas!$H$2:$H$5000,MATCH($A128,Ventas!$A$2:$A$5000,0)),INDEX(Ventas!$I$2:$I$5000,MATCH($A128,Ventas!$A$2:$A$5000,0)),INDEX(Ventas!$J$2:$J$5000,MATCH($A128,Ventas!$A$2:$A$5000,0)))&gt;0.5*AF128*4,"1 mes = "&amp;TEXT(MAX(INDEX(Ventas!$G$2:$G$5000,MATCH($A128,Ventas!$A$2:$A$5000,0)),INDEX(Ventas!$H$2:$H$5000,MATCH($A128,Ventas!$A$2:$A$5000,0)),INDEX(Ventas!$I$2:$I$5000,MATCH($A128,Ventas!$A$2:$A$5000,0)),INDEX(Ventas!$J$2:$J$5000,MATCH($A128,Ventas!$A$2:$A$5000,0)))/(AF128*4),"0%")&amp;" de 4 meses",""))</f>
        <v/>
      </c>
      <c r="AD128" s="62" t="str">
        <f t="shared" si="7"/>
        <v/>
      </c>
      <c r="AE128" s="62" t="str">
        <f t="array" ref="AE128">IF(X128="","",IF(AND(E128=0,AVERAGE(INDEX(Ventas!$C$2:$I$5000,MATCH($A128,Ventas!$A$2:$A$5000,0),0))&gt;0,INDEX(Ventas!$J$2:$J$5000,MATCH($A128,Ventas!$A$2:$A$5000,0))&lt;0.5*AVERAGE(INDEX(Ventas!$C$2:$I$5000,MATCH($A128,Ventas!$A$2:$A$5000,0),0))),"SÍ — stock 0 y Sep cayó (prom Feb-Ago "&amp;TEXT(AVERAGE(INDEX(Ventas!$C$2:$I$5000,MATCH($A128,Ventas!$A$2:$A$5000,0),0)),"#,##0")&amp;")",""))</f>
        <v/>
      </c>
      <c r="AF128" s="60">
        <f t="array" ref="AF128">IF(X128="","",IF(AE128&lt;&gt;"",MAX(X128,AVERAGE(INDEX(Ventas!$C$2:$I$5000,MATCH($A128,Ventas!$A$2:$A$5000,0),0))),X128))</f>
        <v>45</v>
      </c>
      <c r="AG128" s="60">
        <f t="shared" si="8"/>
        <v>-686</v>
      </c>
      <c r="AH128" s="63" t="str">
        <f t="shared" si="9"/>
        <v>SOBRESTOCK</v>
      </c>
    </row>
    <row r="129" ht="13.5" customHeight="1">
      <c r="A129" s="49" t="s">
        <v>160</v>
      </c>
      <c r="B129" s="50" t="s">
        <v>183</v>
      </c>
      <c r="C129" s="50" t="s">
        <v>3662</v>
      </c>
      <c r="D129" s="50" t="s">
        <v>3670</v>
      </c>
      <c r="E129" s="51">
        <v>420.0</v>
      </c>
      <c r="F129" s="52"/>
      <c r="G129" s="53"/>
      <c r="H129" s="55"/>
      <c r="I129" s="55"/>
      <c r="J129" s="53"/>
      <c r="K129" s="53"/>
      <c r="L129" s="55"/>
      <c r="M129" s="53"/>
      <c r="N129" s="74"/>
      <c r="O129" s="57" t="str">
        <f t="shared" si="1"/>
        <v>SOBRESTOCK — 11.2 meses de cobertura</v>
      </c>
      <c r="P129" s="58">
        <f t="shared" si="2"/>
        <v>420</v>
      </c>
      <c r="Q129" s="1"/>
      <c r="R129" s="1"/>
      <c r="S129" s="1"/>
      <c r="T129" s="1"/>
      <c r="U129" s="1"/>
      <c r="V129" s="1"/>
      <c r="W129" s="1"/>
      <c r="X129" s="60">
        <f>IFERROR(VLOOKUP($A129,Ventas!$A$2:$L$5000,12,FALSE()),"")</f>
        <v>37.5</v>
      </c>
      <c r="Y129" s="60">
        <f t="shared" si="3"/>
        <v>150</v>
      </c>
      <c r="Z129" s="61">
        <f t="shared" si="4"/>
        <v>11.2</v>
      </c>
      <c r="AA129" s="60">
        <f t="shared" si="5"/>
        <v>-270</v>
      </c>
      <c r="AB129" s="62" t="str">
        <f t="shared" si="6"/>
        <v/>
      </c>
      <c r="AC129" s="62" t="str">
        <f t="array" ref="AC129">IF(AH129&lt;&gt;"COMPRAR","",IF(MAX(INDEX(Ventas!$G$2:$G$5000,MATCH($A129,Ventas!$A$2:$A$5000,0)),INDEX(Ventas!$H$2:$H$5000,MATCH($A129,Ventas!$A$2:$A$5000,0)),INDEX(Ventas!$I$2:$I$5000,MATCH($A129,Ventas!$A$2:$A$5000,0)),INDEX(Ventas!$J$2:$J$5000,MATCH($A129,Ventas!$A$2:$A$5000,0)))&gt;0.5*AF129*4,"1 mes = "&amp;TEXT(MAX(INDEX(Ventas!$G$2:$G$5000,MATCH($A129,Ventas!$A$2:$A$5000,0)),INDEX(Ventas!$H$2:$H$5000,MATCH($A129,Ventas!$A$2:$A$5000,0)),INDEX(Ventas!$I$2:$I$5000,MATCH($A129,Ventas!$A$2:$A$5000,0)),INDEX(Ventas!$J$2:$J$5000,MATCH($A129,Ventas!$A$2:$A$5000,0)))/(AF129*4),"0%")&amp;" de 4 meses",""))</f>
        <v/>
      </c>
      <c r="AD129" s="62" t="str">
        <f t="shared" si="7"/>
        <v/>
      </c>
      <c r="AE129" s="62" t="str">
        <f t="array" ref="AE129">IF(X129="","",IF(AND(E129=0,AVERAGE(INDEX(Ventas!$C$2:$I$5000,MATCH($A129,Ventas!$A$2:$A$5000,0),0))&gt;0,INDEX(Ventas!$J$2:$J$5000,MATCH($A129,Ventas!$A$2:$A$5000,0))&lt;0.5*AVERAGE(INDEX(Ventas!$C$2:$I$5000,MATCH($A129,Ventas!$A$2:$A$5000,0),0))),"SÍ — stock 0 y Sep cayó (prom Feb-Ago "&amp;TEXT(AVERAGE(INDEX(Ventas!$C$2:$I$5000,MATCH($A129,Ventas!$A$2:$A$5000,0),0)),"#,##0")&amp;")",""))</f>
        <v/>
      </c>
      <c r="AF129" s="60">
        <f t="array" ref="AF129">IF(X129="","",IF(AE129&lt;&gt;"",MAX(X129,AVERAGE(INDEX(Ventas!$C$2:$I$5000,MATCH($A129,Ventas!$A$2:$A$5000,0),0))),X129))</f>
        <v>37.5</v>
      </c>
      <c r="AG129" s="60">
        <f t="shared" si="8"/>
        <v>-270</v>
      </c>
      <c r="AH129" s="63" t="str">
        <f t="shared" si="9"/>
        <v>SOBRESTOCK</v>
      </c>
    </row>
    <row r="130" ht="13.5" customHeight="1">
      <c r="A130" s="64" t="s">
        <v>156</v>
      </c>
      <c r="B130" s="65" t="s">
        <v>183</v>
      </c>
      <c r="C130" s="65" t="s">
        <v>3662</v>
      </c>
      <c r="D130" s="65" t="s">
        <v>3014</v>
      </c>
      <c r="E130" s="51">
        <v>1349.0</v>
      </c>
      <c r="F130" s="66"/>
      <c r="G130" s="53"/>
      <c r="H130" s="55"/>
      <c r="I130" s="55"/>
      <c r="J130" s="53"/>
      <c r="K130" s="53"/>
      <c r="L130" s="55"/>
      <c r="M130" s="53"/>
      <c r="N130" s="73"/>
      <c r="O130" s="57" t="str">
        <f t="shared" si="1"/>
        <v>OK — cubierto (6.4 meses)</v>
      </c>
      <c r="P130" s="58">
        <f t="shared" si="2"/>
        <v>1349</v>
      </c>
      <c r="Q130" s="1"/>
      <c r="R130" s="1"/>
      <c r="S130" s="1"/>
      <c r="T130" s="1"/>
      <c r="U130" s="1"/>
      <c r="V130" s="1"/>
      <c r="W130" s="1"/>
      <c r="X130" s="60">
        <f>IFERROR(VLOOKUP($A130,Ventas!$A$2:$L$5000,12,FALSE()),"")</f>
        <v>209.625</v>
      </c>
      <c r="Y130" s="60">
        <f t="shared" si="3"/>
        <v>839</v>
      </c>
      <c r="Z130" s="61">
        <f t="shared" si="4"/>
        <v>6.4</v>
      </c>
      <c r="AA130" s="60">
        <f t="shared" si="5"/>
        <v>-510</v>
      </c>
      <c r="AB130" s="62" t="str">
        <f t="shared" si="6"/>
        <v/>
      </c>
      <c r="AC130" s="62" t="str">
        <f t="array" ref="AC130">IF(AH130&lt;&gt;"COMPRAR","",IF(MAX(INDEX(Ventas!$G$2:$G$5000,MATCH($A130,Ventas!$A$2:$A$5000,0)),INDEX(Ventas!$H$2:$H$5000,MATCH($A130,Ventas!$A$2:$A$5000,0)),INDEX(Ventas!$I$2:$I$5000,MATCH($A130,Ventas!$A$2:$A$5000,0)),INDEX(Ventas!$J$2:$J$5000,MATCH($A130,Ventas!$A$2:$A$5000,0)))&gt;0.5*AF130*4,"1 mes = "&amp;TEXT(MAX(INDEX(Ventas!$G$2:$G$5000,MATCH($A130,Ventas!$A$2:$A$5000,0)),INDEX(Ventas!$H$2:$H$5000,MATCH($A130,Ventas!$A$2:$A$5000,0)),INDEX(Ventas!$I$2:$I$5000,MATCH($A130,Ventas!$A$2:$A$5000,0)),INDEX(Ventas!$J$2:$J$5000,MATCH($A130,Ventas!$A$2:$A$5000,0)))/(AF130*4),"0%")&amp;" de 4 meses",""))</f>
        <v/>
      </c>
      <c r="AD130" s="62" t="str">
        <f t="shared" si="7"/>
        <v/>
      </c>
      <c r="AE130" s="62" t="str">
        <f t="array" ref="AE130">IF(X130="","",IF(AND(E130=0,AVERAGE(INDEX(Ventas!$C$2:$I$5000,MATCH($A130,Ventas!$A$2:$A$5000,0),0))&gt;0,INDEX(Ventas!$J$2:$J$5000,MATCH($A130,Ventas!$A$2:$A$5000,0))&lt;0.5*AVERAGE(INDEX(Ventas!$C$2:$I$5000,MATCH($A130,Ventas!$A$2:$A$5000,0),0))),"SÍ — stock 0 y Sep cayó (prom Feb-Ago "&amp;TEXT(AVERAGE(INDEX(Ventas!$C$2:$I$5000,MATCH($A130,Ventas!$A$2:$A$5000,0),0)),"#,##0")&amp;")",""))</f>
        <v/>
      </c>
      <c r="AF130" s="60">
        <f t="array" ref="AF130">IF(X130="","",IF(AE130&lt;&gt;"",MAX(X130,AVERAGE(INDEX(Ventas!$C$2:$I$5000,MATCH($A130,Ventas!$A$2:$A$5000,0),0))),X130))</f>
        <v>209.625</v>
      </c>
      <c r="AG130" s="60">
        <f t="shared" si="8"/>
        <v>-510</v>
      </c>
      <c r="AH130" s="63" t="str">
        <f t="shared" si="9"/>
        <v>OK</v>
      </c>
    </row>
    <row r="131" ht="13.5" customHeight="1">
      <c r="A131" s="49" t="s">
        <v>208</v>
      </c>
      <c r="B131" s="50" t="s">
        <v>183</v>
      </c>
      <c r="C131" s="50" t="s">
        <v>3662</v>
      </c>
      <c r="D131" s="50" t="s">
        <v>3640</v>
      </c>
      <c r="E131" s="51">
        <v>852.0</v>
      </c>
      <c r="F131" s="52"/>
      <c r="G131" s="53"/>
      <c r="H131" s="55"/>
      <c r="I131" s="55"/>
      <c r="J131" s="53"/>
      <c r="K131" s="53"/>
      <c r="L131" s="55"/>
      <c r="M131" s="53"/>
      <c r="N131" s="74"/>
      <c r="O131" s="57" t="str">
        <f t="shared" si="1"/>
        <v>OK — cubierto (6.2 meses)</v>
      </c>
      <c r="P131" s="58">
        <f t="shared" si="2"/>
        <v>852</v>
      </c>
      <c r="Q131" s="1"/>
      <c r="R131" s="1"/>
      <c r="S131" s="1"/>
      <c r="T131" s="1"/>
      <c r="U131" s="1"/>
      <c r="V131" s="1"/>
      <c r="W131" s="1"/>
      <c r="X131" s="60">
        <f>IFERROR(VLOOKUP($A131,Ventas!$A$2:$L$5000,12,FALSE()),"")</f>
        <v>136.75</v>
      </c>
      <c r="Y131" s="60">
        <f t="shared" si="3"/>
        <v>547</v>
      </c>
      <c r="Z131" s="61">
        <f t="shared" si="4"/>
        <v>6.2</v>
      </c>
      <c r="AA131" s="60">
        <f t="shared" si="5"/>
        <v>-305</v>
      </c>
      <c r="AB131" s="62" t="str">
        <f t="shared" si="6"/>
        <v/>
      </c>
      <c r="AC131" s="62" t="str">
        <f t="array" ref="AC131">IF(AH131&lt;&gt;"COMPRAR","",IF(MAX(INDEX(Ventas!$G$2:$G$5000,MATCH($A131,Ventas!$A$2:$A$5000,0)),INDEX(Ventas!$H$2:$H$5000,MATCH($A131,Ventas!$A$2:$A$5000,0)),INDEX(Ventas!$I$2:$I$5000,MATCH($A131,Ventas!$A$2:$A$5000,0)),INDEX(Ventas!$J$2:$J$5000,MATCH($A131,Ventas!$A$2:$A$5000,0)))&gt;0.5*AF131*4,"1 mes = "&amp;TEXT(MAX(INDEX(Ventas!$G$2:$G$5000,MATCH($A131,Ventas!$A$2:$A$5000,0)),INDEX(Ventas!$H$2:$H$5000,MATCH($A131,Ventas!$A$2:$A$5000,0)),INDEX(Ventas!$I$2:$I$5000,MATCH($A131,Ventas!$A$2:$A$5000,0)),INDEX(Ventas!$J$2:$J$5000,MATCH($A131,Ventas!$A$2:$A$5000,0)))/(AF131*4),"0%")&amp;" de 4 meses",""))</f>
        <v/>
      </c>
      <c r="AD131" s="62" t="str">
        <f t="shared" si="7"/>
        <v/>
      </c>
      <c r="AE131" s="62" t="str">
        <f t="array" ref="AE131">IF(X131="","",IF(AND(E131=0,AVERAGE(INDEX(Ventas!$C$2:$I$5000,MATCH($A131,Ventas!$A$2:$A$5000,0),0))&gt;0,INDEX(Ventas!$J$2:$J$5000,MATCH($A131,Ventas!$A$2:$A$5000,0))&lt;0.5*AVERAGE(INDEX(Ventas!$C$2:$I$5000,MATCH($A131,Ventas!$A$2:$A$5000,0),0))),"SÍ — stock 0 y Sep cayó (prom Feb-Ago "&amp;TEXT(AVERAGE(INDEX(Ventas!$C$2:$I$5000,MATCH($A131,Ventas!$A$2:$A$5000,0),0)),"#,##0")&amp;")",""))</f>
        <v/>
      </c>
      <c r="AF131" s="60">
        <f t="array" ref="AF131">IF(X131="","",IF(AE131&lt;&gt;"",MAX(X131,AVERAGE(INDEX(Ventas!$C$2:$I$5000,MATCH($A131,Ventas!$A$2:$A$5000,0),0))),X131))</f>
        <v>136.75</v>
      </c>
      <c r="AG131" s="60">
        <f t="shared" si="8"/>
        <v>-305</v>
      </c>
      <c r="AH131" s="63" t="str">
        <f t="shared" si="9"/>
        <v>OK</v>
      </c>
    </row>
    <row r="132" ht="13.5" customHeight="1">
      <c r="A132" s="64" t="s">
        <v>152</v>
      </c>
      <c r="B132" s="65" t="s">
        <v>183</v>
      </c>
      <c r="C132" s="65" t="s">
        <v>3662</v>
      </c>
      <c r="D132" s="65" t="s">
        <v>948</v>
      </c>
      <c r="E132" s="51">
        <v>1265.0</v>
      </c>
      <c r="F132" s="66"/>
      <c r="G132" s="53"/>
      <c r="H132" s="55"/>
      <c r="I132" s="55"/>
      <c r="J132" s="53"/>
      <c r="K132" s="53"/>
      <c r="L132" s="55"/>
      <c r="M132" s="53"/>
      <c r="N132" s="73"/>
      <c r="O132" s="57" t="str">
        <f t="shared" si="1"/>
        <v>SOBRESTOCK — 168.7 meses de cobertura</v>
      </c>
      <c r="P132" s="58">
        <f t="shared" si="2"/>
        <v>1265</v>
      </c>
      <c r="Q132" s="1"/>
      <c r="R132" s="1"/>
      <c r="S132" s="1"/>
      <c r="T132" s="1"/>
      <c r="U132" s="1"/>
      <c r="V132" s="1"/>
      <c r="W132" s="1"/>
      <c r="X132" s="60">
        <f>IFERROR(VLOOKUP($A132,Ventas!$A$2:$L$5000,12,FALSE()),"")</f>
        <v>7.5</v>
      </c>
      <c r="Y132" s="60">
        <f t="shared" si="3"/>
        <v>30</v>
      </c>
      <c r="Z132" s="61">
        <f t="shared" si="4"/>
        <v>168.7</v>
      </c>
      <c r="AA132" s="60">
        <f t="shared" si="5"/>
        <v>-1235</v>
      </c>
      <c r="AB132" s="62" t="str">
        <f t="shared" si="6"/>
        <v/>
      </c>
      <c r="AC132" s="62" t="str">
        <f t="array" ref="AC132">IF(AH132&lt;&gt;"COMPRAR","",IF(MAX(INDEX(Ventas!$G$2:$G$5000,MATCH($A132,Ventas!$A$2:$A$5000,0)),INDEX(Ventas!$H$2:$H$5000,MATCH($A132,Ventas!$A$2:$A$5000,0)),INDEX(Ventas!$I$2:$I$5000,MATCH($A132,Ventas!$A$2:$A$5000,0)),INDEX(Ventas!$J$2:$J$5000,MATCH($A132,Ventas!$A$2:$A$5000,0)))&gt;0.5*AF132*4,"1 mes = "&amp;TEXT(MAX(INDEX(Ventas!$G$2:$G$5000,MATCH($A132,Ventas!$A$2:$A$5000,0)),INDEX(Ventas!$H$2:$H$5000,MATCH($A132,Ventas!$A$2:$A$5000,0)),INDEX(Ventas!$I$2:$I$5000,MATCH($A132,Ventas!$A$2:$A$5000,0)),INDEX(Ventas!$J$2:$J$5000,MATCH($A132,Ventas!$A$2:$A$5000,0)))/(AF132*4),"0%")&amp;" de 4 meses",""))</f>
        <v/>
      </c>
      <c r="AD132" s="62" t="str">
        <f t="shared" si="7"/>
        <v/>
      </c>
      <c r="AE132" s="62" t="str">
        <f t="array" ref="AE132">IF(X132="","",IF(AND(E132=0,AVERAGE(INDEX(Ventas!$C$2:$I$5000,MATCH($A132,Ventas!$A$2:$A$5000,0),0))&gt;0,INDEX(Ventas!$J$2:$J$5000,MATCH($A132,Ventas!$A$2:$A$5000,0))&lt;0.5*AVERAGE(INDEX(Ventas!$C$2:$I$5000,MATCH($A132,Ventas!$A$2:$A$5000,0),0))),"SÍ — stock 0 y Sep cayó (prom Feb-Ago "&amp;TEXT(AVERAGE(INDEX(Ventas!$C$2:$I$5000,MATCH($A132,Ventas!$A$2:$A$5000,0),0)),"#,##0")&amp;")",""))</f>
        <v/>
      </c>
      <c r="AF132" s="60">
        <f t="array" ref="AF132">IF(X132="","",IF(AE132&lt;&gt;"",MAX(X132,AVERAGE(INDEX(Ventas!$C$2:$I$5000,MATCH($A132,Ventas!$A$2:$A$5000,0),0))),X132))</f>
        <v>7.5</v>
      </c>
      <c r="AG132" s="60">
        <f t="shared" si="8"/>
        <v>-1235</v>
      </c>
      <c r="AH132" s="63" t="str">
        <f t="shared" si="9"/>
        <v>SOBRESTOCK</v>
      </c>
    </row>
    <row r="133" ht="13.5" customHeight="1">
      <c r="A133" s="49" t="s">
        <v>204</v>
      </c>
      <c r="B133" s="50" t="s">
        <v>183</v>
      </c>
      <c r="C133" s="50" t="s">
        <v>3662</v>
      </c>
      <c r="D133" s="50" t="s">
        <v>3671</v>
      </c>
      <c r="E133" s="51">
        <v>0.0</v>
      </c>
      <c r="F133" s="52"/>
      <c r="G133" s="53"/>
      <c r="H133" s="55"/>
      <c r="I133" s="55"/>
      <c r="J133" s="53"/>
      <c r="K133" s="53"/>
      <c r="L133" s="55"/>
      <c r="M133" s="53"/>
      <c r="N133" s="84">
        <v>1500.0</v>
      </c>
      <c r="O133" s="57" t="str">
        <f t="shared" si="1"/>
        <v>PEDIR MENOS — sobran 1,170 m; revisar pedidos sin facturar (1,500 m)</v>
      </c>
      <c r="P133" s="58">
        <f t="shared" si="2"/>
        <v>1500</v>
      </c>
      <c r="Q133" s="1"/>
      <c r="R133" s="1"/>
      <c r="S133" s="1"/>
      <c r="T133" s="1"/>
      <c r="U133" s="1"/>
      <c r="V133" s="1"/>
      <c r="W133" s="1"/>
      <c r="X133" s="60">
        <f>IFERROR(VLOOKUP($A133,Ventas!$A$2:$L$5000,12,FALSE()),"")</f>
        <v>82.5</v>
      </c>
      <c r="Y133" s="60">
        <f t="shared" si="3"/>
        <v>330</v>
      </c>
      <c r="Z133" s="61">
        <f t="shared" si="4"/>
        <v>18.2</v>
      </c>
      <c r="AA133" s="60">
        <f t="shared" si="5"/>
        <v>-1170</v>
      </c>
      <c r="AB133" s="62" t="str">
        <f t="shared" si="6"/>
        <v/>
      </c>
      <c r="AC133" s="62" t="str">
        <f t="array" ref="AC133">IF(AH133&lt;&gt;"COMPRAR","",IF(MAX(INDEX(Ventas!$G$2:$G$5000,MATCH($A133,Ventas!$A$2:$A$5000,0)),INDEX(Ventas!$H$2:$H$5000,MATCH($A133,Ventas!$A$2:$A$5000,0)),INDEX(Ventas!$I$2:$I$5000,MATCH($A133,Ventas!$A$2:$A$5000,0)),INDEX(Ventas!$J$2:$J$5000,MATCH($A133,Ventas!$A$2:$A$5000,0)))&gt;0.5*AF133*4,"1 mes = "&amp;TEXT(MAX(INDEX(Ventas!$G$2:$G$5000,MATCH($A133,Ventas!$A$2:$A$5000,0)),INDEX(Ventas!$H$2:$H$5000,MATCH($A133,Ventas!$A$2:$A$5000,0)),INDEX(Ventas!$I$2:$I$5000,MATCH($A133,Ventas!$A$2:$A$5000,0)),INDEX(Ventas!$J$2:$J$5000,MATCH($A133,Ventas!$A$2:$A$5000,0)))/(AF133*4),"0%")&amp;" de 4 meses",""))</f>
        <v/>
      </c>
      <c r="AD133" s="62" t="str">
        <f t="shared" si="7"/>
        <v>SÍ — 0 m vs 44 m</v>
      </c>
      <c r="AE133" s="62" t="str">
        <f t="array" ref="AE133">IF(X133="","",IF(AND(E133=0,AVERAGE(INDEX(Ventas!$C$2:$I$5000,MATCH($A133,Ventas!$A$2:$A$5000,0),0))&gt;0,INDEX(Ventas!$J$2:$J$5000,MATCH($A133,Ventas!$A$2:$A$5000,0))&lt;0.5*AVERAGE(INDEX(Ventas!$C$2:$I$5000,MATCH($A133,Ventas!$A$2:$A$5000,0),0))),"SÍ — stock 0 y Sep cayó (prom Feb-Ago "&amp;TEXT(AVERAGE(INDEX(Ventas!$C$2:$I$5000,MATCH($A133,Ventas!$A$2:$A$5000,0),0)),"#,##0")&amp;")",""))</f>
        <v>SÍ — stock 0 y Sep cayó (prom Feb-Ago 197)</v>
      </c>
      <c r="AF133" s="60">
        <f t="array" ref="AF133">IF(X133="","",IF(AE133&lt;&gt;"",MAX(X133,AVERAGE(INDEX(Ventas!$C$2:$I$5000,MATCH($A133,Ventas!$A$2:$A$5000,0),0))),X133))</f>
        <v>197.0571429</v>
      </c>
      <c r="AG133" s="60">
        <f t="shared" si="8"/>
        <v>-712</v>
      </c>
      <c r="AH133" s="63" t="str">
        <f t="shared" si="9"/>
        <v>PEDIR MENOS</v>
      </c>
    </row>
    <row r="134" ht="13.5" customHeight="1">
      <c r="A134" s="64" t="s">
        <v>206</v>
      </c>
      <c r="B134" s="65" t="s">
        <v>183</v>
      </c>
      <c r="C134" s="65" t="s">
        <v>3662</v>
      </c>
      <c r="D134" s="65" t="s">
        <v>3629</v>
      </c>
      <c r="E134" s="51">
        <v>270.0</v>
      </c>
      <c r="F134" s="66"/>
      <c r="G134" s="53"/>
      <c r="H134" s="55"/>
      <c r="I134" s="55"/>
      <c r="J134" s="53"/>
      <c r="K134" s="53"/>
      <c r="L134" s="55"/>
      <c r="M134" s="53"/>
      <c r="N134" s="73"/>
      <c r="O134" s="57" t="str">
        <f t="shared" si="1"/>
        <v>COMPRAR — faltan 179 m para 4 meses</v>
      </c>
      <c r="P134" s="58">
        <f t="shared" si="2"/>
        <v>270</v>
      </c>
      <c r="Q134" s="1"/>
      <c r="R134" s="1"/>
      <c r="S134" s="1"/>
      <c r="T134" s="1"/>
      <c r="U134" s="1"/>
      <c r="V134" s="1"/>
      <c r="W134" s="1"/>
      <c r="X134" s="60">
        <f>IFERROR(VLOOKUP($A134,Ventas!$A$2:$L$5000,12,FALSE()),"")</f>
        <v>112.125</v>
      </c>
      <c r="Y134" s="60">
        <f t="shared" si="3"/>
        <v>449</v>
      </c>
      <c r="Z134" s="61">
        <f t="shared" si="4"/>
        <v>2.4</v>
      </c>
      <c r="AA134" s="60">
        <f t="shared" si="5"/>
        <v>179</v>
      </c>
      <c r="AB134" s="62" t="str">
        <f t="shared" si="6"/>
        <v/>
      </c>
      <c r="AC134" s="62" t="str">
        <f t="array" ref="AC134">IF(AH134&lt;&gt;"COMPRAR","",IF(MAX(INDEX(Ventas!$G$2:$G$5000,MATCH($A134,Ventas!$A$2:$A$5000,0)),INDEX(Ventas!$H$2:$H$5000,MATCH($A134,Ventas!$A$2:$A$5000,0)),INDEX(Ventas!$I$2:$I$5000,MATCH($A134,Ventas!$A$2:$A$5000,0)),INDEX(Ventas!$J$2:$J$5000,MATCH($A134,Ventas!$A$2:$A$5000,0)))&gt;0.5*AF134*4,"1 mes = "&amp;TEXT(MAX(INDEX(Ventas!$G$2:$G$5000,MATCH($A134,Ventas!$A$2:$A$5000,0)),INDEX(Ventas!$H$2:$H$5000,MATCH($A134,Ventas!$A$2:$A$5000,0)),INDEX(Ventas!$I$2:$I$5000,MATCH($A134,Ventas!$A$2:$A$5000,0)),INDEX(Ventas!$J$2:$J$5000,MATCH($A134,Ventas!$A$2:$A$5000,0)))/(AF134*4),"0%")&amp;" de 4 meses",""))</f>
        <v>1 mes = 60% de 4 meses</v>
      </c>
      <c r="AD134" s="62" t="str">
        <f t="shared" si="7"/>
        <v/>
      </c>
      <c r="AE134" s="62" t="str">
        <f t="array" ref="AE134">IF(X134="","",IF(AND(E134=0,AVERAGE(INDEX(Ventas!$C$2:$I$5000,MATCH($A134,Ventas!$A$2:$A$5000,0),0))&gt;0,INDEX(Ventas!$J$2:$J$5000,MATCH($A134,Ventas!$A$2:$A$5000,0))&lt;0.5*AVERAGE(INDEX(Ventas!$C$2:$I$5000,MATCH($A134,Ventas!$A$2:$A$5000,0),0))),"SÍ — stock 0 y Sep cayó (prom Feb-Ago "&amp;TEXT(AVERAGE(INDEX(Ventas!$C$2:$I$5000,MATCH($A134,Ventas!$A$2:$A$5000,0),0)),"#,##0")&amp;")",""))</f>
        <v/>
      </c>
      <c r="AF134" s="60">
        <f t="array" ref="AF134">IF(X134="","",IF(AE134&lt;&gt;"",MAX(X134,AVERAGE(INDEX(Ventas!$C$2:$I$5000,MATCH($A134,Ventas!$A$2:$A$5000,0),0))),X134))</f>
        <v>112.125</v>
      </c>
      <c r="AG134" s="60">
        <f t="shared" si="8"/>
        <v>179</v>
      </c>
      <c r="AH134" s="63" t="str">
        <f t="shared" si="9"/>
        <v>COMPRAR</v>
      </c>
    </row>
    <row r="135" ht="13.5" customHeight="1">
      <c r="A135" s="49" t="s">
        <v>141</v>
      </c>
      <c r="B135" s="50" t="s">
        <v>183</v>
      </c>
      <c r="C135" s="50" t="s">
        <v>3662</v>
      </c>
      <c r="D135" s="50" t="s">
        <v>590</v>
      </c>
      <c r="E135" s="51">
        <v>0.0</v>
      </c>
      <c r="F135" s="52"/>
      <c r="G135" s="53"/>
      <c r="H135" s="55"/>
      <c r="I135" s="55"/>
      <c r="J135" s="53"/>
      <c r="K135" s="53"/>
      <c r="L135" s="55"/>
      <c r="M135" s="53"/>
      <c r="N135" s="84">
        <v>1500.0</v>
      </c>
      <c r="O135" s="57" t="str">
        <f t="shared" si="1"/>
        <v>PEDIR MENOS — sobran 261 m; revisar pedidos sin facturar (1,500 m)</v>
      </c>
      <c r="P135" s="58">
        <f t="shared" si="2"/>
        <v>1500</v>
      </c>
      <c r="Q135" s="1"/>
      <c r="R135" s="1"/>
      <c r="S135" s="1"/>
      <c r="T135" s="1"/>
      <c r="U135" s="1"/>
      <c r="V135" s="1"/>
      <c r="W135" s="1"/>
      <c r="X135" s="60">
        <f>IFERROR(VLOOKUP($A135,Ventas!$A$2:$L$5000,12,FALSE()),"")</f>
        <v>309.75</v>
      </c>
      <c r="Y135" s="60">
        <f t="shared" si="3"/>
        <v>1239</v>
      </c>
      <c r="Z135" s="61">
        <f t="shared" si="4"/>
        <v>4.8</v>
      </c>
      <c r="AA135" s="60">
        <f t="shared" si="5"/>
        <v>-261</v>
      </c>
      <c r="AB135" s="62" t="str">
        <f t="shared" si="6"/>
        <v/>
      </c>
      <c r="AC135" s="62" t="str">
        <f t="array" ref="AC135">IF(AH135&lt;&gt;"COMPRAR","",IF(MAX(INDEX(Ventas!$G$2:$G$5000,MATCH($A135,Ventas!$A$2:$A$5000,0)),INDEX(Ventas!$H$2:$H$5000,MATCH($A135,Ventas!$A$2:$A$5000,0)),INDEX(Ventas!$I$2:$I$5000,MATCH($A135,Ventas!$A$2:$A$5000,0)),INDEX(Ventas!$J$2:$J$5000,MATCH($A135,Ventas!$A$2:$A$5000,0)))&gt;0.5*AF135*4,"1 mes = "&amp;TEXT(MAX(INDEX(Ventas!$G$2:$G$5000,MATCH($A135,Ventas!$A$2:$A$5000,0)),INDEX(Ventas!$H$2:$H$5000,MATCH($A135,Ventas!$A$2:$A$5000,0)),INDEX(Ventas!$I$2:$I$5000,MATCH($A135,Ventas!$A$2:$A$5000,0)),INDEX(Ventas!$J$2:$J$5000,MATCH($A135,Ventas!$A$2:$A$5000,0)))/(AF135*4),"0%")&amp;" de 4 meses",""))</f>
        <v/>
      </c>
      <c r="AD135" s="62" t="str">
        <f t="shared" si="7"/>
        <v>SÍ — 0 m vs 164 m</v>
      </c>
      <c r="AE135" s="62" t="str">
        <f t="array" ref="AE135">IF(X135="","",IF(AND(E135=0,AVERAGE(INDEX(Ventas!$C$2:$I$5000,MATCH($A135,Ventas!$A$2:$A$5000,0),0))&gt;0,INDEX(Ventas!$J$2:$J$5000,MATCH($A135,Ventas!$A$2:$A$5000,0))&lt;0.5*AVERAGE(INDEX(Ventas!$C$2:$I$5000,MATCH($A135,Ventas!$A$2:$A$5000,0),0))),"SÍ — stock 0 y Sep cayó (prom Feb-Ago "&amp;TEXT(AVERAGE(INDEX(Ventas!$C$2:$I$5000,MATCH($A135,Ventas!$A$2:$A$5000,0),0)),"#,##0")&amp;")",""))</f>
        <v/>
      </c>
      <c r="AF135" s="60">
        <f t="array" ref="AF135">IF(X135="","",IF(AE135&lt;&gt;"",MAX(X135,AVERAGE(INDEX(Ventas!$C$2:$I$5000,MATCH($A135,Ventas!$A$2:$A$5000,0),0))),X135))</f>
        <v>309.75</v>
      </c>
      <c r="AG135" s="60">
        <f t="shared" si="8"/>
        <v>-261</v>
      </c>
      <c r="AH135" s="63" t="str">
        <f t="shared" si="9"/>
        <v>PEDIR MENOS</v>
      </c>
    </row>
    <row r="136" ht="13.5" customHeight="1">
      <c r="A136" s="64" t="s">
        <v>214</v>
      </c>
      <c r="B136" s="65" t="s">
        <v>183</v>
      </c>
      <c r="C136" s="65" t="s">
        <v>3662</v>
      </c>
      <c r="D136" s="65" t="s">
        <v>3672</v>
      </c>
      <c r="E136" s="51">
        <v>0.0</v>
      </c>
      <c r="F136" s="66"/>
      <c r="G136" s="53"/>
      <c r="H136" s="55"/>
      <c r="I136" s="55"/>
      <c r="J136" s="53"/>
      <c r="K136" s="53"/>
      <c r="L136" s="55"/>
      <c r="M136" s="53"/>
      <c r="N136" s="73"/>
      <c r="O136" s="57" t="str">
        <f t="shared" si="1"/>
        <v>COMPRAR — faltan 30 m para 4 meses</v>
      </c>
      <c r="P136" s="58">
        <f t="shared" si="2"/>
        <v>0</v>
      </c>
      <c r="Q136" s="1"/>
      <c r="R136" s="1"/>
      <c r="S136" s="1"/>
      <c r="T136" s="1"/>
      <c r="U136" s="1"/>
      <c r="V136" s="1"/>
      <c r="W136" s="1"/>
      <c r="X136" s="60">
        <f>IFERROR(VLOOKUP($A136,Ventas!$A$2:$L$5000,12,FALSE()),"")</f>
        <v>7.5</v>
      </c>
      <c r="Y136" s="60">
        <f t="shared" si="3"/>
        <v>30</v>
      </c>
      <c r="Z136" s="61">
        <f t="shared" si="4"/>
        <v>0</v>
      </c>
      <c r="AA136" s="60">
        <f t="shared" si="5"/>
        <v>30</v>
      </c>
      <c r="AB136" s="62" t="str">
        <f t="shared" si="6"/>
        <v/>
      </c>
      <c r="AC136" s="62" t="str">
        <f t="array" ref="AC136">IF(AH136&lt;&gt;"COMPRAR","",IF(MAX(INDEX(Ventas!$G$2:$G$5000,MATCH($A136,Ventas!$A$2:$A$5000,0)),INDEX(Ventas!$H$2:$H$5000,MATCH($A136,Ventas!$A$2:$A$5000,0)),INDEX(Ventas!$I$2:$I$5000,MATCH($A136,Ventas!$A$2:$A$5000,0)),INDEX(Ventas!$J$2:$J$5000,MATCH($A136,Ventas!$A$2:$A$5000,0)))&gt;0.5*AF136*4,"1 mes = "&amp;TEXT(MAX(INDEX(Ventas!$G$2:$G$5000,MATCH($A136,Ventas!$A$2:$A$5000,0)),INDEX(Ventas!$H$2:$H$5000,MATCH($A136,Ventas!$A$2:$A$5000,0)),INDEX(Ventas!$I$2:$I$5000,MATCH($A136,Ventas!$A$2:$A$5000,0)),INDEX(Ventas!$J$2:$J$5000,MATCH($A136,Ventas!$A$2:$A$5000,0)))/(AF136*4),"0%")&amp;" de 4 meses",""))</f>
        <v/>
      </c>
      <c r="AD136" s="62" t="str">
        <f t="shared" si="7"/>
        <v>SÍ — 0 m vs 4 m</v>
      </c>
      <c r="AE136" s="62" t="str">
        <f t="array" ref="AE136">IF(X136="","",IF(AND(E136=0,AVERAGE(INDEX(Ventas!$C$2:$I$5000,MATCH($A136,Ventas!$A$2:$A$5000,0),0))&gt;0,INDEX(Ventas!$J$2:$J$5000,MATCH($A136,Ventas!$A$2:$A$5000,0))&lt;0.5*AVERAGE(INDEX(Ventas!$C$2:$I$5000,MATCH($A136,Ventas!$A$2:$A$5000,0),0))),"SÍ — stock 0 y Sep cayó (prom Feb-Ago "&amp;TEXT(AVERAGE(INDEX(Ventas!$C$2:$I$5000,MATCH($A136,Ventas!$A$2:$A$5000,0),0)),"#,##0")&amp;")",""))</f>
        <v>SÍ — stock 0 y Sep cayó (prom Feb-Ago 47)</v>
      </c>
      <c r="AF136" s="60">
        <f t="array" ref="AF136">IF(X136="","",IF(AE136&lt;&gt;"",MAX(X136,AVERAGE(INDEX(Ventas!$C$2:$I$5000,MATCH($A136,Ventas!$A$2:$A$5000,0),0))),X136))</f>
        <v>47.14285714</v>
      </c>
      <c r="AG136" s="60">
        <f t="shared" si="8"/>
        <v>189</v>
      </c>
      <c r="AH136" s="63" t="str">
        <f t="shared" si="9"/>
        <v>COMPRAR</v>
      </c>
    </row>
    <row r="137" ht="13.5" customHeight="1">
      <c r="A137" s="49" t="s">
        <v>212</v>
      </c>
      <c r="B137" s="50" t="s">
        <v>183</v>
      </c>
      <c r="C137" s="50" t="s">
        <v>3662</v>
      </c>
      <c r="D137" s="50" t="s">
        <v>3673</v>
      </c>
      <c r="E137" s="51">
        <v>780.0</v>
      </c>
      <c r="F137" s="52"/>
      <c r="G137" s="53"/>
      <c r="H137" s="55"/>
      <c r="I137" s="55"/>
      <c r="J137" s="53"/>
      <c r="K137" s="53"/>
      <c r="L137" s="55"/>
      <c r="M137" s="53"/>
      <c r="N137" s="74"/>
      <c r="O137" s="57" t="str">
        <f t="shared" si="1"/>
        <v>SOBRESTOCK — 18.7 meses de cobertura</v>
      </c>
      <c r="P137" s="58">
        <f t="shared" si="2"/>
        <v>780</v>
      </c>
      <c r="Q137" s="1"/>
      <c r="R137" s="1"/>
      <c r="S137" s="1"/>
      <c r="T137" s="1"/>
      <c r="U137" s="1"/>
      <c r="V137" s="1"/>
      <c r="W137" s="1"/>
      <c r="X137" s="60">
        <f>IFERROR(VLOOKUP($A137,Ventas!$A$2:$L$5000,12,FALSE()),"")</f>
        <v>41.75</v>
      </c>
      <c r="Y137" s="60">
        <f t="shared" si="3"/>
        <v>167</v>
      </c>
      <c r="Z137" s="61">
        <f t="shared" si="4"/>
        <v>18.7</v>
      </c>
      <c r="AA137" s="60">
        <f t="shared" si="5"/>
        <v>-613</v>
      </c>
      <c r="AB137" s="62" t="str">
        <f t="shared" si="6"/>
        <v/>
      </c>
      <c r="AC137" s="62" t="str">
        <f t="array" ref="AC137">IF(AH137&lt;&gt;"COMPRAR","",IF(MAX(INDEX(Ventas!$G$2:$G$5000,MATCH($A137,Ventas!$A$2:$A$5000,0)),INDEX(Ventas!$H$2:$H$5000,MATCH($A137,Ventas!$A$2:$A$5000,0)),INDEX(Ventas!$I$2:$I$5000,MATCH($A137,Ventas!$A$2:$A$5000,0)),INDEX(Ventas!$J$2:$J$5000,MATCH($A137,Ventas!$A$2:$A$5000,0)))&gt;0.5*AF137*4,"1 mes = "&amp;TEXT(MAX(INDEX(Ventas!$G$2:$G$5000,MATCH($A137,Ventas!$A$2:$A$5000,0)),INDEX(Ventas!$H$2:$H$5000,MATCH($A137,Ventas!$A$2:$A$5000,0)),INDEX(Ventas!$I$2:$I$5000,MATCH($A137,Ventas!$A$2:$A$5000,0)),INDEX(Ventas!$J$2:$J$5000,MATCH($A137,Ventas!$A$2:$A$5000,0)))/(AF137*4),"0%")&amp;" de 4 meses",""))</f>
        <v/>
      </c>
      <c r="AD137" s="62" t="str">
        <f t="shared" si="7"/>
        <v/>
      </c>
      <c r="AE137" s="62" t="str">
        <f t="array" ref="AE137">IF(X137="","",IF(AND(E137=0,AVERAGE(INDEX(Ventas!$C$2:$I$5000,MATCH($A137,Ventas!$A$2:$A$5000,0),0))&gt;0,INDEX(Ventas!$J$2:$J$5000,MATCH($A137,Ventas!$A$2:$A$5000,0))&lt;0.5*AVERAGE(INDEX(Ventas!$C$2:$I$5000,MATCH($A137,Ventas!$A$2:$A$5000,0),0))),"SÍ — stock 0 y Sep cayó (prom Feb-Ago "&amp;TEXT(AVERAGE(INDEX(Ventas!$C$2:$I$5000,MATCH($A137,Ventas!$A$2:$A$5000,0),0)),"#,##0")&amp;")",""))</f>
        <v/>
      </c>
      <c r="AF137" s="60">
        <f t="array" ref="AF137">IF(X137="","",IF(AE137&lt;&gt;"",MAX(X137,AVERAGE(INDEX(Ventas!$C$2:$I$5000,MATCH($A137,Ventas!$A$2:$A$5000,0),0))),X137))</f>
        <v>41.75</v>
      </c>
      <c r="AG137" s="60">
        <f t="shared" si="8"/>
        <v>-613</v>
      </c>
      <c r="AH137" s="63" t="str">
        <f t="shared" si="9"/>
        <v>SOBRESTOCK</v>
      </c>
    </row>
    <row r="138" ht="13.5" customHeight="1">
      <c r="A138" s="64" t="s">
        <v>134</v>
      </c>
      <c r="B138" s="65" t="s">
        <v>183</v>
      </c>
      <c r="C138" s="65" t="s">
        <v>3662</v>
      </c>
      <c r="D138" s="65" t="s">
        <v>3674</v>
      </c>
      <c r="E138" s="51">
        <v>1171.0</v>
      </c>
      <c r="F138" s="66"/>
      <c r="G138" s="53"/>
      <c r="H138" s="55"/>
      <c r="I138" s="55"/>
      <c r="J138" s="53"/>
      <c r="K138" s="53"/>
      <c r="L138" s="55"/>
      <c r="M138" s="53"/>
      <c r="N138" s="73"/>
      <c r="O138" s="57" t="str">
        <f t="shared" si="1"/>
        <v>SOBRESTOCK — 39.0 meses de cobertura</v>
      </c>
      <c r="P138" s="58">
        <f t="shared" si="2"/>
        <v>1171</v>
      </c>
      <c r="Q138" s="1"/>
      <c r="R138" s="1"/>
      <c r="S138" s="1"/>
      <c r="T138" s="1"/>
      <c r="U138" s="1"/>
      <c r="V138" s="1"/>
      <c r="W138" s="1"/>
      <c r="X138" s="60">
        <f>IFERROR(VLOOKUP($A138,Ventas!$A$2:$L$5000,12,FALSE()),"")</f>
        <v>30</v>
      </c>
      <c r="Y138" s="60">
        <f t="shared" si="3"/>
        <v>120</v>
      </c>
      <c r="Z138" s="61">
        <f t="shared" si="4"/>
        <v>39</v>
      </c>
      <c r="AA138" s="60">
        <f t="shared" si="5"/>
        <v>-1051</v>
      </c>
      <c r="AB138" s="62" t="str">
        <f t="shared" si="6"/>
        <v/>
      </c>
      <c r="AC138" s="62" t="str">
        <f t="array" ref="AC138">IF(AH138&lt;&gt;"COMPRAR","",IF(MAX(INDEX(Ventas!$G$2:$G$5000,MATCH($A138,Ventas!$A$2:$A$5000,0)),INDEX(Ventas!$H$2:$H$5000,MATCH($A138,Ventas!$A$2:$A$5000,0)),INDEX(Ventas!$I$2:$I$5000,MATCH($A138,Ventas!$A$2:$A$5000,0)),INDEX(Ventas!$J$2:$J$5000,MATCH($A138,Ventas!$A$2:$A$5000,0)))&gt;0.5*AF138*4,"1 mes = "&amp;TEXT(MAX(INDEX(Ventas!$G$2:$G$5000,MATCH($A138,Ventas!$A$2:$A$5000,0)),INDEX(Ventas!$H$2:$H$5000,MATCH($A138,Ventas!$A$2:$A$5000,0)),INDEX(Ventas!$I$2:$I$5000,MATCH($A138,Ventas!$A$2:$A$5000,0)),INDEX(Ventas!$J$2:$J$5000,MATCH($A138,Ventas!$A$2:$A$5000,0)))/(AF138*4),"0%")&amp;" de 4 meses",""))</f>
        <v/>
      </c>
      <c r="AD138" s="62" t="str">
        <f t="shared" si="7"/>
        <v/>
      </c>
      <c r="AE138" s="62" t="str">
        <f t="array" ref="AE138">IF(X138="","",IF(AND(E138=0,AVERAGE(INDEX(Ventas!$C$2:$I$5000,MATCH($A138,Ventas!$A$2:$A$5000,0),0))&gt;0,INDEX(Ventas!$J$2:$J$5000,MATCH($A138,Ventas!$A$2:$A$5000,0))&lt;0.5*AVERAGE(INDEX(Ventas!$C$2:$I$5000,MATCH($A138,Ventas!$A$2:$A$5000,0),0))),"SÍ — stock 0 y Sep cayó (prom Feb-Ago "&amp;TEXT(AVERAGE(INDEX(Ventas!$C$2:$I$5000,MATCH($A138,Ventas!$A$2:$A$5000,0),0)),"#,##0")&amp;")",""))</f>
        <v/>
      </c>
      <c r="AF138" s="60">
        <f t="array" ref="AF138">IF(X138="","",IF(AE138&lt;&gt;"",MAX(X138,AVERAGE(INDEX(Ventas!$C$2:$I$5000,MATCH($A138,Ventas!$A$2:$A$5000,0),0))),X138))</f>
        <v>30</v>
      </c>
      <c r="AG138" s="60">
        <f t="shared" si="8"/>
        <v>-1051</v>
      </c>
      <c r="AH138" s="63" t="str">
        <f t="shared" si="9"/>
        <v>SOBRESTOCK</v>
      </c>
    </row>
    <row r="139" ht="13.5" customHeight="1">
      <c r="A139" s="49" t="s">
        <v>150</v>
      </c>
      <c r="B139" s="50" t="s">
        <v>183</v>
      </c>
      <c r="C139" s="50" t="s">
        <v>3662</v>
      </c>
      <c r="D139" s="50" t="s">
        <v>1009</v>
      </c>
      <c r="E139" s="51">
        <v>0.0</v>
      </c>
      <c r="F139" s="52"/>
      <c r="G139" s="53">
        <v>7959.5</v>
      </c>
      <c r="H139" s="55"/>
      <c r="I139" s="55"/>
      <c r="J139" s="53"/>
      <c r="K139" s="53"/>
      <c r="L139" s="55"/>
      <c r="M139" s="53"/>
      <c r="N139" s="84">
        <v>9000.0</v>
      </c>
      <c r="O139" s="57" t="str">
        <f t="shared" si="1"/>
        <v>PEDIR MENOS — sobran 4,485 m; revisar pedidos sin facturar (9,000 m)</v>
      </c>
      <c r="P139" s="58">
        <f t="shared" si="2"/>
        <v>16959.5</v>
      </c>
      <c r="Q139" s="1"/>
      <c r="R139" s="1"/>
      <c r="S139" s="1"/>
      <c r="T139" s="1"/>
      <c r="U139" s="1"/>
      <c r="V139" s="1"/>
      <c r="W139" s="1"/>
      <c r="X139" s="60">
        <f>IFERROR(VLOOKUP($A139,Ventas!$A$2:$L$5000,12,FALSE()),"")</f>
        <v>3118.75</v>
      </c>
      <c r="Y139" s="60">
        <f t="shared" si="3"/>
        <v>12475</v>
      </c>
      <c r="Z139" s="61">
        <f t="shared" si="4"/>
        <v>5.4</v>
      </c>
      <c r="AA139" s="60">
        <f t="shared" si="5"/>
        <v>-4484.5</v>
      </c>
      <c r="AB139" s="62" t="str">
        <f t="shared" si="6"/>
        <v/>
      </c>
      <c r="AC139" s="62" t="str">
        <f t="array" ref="AC139">IF(AH139&lt;&gt;"COMPRAR","",IF(MAX(INDEX(Ventas!$G$2:$G$5000,MATCH($A139,Ventas!$A$2:$A$5000,0)),INDEX(Ventas!$H$2:$H$5000,MATCH($A139,Ventas!$A$2:$A$5000,0)),INDEX(Ventas!$I$2:$I$5000,MATCH($A139,Ventas!$A$2:$A$5000,0)),INDEX(Ventas!$J$2:$J$5000,MATCH($A139,Ventas!$A$2:$A$5000,0)))&gt;0.5*AF139*4,"1 mes = "&amp;TEXT(MAX(INDEX(Ventas!$G$2:$G$5000,MATCH($A139,Ventas!$A$2:$A$5000,0)),INDEX(Ventas!$H$2:$H$5000,MATCH($A139,Ventas!$A$2:$A$5000,0)),INDEX(Ventas!$I$2:$I$5000,MATCH($A139,Ventas!$A$2:$A$5000,0)),INDEX(Ventas!$J$2:$J$5000,MATCH($A139,Ventas!$A$2:$A$5000,0)))/(AF139*4),"0%")&amp;" de 4 meses",""))</f>
        <v/>
      </c>
      <c r="AD139" s="62" t="str">
        <f t="shared" si="7"/>
        <v>SÍ — 0 m vs 1,653 m</v>
      </c>
      <c r="AE139" s="62" t="str">
        <f t="array" ref="AE139">IF(X139="","",IF(AND(E139=0,AVERAGE(INDEX(Ventas!$C$2:$I$5000,MATCH($A139,Ventas!$A$2:$A$5000,0),0))&gt;0,INDEX(Ventas!$J$2:$J$5000,MATCH($A139,Ventas!$A$2:$A$5000,0))&lt;0.5*AVERAGE(INDEX(Ventas!$C$2:$I$5000,MATCH($A139,Ventas!$A$2:$A$5000,0),0))),"SÍ — stock 0 y Sep cayó (prom Feb-Ago "&amp;TEXT(AVERAGE(INDEX(Ventas!$C$2:$I$5000,MATCH($A139,Ventas!$A$2:$A$5000,0),0)),"#,##0")&amp;")",""))</f>
        <v>SÍ — stock 0 y Sep cayó (prom Feb-Ago 3,352)</v>
      </c>
      <c r="AF139" s="60">
        <f t="array" ref="AF139">IF(X139="","",IF(AE139&lt;&gt;"",MAX(X139,AVERAGE(INDEX(Ventas!$C$2:$I$5000,MATCH($A139,Ventas!$A$2:$A$5000,0),0))),X139))</f>
        <v>3351.928571</v>
      </c>
      <c r="AG139" s="60">
        <f t="shared" si="8"/>
        <v>-3551.5</v>
      </c>
      <c r="AH139" s="63" t="str">
        <f t="shared" si="9"/>
        <v>PEDIR MENOS</v>
      </c>
    </row>
    <row r="140" ht="13.5" customHeight="1">
      <c r="A140" s="64" t="s">
        <v>170</v>
      </c>
      <c r="B140" s="65" t="s">
        <v>183</v>
      </c>
      <c r="C140" s="65" t="s">
        <v>3662</v>
      </c>
      <c r="D140" s="65" t="s">
        <v>1065</v>
      </c>
      <c r="E140" s="51">
        <v>0.0</v>
      </c>
      <c r="F140" s="66"/>
      <c r="G140" s="53"/>
      <c r="H140" s="55"/>
      <c r="I140" s="55"/>
      <c r="J140" s="53"/>
      <c r="K140" s="53"/>
      <c r="L140" s="55"/>
      <c r="M140" s="53"/>
      <c r="N140" s="83">
        <v>2500.0</v>
      </c>
      <c r="O140" s="57" t="str">
        <f t="shared" si="1"/>
        <v>COMPRAR — faltan 3,191 m para 4 meses (ya contando pedidos)</v>
      </c>
      <c r="P140" s="58">
        <f t="shared" si="2"/>
        <v>2500</v>
      </c>
      <c r="Q140" s="1"/>
      <c r="R140" s="1"/>
      <c r="S140" s="1"/>
      <c r="T140" s="1"/>
      <c r="U140" s="1"/>
      <c r="V140" s="1"/>
      <c r="W140" s="1"/>
      <c r="X140" s="60">
        <f>IFERROR(VLOOKUP($A140,Ventas!$A$2:$L$5000,12,FALSE()),"")</f>
        <v>1422.625</v>
      </c>
      <c r="Y140" s="60">
        <f t="shared" si="3"/>
        <v>5691</v>
      </c>
      <c r="Z140" s="61">
        <f t="shared" si="4"/>
        <v>1.8</v>
      </c>
      <c r="AA140" s="60">
        <f t="shared" si="5"/>
        <v>3191</v>
      </c>
      <c r="AB140" s="62" t="str">
        <f t="shared" si="6"/>
        <v/>
      </c>
      <c r="AC140" s="62" t="str">
        <f t="array" ref="AC140">IF(AH140&lt;&gt;"COMPRAR","",IF(MAX(INDEX(Ventas!$G$2:$G$5000,MATCH($A140,Ventas!$A$2:$A$5000,0)),INDEX(Ventas!$H$2:$H$5000,MATCH($A140,Ventas!$A$2:$A$5000,0)),INDEX(Ventas!$I$2:$I$5000,MATCH($A140,Ventas!$A$2:$A$5000,0)),INDEX(Ventas!$J$2:$J$5000,MATCH($A140,Ventas!$A$2:$A$5000,0)))&gt;0.5*AF140*4,"1 mes = "&amp;TEXT(MAX(INDEX(Ventas!$G$2:$G$5000,MATCH($A140,Ventas!$A$2:$A$5000,0)),INDEX(Ventas!$H$2:$H$5000,MATCH($A140,Ventas!$A$2:$A$5000,0)),INDEX(Ventas!$I$2:$I$5000,MATCH($A140,Ventas!$A$2:$A$5000,0)),INDEX(Ventas!$J$2:$J$5000,MATCH($A140,Ventas!$A$2:$A$5000,0)))/(AF140*4),"0%")&amp;" de 4 meses",""))</f>
        <v>1 mes = 84% de 4 meses</v>
      </c>
      <c r="AD140" s="62" t="str">
        <f t="shared" si="7"/>
        <v>SÍ — 0 m vs 754 m</v>
      </c>
      <c r="AE140" s="62" t="str">
        <f t="array" ref="AE140">IF(X140="","",IF(AND(E140=0,AVERAGE(INDEX(Ventas!$C$2:$I$5000,MATCH($A140,Ventas!$A$2:$A$5000,0),0))&gt;0,INDEX(Ventas!$J$2:$J$5000,MATCH($A140,Ventas!$A$2:$A$5000,0))&lt;0.5*AVERAGE(INDEX(Ventas!$C$2:$I$5000,MATCH($A140,Ventas!$A$2:$A$5000,0),0))),"SÍ — stock 0 y Sep cayó (prom Feb-Ago "&amp;TEXT(AVERAGE(INDEX(Ventas!$C$2:$I$5000,MATCH($A140,Ventas!$A$2:$A$5000,0),0)),"#,##0")&amp;")",""))</f>
        <v/>
      </c>
      <c r="AF140" s="60">
        <f t="array" ref="AF140">IF(X140="","",IF(AE140&lt;&gt;"",MAX(X140,AVERAGE(INDEX(Ventas!$C$2:$I$5000,MATCH($A140,Ventas!$A$2:$A$5000,0),0))),X140))</f>
        <v>1422.625</v>
      </c>
      <c r="AG140" s="60">
        <f t="shared" si="8"/>
        <v>3191</v>
      </c>
      <c r="AH140" s="63" t="str">
        <f t="shared" si="9"/>
        <v>COMPRAR</v>
      </c>
    </row>
    <row r="141" ht="13.5" customHeight="1">
      <c r="A141" s="49" t="s">
        <v>154</v>
      </c>
      <c r="B141" s="50" t="s">
        <v>183</v>
      </c>
      <c r="C141" s="50" t="s">
        <v>3662</v>
      </c>
      <c r="D141" s="50" t="s">
        <v>3675</v>
      </c>
      <c r="E141" s="51">
        <v>390.0</v>
      </c>
      <c r="F141" s="52"/>
      <c r="G141" s="53"/>
      <c r="H141" s="55"/>
      <c r="I141" s="55"/>
      <c r="J141" s="53"/>
      <c r="K141" s="53"/>
      <c r="L141" s="55"/>
      <c r="M141" s="53"/>
      <c r="N141" s="74"/>
      <c r="O141" s="57" t="str">
        <f t="shared" si="1"/>
        <v>SOBRESTOCK — 17.3 meses de cobertura</v>
      </c>
      <c r="P141" s="58">
        <f t="shared" si="2"/>
        <v>390</v>
      </c>
      <c r="Q141" s="1"/>
      <c r="R141" s="1"/>
      <c r="S141" s="1"/>
      <c r="T141" s="1"/>
      <c r="U141" s="1"/>
      <c r="V141" s="1"/>
      <c r="W141" s="1"/>
      <c r="X141" s="60">
        <f>IFERROR(VLOOKUP($A141,Ventas!$A$2:$L$5000,12,FALSE()),"")</f>
        <v>22.5</v>
      </c>
      <c r="Y141" s="60">
        <f t="shared" si="3"/>
        <v>90</v>
      </c>
      <c r="Z141" s="61">
        <f t="shared" si="4"/>
        <v>17.3</v>
      </c>
      <c r="AA141" s="60">
        <f t="shared" si="5"/>
        <v>-300</v>
      </c>
      <c r="AB141" s="62" t="str">
        <f t="shared" si="6"/>
        <v/>
      </c>
      <c r="AC141" s="62" t="str">
        <f t="array" ref="AC141">IF(AH141&lt;&gt;"COMPRAR","",IF(MAX(INDEX(Ventas!$G$2:$G$5000,MATCH($A141,Ventas!$A$2:$A$5000,0)),INDEX(Ventas!$H$2:$H$5000,MATCH($A141,Ventas!$A$2:$A$5000,0)),INDEX(Ventas!$I$2:$I$5000,MATCH($A141,Ventas!$A$2:$A$5000,0)),INDEX(Ventas!$J$2:$J$5000,MATCH($A141,Ventas!$A$2:$A$5000,0)))&gt;0.5*AF141*4,"1 mes = "&amp;TEXT(MAX(INDEX(Ventas!$G$2:$G$5000,MATCH($A141,Ventas!$A$2:$A$5000,0)),INDEX(Ventas!$H$2:$H$5000,MATCH($A141,Ventas!$A$2:$A$5000,0)),INDEX(Ventas!$I$2:$I$5000,MATCH($A141,Ventas!$A$2:$A$5000,0)),INDEX(Ventas!$J$2:$J$5000,MATCH($A141,Ventas!$A$2:$A$5000,0)))/(AF141*4),"0%")&amp;" de 4 meses",""))</f>
        <v/>
      </c>
      <c r="AD141" s="62" t="str">
        <f t="shared" si="7"/>
        <v/>
      </c>
      <c r="AE141" s="62" t="str">
        <f t="array" ref="AE141">IF(X141="","",IF(AND(E141=0,AVERAGE(INDEX(Ventas!$C$2:$I$5000,MATCH($A141,Ventas!$A$2:$A$5000,0),0))&gt;0,INDEX(Ventas!$J$2:$J$5000,MATCH($A141,Ventas!$A$2:$A$5000,0))&lt;0.5*AVERAGE(INDEX(Ventas!$C$2:$I$5000,MATCH($A141,Ventas!$A$2:$A$5000,0),0))),"SÍ — stock 0 y Sep cayó (prom Feb-Ago "&amp;TEXT(AVERAGE(INDEX(Ventas!$C$2:$I$5000,MATCH($A141,Ventas!$A$2:$A$5000,0),0)),"#,##0")&amp;")",""))</f>
        <v/>
      </c>
      <c r="AF141" s="60">
        <f t="array" ref="AF141">IF(X141="","",IF(AE141&lt;&gt;"",MAX(X141,AVERAGE(INDEX(Ventas!$C$2:$I$5000,MATCH($A141,Ventas!$A$2:$A$5000,0),0))),X141))</f>
        <v>22.5</v>
      </c>
      <c r="AG141" s="60">
        <f t="shared" si="8"/>
        <v>-300</v>
      </c>
      <c r="AH141" s="63" t="str">
        <f t="shared" si="9"/>
        <v>SOBRESTOCK</v>
      </c>
    </row>
    <row r="142" ht="13.5" customHeight="1">
      <c r="A142" s="64" t="s">
        <v>210</v>
      </c>
      <c r="B142" s="65" t="s">
        <v>183</v>
      </c>
      <c r="C142" s="65" t="s">
        <v>3662</v>
      </c>
      <c r="D142" s="65" t="s">
        <v>3676</v>
      </c>
      <c r="E142" s="51">
        <v>840.0</v>
      </c>
      <c r="F142" s="66"/>
      <c r="G142" s="53"/>
      <c r="H142" s="55"/>
      <c r="I142" s="55"/>
      <c r="J142" s="53"/>
      <c r="K142" s="53"/>
      <c r="L142" s="55"/>
      <c r="M142" s="53"/>
      <c r="N142" s="73"/>
      <c r="O142" s="57" t="str">
        <f t="shared" si="1"/>
        <v>SOBRESTOCK — 56.0 meses de cobertura</v>
      </c>
      <c r="P142" s="58">
        <f t="shared" si="2"/>
        <v>840</v>
      </c>
      <c r="Q142" s="1"/>
      <c r="R142" s="1"/>
      <c r="S142" s="1"/>
      <c r="T142" s="1"/>
      <c r="U142" s="1"/>
      <c r="V142" s="1"/>
      <c r="W142" s="1"/>
      <c r="X142" s="60">
        <f>IFERROR(VLOOKUP($A142,Ventas!$A$2:$L$5000,12,FALSE()),"")</f>
        <v>15</v>
      </c>
      <c r="Y142" s="60">
        <f t="shared" si="3"/>
        <v>60</v>
      </c>
      <c r="Z142" s="61">
        <f t="shared" si="4"/>
        <v>56</v>
      </c>
      <c r="AA142" s="60">
        <f t="shared" si="5"/>
        <v>-780</v>
      </c>
      <c r="AB142" s="62" t="str">
        <f t="shared" si="6"/>
        <v/>
      </c>
      <c r="AC142" s="62" t="str">
        <f t="array" ref="AC142">IF(AH142&lt;&gt;"COMPRAR","",IF(MAX(INDEX(Ventas!$G$2:$G$5000,MATCH($A142,Ventas!$A$2:$A$5000,0)),INDEX(Ventas!$H$2:$H$5000,MATCH($A142,Ventas!$A$2:$A$5000,0)),INDEX(Ventas!$I$2:$I$5000,MATCH($A142,Ventas!$A$2:$A$5000,0)),INDEX(Ventas!$J$2:$J$5000,MATCH($A142,Ventas!$A$2:$A$5000,0)))&gt;0.5*AF142*4,"1 mes = "&amp;TEXT(MAX(INDEX(Ventas!$G$2:$G$5000,MATCH($A142,Ventas!$A$2:$A$5000,0)),INDEX(Ventas!$H$2:$H$5000,MATCH($A142,Ventas!$A$2:$A$5000,0)),INDEX(Ventas!$I$2:$I$5000,MATCH($A142,Ventas!$A$2:$A$5000,0)),INDEX(Ventas!$J$2:$J$5000,MATCH($A142,Ventas!$A$2:$A$5000,0)))/(AF142*4),"0%")&amp;" de 4 meses",""))</f>
        <v/>
      </c>
      <c r="AD142" s="62" t="str">
        <f t="shared" si="7"/>
        <v/>
      </c>
      <c r="AE142" s="62" t="str">
        <f t="array" ref="AE142">IF(X142="","",IF(AND(E142=0,AVERAGE(INDEX(Ventas!$C$2:$I$5000,MATCH($A142,Ventas!$A$2:$A$5000,0),0))&gt;0,INDEX(Ventas!$J$2:$J$5000,MATCH($A142,Ventas!$A$2:$A$5000,0))&lt;0.5*AVERAGE(INDEX(Ventas!$C$2:$I$5000,MATCH($A142,Ventas!$A$2:$A$5000,0),0))),"SÍ — stock 0 y Sep cayó (prom Feb-Ago "&amp;TEXT(AVERAGE(INDEX(Ventas!$C$2:$I$5000,MATCH($A142,Ventas!$A$2:$A$5000,0),0)),"#,##0")&amp;")",""))</f>
        <v/>
      </c>
      <c r="AF142" s="60">
        <f t="array" ref="AF142">IF(X142="","",IF(AE142&lt;&gt;"",MAX(X142,AVERAGE(INDEX(Ventas!$C$2:$I$5000,MATCH($A142,Ventas!$A$2:$A$5000,0),0))),X142))</f>
        <v>15</v>
      </c>
      <c r="AG142" s="60">
        <f t="shared" si="8"/>
        <v>-780</v>
      </c>
      <c r="AH142" s="63" t="str">
        <f t="shared" si="9"/>
        <v>SOBRESTOCK</v>
      </c>
    </row>
    <row r="143" ht="13.5" customHeight="1">
      <c r="A143" s="49" t="s">
        <v>2148</v>
      </c>
      <c r="B143" s="50" t="s">
        <v>183</v>
      </c>
      <c r="C143" s="50" t="s">
        <v>3662</v>
      </c>
      <c r="D143" s="50" t="s">
        <v>3677</v>
      </c>
      <c r="E143" s="51">
        <v>1583.0</v>
      </c>
      <c r="F143" s="52"/>
      <c r="G143" s="53"/>
      <c r="H143" s="55"/>
      <c r="I143" s="55"/>
      <c r="J143" s="53"/>
      <c r="K143" s="53"/>
      <c r="L143" s="55"/>
      <c r="M143" s="53"/>
      <c r="N143" s="74"/>
      <c r="O143" s="57" t="str">
        <f t="shared" si="1"/>
        <v>SIN VENTAS Jun-Sep — no comprar (1,583 m disponibles)</v>
      </c>
      <c r="P143" s="58">
        <f t="shared" si="2"/>
        <v>1583</v>
      </c>
      <c r="Q143" s="1"/>
      <c r="R143" s="1"/>
      <c r="S143" s="1"/>
      <c r="T143" s="1"/>
      <c r="U143" s="1"/>
      <c r="V143" s="1"/>
      <c r="W143" s="1"/>
      <c r="X143" s="60">
        <f>IFERROR(VLOOKUP($A143,Ventas!$A$2:$L$5000,12,FALSE()),"")</f>
        <v>0</v>
      </c>
      <c r="Y143" s="60">
        <f t="shared" si="3"/>
        <v>0</v>
      </c>
      <c r="Z143" s="61" t="str">
        <f t="shared" si="4"/>
        <v/>
      </c>
      <c r="AA143" s="60">
        <f t="shared" si="5"/>
        <v>-1583</v>
      </c>
      <c r="AB143" s="62" t="str">
        <f t="shared" si="6"/>
        <v>DUPLICADO</v>
      </c>
      <c r="AC143" s="62" t="str">
        <f t="array" ref="AC143">IF(AH143&lt;&gt;"COMPRAR","",IF(MAX(INDEX(Ventas!$G$2:$G$5000,MATCH($A143,Ventas!$A$2:$A$5000,0)),INDEX(Ventas!$H$2:$H$5000,MATCH($A143,Ventas!$A$2:$A$5000,0)),INDEX(Ventas!$I$2:$I$5000,MATCH($A143,Ventas!$A$2:$A$5000,0)),INDEX(Ventas!$J$2:$J$5000,MATCH($A143,Ventas!$A$2:$A$5000,0)))&gt;0.5*AF143*4,"1 mes = "&amp;TEXT(MAX(INDEX(Ventas!$G$2:$G$5000,MATCH($A143,Ventas!$A$2:$A$5000,0)),INDEX(Ventas!$H$2:$H$5000,MATCH($A143,Ventas!$A$2:$A$5000,0)),INDEX(Ventas!$I$2:$I$5000,MATCH($A143,Ventas!$A$2:$A$5000,0)),INDEX(Ventas!$J$2:$J$5000,MATCH($A143,Ventas!$A$2:$A$5000,0)))/(AF143*4),"0%")&amp;" de 4 meses",""))</f>
        <v/>
      </c>
      <c r="AD143" s="62" t="str">
        <f t="shared" si="7"/>
        <v/>
      </c>
      <c r="AE143" s="62" t="str">
        <f t="array" ref="AE143">IF(X143="","",IF(AND(E143=0,AVERAGE(INDEX(Ventas!$C$2:$I$5000,MATCH($A143,Ventas!$A$2:$A$5000,0),0))&gt;0,INDEX(Ventas!$J$2:$J$5000,MATCH($A143,Ventas!$A$2:$A$5000,0))&lt;0.5*AVERAGE(INDEX(Ventas!$C$2:$I$5000,MATCH($A143,Ventas!$A$2:$A$5000,0),0))),"SÍ — stock 0 y Sep cayó (prom Feb-Ago "&amp;TEXT(AVERAGE(INDEX(Ventas!$C$2:$I$5000,MATCH($A143,Ventas!$A$2:$A$5000,0),0)),"#,##0")&amp;")",""))</f>
        <v/>
      </c>
      <c r="AF143" s="60">
        <f t="array" ref="AF143">IF(X143="","",IF(AE143&lt;&gt;"",MAX(X143,AVERAGE(INDEX(Ventas!$C$2:$I$5000,MATCH($A143,Ventas!$A$2:$A$5000,0),0))),X143))</f>
        <v>0</v>
      </c>
      <c r="AG143" s="60">
        <f t="shared" si="8"/>
        <v>-1583</v>
      </c>
      <c r="AH143" s="63" t="str">
        <f t="shared" si="9"/>
        <v>SIN VENTAS</v>
      </c>
    </row>
    <row r="144" ht="13.5" customHeight="1">
      <c r="A144" s="64" t="s">
        <v>2146</v>
      </c>
      <c r="B144" s="65" t="s">
        <v>183</v>
      </c>
      <c r="C144" s="65" t="s">
        <v>3662</v>
      </c>
      <c r="D144" s="65" t="s">
        <v>3678</v>
      </c>
      <c r="E144" s="51">
        <v>700.0</v>
      </c>
      <c r="F144" s="66"/>
      <c r="G144" s="53"/>
      <c r="H144" s="55"/>
      <c r="I144" s="55"/>
      <c r="J144" s="53"/>
      <c r="K144" s="53"/>
      <c r="L144" s="55"/>
      <c r="M144" s="53"/>
      <c r="N144" s="73"/>
      <c r="O144" s="57" t="str">
        <f t="shared" si="1"/>
        <v>SOBRESTOCK — 14.2 meses de cobertura</v>
      </c>
      <c r="P144" s="58">
        <f t="shared" si="2"/>
        <v>700</v>
      </c>
      <c r="Q144" s="1"/>
      <c r="R144" s="1"/>
      <c r="S144" s="1"/>
      <c r="T144" s="1"/>
      <c r="U144" s="1"/>
      <c r="V144" s="1"/>
      <c r="W144" s="1"/>
      <c r="X144" s="60">
        <f>IFERROR(VLOOKUP($A144,Ventas!$A$2:$L$5000,12,FALSE()),"")</f>
        <v>49.375</v>
      </c>
      <c r="Y144" s="60">
        <f t="shared" si="3"/>
        <v>198</v>
      </c>
      <c r="Z144" s="61">
        <f t="shared" si="4"/>
        <v>14.2</v>
      </c>
      <c r="AA144" s="60">
        <f t="shared" si="5"/>
        <v>-502</v>
      </c>
      <c r="AB144" s="62" t="str">
        <f t="shared" si="6"/>
        <v>DUPLICADO</v>
      </c>
      <c r="AC144" s="62" t="str">
        <f t="array" ref="AC144">IF(AH144&lt;&gt;"COMPRAR","",IF(MAX(INDEX(Ventas!$G$2:$G$5000,MATCH($A144,Ventas!$A$2:$A$5000,0)),INDEX(Ventas!$H$2:$H$5000,MATCH($A144,Ventas!$A$2:$A$5000,0)),INDEX(Ventas!$I$2:$I$5000,MATCH($A144,Ventas!$A$2:$A$5000,0)),INDEX(Ventas!$J$2:$J$5000,MATCH($A144,Ventas!$A$2:$A$5000,0)))&gt;0.5*AF144*4,"1 mes = "&amp;TEXT(MAX(INDEX(Ventas!$G$2:$G$5000,MATCH($A144,Ventas!$A$2:$A$5000,0)),INDEX(Ventas!$H$2:$H$5000,MATCH($A144,Ventas!$A$2:$A$5000,0)),INDEX(Ventas!$I$2:$I$5000,MATCH($A144,Ventas!$A$2:$A$5000,0)),INDEX(Ventas!$J$2:$J$5000,MATCH($A144,Ventas!$A$2:$A$5000,0)))/(AF144*4),"0%")&amp;" de 4 meses",""))</f>
        <v/>
      </c>
      <c r="AD144" s="62" t="str">
        <f t="shared" si="7"/>
        <v/>
      </c>
      <c r="AE144" s="62" t="str">
        <f t="array" ref="AE144">IF(X144="","",IF(AND(E144=0,AVERAGE(INDEX(Ventas!$C$2:$I$5000,MATCH($A144,Ventas!$A$2:$A$5000,0),0))&gt;0,INDEX(Ventas!$J$2:$J$5000,MATCH($A144,Ventas!$A$2:$A$5000,0))&lt;0.5*AVERAGE(INDEX(Ventas!$C$2:$I$5000,MATCH($A144,Ventas!$A$2:$A$5000,0),0))),"SÍ — stock 0 y Sep cayó (prom Feb-Ago "&amp;TEXT(AVERAGE(INDEX(Ventas!$C$2:$I$5000,MATCH($A144,Ventas!$A$2:$A$5000,0),0)),"#,##0")&amp;")",""))</f>
        <v/>
      </c>
      <c r="AF144" s="60">
        <f t="array" ref="AF144">IF(X144="","",IF(AE144&lt;&gt;"",MAX(X144,AVERAGE(INDEX(Ventas!$C$2:$I$5000,MATCH($A144,Ventas!$A$2:$A$5000,0),0))),X144))</f>
        <v>49.375</v>
      </c>
      <c r="AG144" s="60">
        <f t="shared" si="8"/>
        <v>-502</v>
      </c>
      <c r="AH144" s="63" t="str">
        <f t="shared" si="9"/>
        <v>SOBRESTOCK</v>
      </c>
    </row>
    <row r="145" ht="13.5" customHeight="1">
      <c r="A145" s="49" t="s">
        <v>1342</v>
      </c>
      <c r="B145" s="50" t="s">
        <v>183</v>
      </c>
      <c r="C145" s="50" t="s">
        <v>3679</v>
      </c>
      <c r="D145" s="50" t="s">
        <v>1329</v>
      </c>
      <c r="E145" s="51">
        <v>0.0</v>
      </c>
      <c r="F145" s="52"/>
      <c r="G145" s="53"/>
      <c r="H145" s="55"/>
      <c r="I145" s="55">
        <v>2000.0</v>
      </c>
      <c r="J145" s="53"/>
      <c r="K145" s="53"/>
      <c r="L145" s="55"/>
      <c r="M145" s="53"/>
      <c r="N145" s="74"/>
      <c r="O145" s="57" t="str">
        <f t="shared" si="1"/>
        <v>COMPRAR — faltan 2,425 m para 4 meses (ya contando pedidos)</v>
      </c>
      <c r="P145" s="58">
        <f t="shared" si="2"/>
        <v>2000</v>
      </c>
      <c r="Q145" s="1"/>
      <c r="R145" s="1"/>
      <c r="S145" s="1"/>
      <c r="T145" s="1"/>
      <c r="U145" s="1"/>
      <c r="V145" s="1"/>
      <c r="W145" s="1"/>
      <c r="X145" s="60">
        <f>IFERROR(VLOOKUP($A145,Ventas!$A$2:$L$5000,12,FALSE()),"")</f>
        <v>1106.25</v>
      </c>
      <c r="Y145" s="60">
        <f t="shared" si="3"/>
        <v>4425</v>
      </c>
      <c r="Z145" s="61">
        <f t="shared" si="4"/>
        <v>1.8</v>
      </c>
      <c r="AA145" s="60">
        <f t="shared" si="5"/>
        <v>2425</v>
      </c>
      <c r="AB145" s="62" t="str">
        <f t="shared" si="6"/>
        <v/>
      </c>
      <c r="AC145" s="62" t="str">
        <f t="array" ref="AC145">IF(AH145&lt;&gt;"COMPRAR","",IF(MAX(INDEX(Ventas!$G$2:$G$5000,MATCH($A145,Ventas!$A$2:$A$5000,0)),INDEX(Ventas!$H$2:$H$5000,MATCH($A145,Ventas!$A$2:$A$5000,0)),INDEX(Ventas!$I$2:$I$5000,MATCH($A145,Ventas!$A$2:$A$5000,0)),INDEX(Ventas!$J$2:$J$5000,MATCH($A145,Ventas!$A$2:$A$5000,0)))&gt;0.5*AF145*4,"1 mes = "&amp;TEXT(MAX(INDEX(Ventas!$G$2:$G$5000,MATCH($A145,Ventas!$A$2:$A$5000,0)),INDEX(Ventas!$H$2:$H$5000,MATCH($A145,Ventas!$A$2:$A$5000,0)),INDEX(Ventas!$I$2:$I$5000,MATCH($A145,Ventas!$A$2:$A$5000,0)),INDEX(Ventas!$J$2:$J$5000,MATCH($A145,Ventas!$A$2:$A$5000,0)))/(AF145*4),"0%")&amp;" de 4 meses",""))</f>
        <v/>
      </c>
      <c r="AD145" s="62" t="str">
        <f t="shared" si="7"/>
        <v>SÍ — 0 m vs 586 m</v>
      </c>
      <c r="AE145" s="62" t="str">
        <f t="array" ref="AE145">IF(X145="","",IF(AND(E145=0,AVERAGE(INDEX(Ventas!$C$2:$I$5000,MATCH($A145,Ventas!$A$2:$A$5000,0),0))&gt;0,INDEX(Ventas!$J$2:$J$5000,MATCH($A145,Ventas!$A$2:$A$5000,0))&lt;0.5*AVERAGE(INDEX(Ventas!$C$2:$I$5000,MATCH($A145,Ventas!$A$2:$A$5000,0),0))),"SÍ — stock 0 y Sep cayó (prom Feb-Ago "&amp;TEXT(AVERAGE(INDEX(Ventas!$C$2:$I$5000,MATCH($A145,Ventas!$A$2:$A$5000,0),0)),"#,##0")&amp;")",""))</f>
        <v>SÍ — stock 0 y Sep cayó (prom Feb-Ago 1,553)</v>
      </c>
      <c r="AF145" s="60">
        <f t="array" ref="AF145">IF(X145="","",IF(AE145&lt;&gt;"",MAX(X145,AVERAGE(INDEX(Ventas!$C$2:$I$5000,MATCH($A145,Ventas!$A$2:$A$5000,0),0))),X145))</f>
        <v>1552.671429</v>
      </c>
      <c r="AG145" s="60">
        <f t="shared" si="8"/>
        <v>4211</v>
      </c>
      <c r="AH145" s="63" t="str">
        <f t="shared" si="9"/>
        <v>COMPRAR</v>
      </c>
    </row>
    <row r="146" ht="13.5" customHeight="1">
      <c r="A146" s="64" t="s">
        <v>1334</v>
      </c>
      <c r="B146" s="65" t="s">
        <v>183</v>
      </c>
      <c r="C146" s="65" t="s">
        <v>3679</v>
      </c>
      <c r="D146" s="65" t="s">
        <v>336</v>
      </c>
      <c r="E146" s="51">
        <v>0.0</v>
      </c>
      <c r="F146" s="66"/>
      <c r="G146" s="53"/>
      <c r="H146" s="55"/>
      <c r="I146" s="55"/>
      <c r="J146" s="53"/>
      <c r="K146" s="53"/>
      <c r="L146" s="55"/>
      <c r="M146" s="53"/>
      <c r="N146" s="73"/>
      <c r="O146" s="57" t="str">
        <f t="shared" si="1"/>
        <v>SIN VENTAS Jun-Sep — no comprar</v>
      </c>
      <c r="P146" s="58">
        <f t="shared" si="2"/>
        <v>0</v>
      </c>
      <c r="Q146" s="1"/>
      <c r="R146" s="1"/>
      <c r="S146" s="1"/>
      <c r="T146" s="1"/>
      <c r="U146" s="1"/>
      <c r="V146" s="1"/>
      <c r="W146" s="1"/>
      <c r="X146" s="60">
        <f>IFERROR(VLOOKUP($A146,Ventas!$A$2:$L$5000,12,FALSE()),"")</f>
        <v>0</v>
      </c>
      <c r="Y146" s="60">
        <f t="shared" si="3"/>
        <v>0</v>
      </c>
      <c r="Z146" s="61" t="str">
        <f t="shared" si="4"/>
        <v/>
      </c>
      <c r="AA146" s="60">
        <f t="shared" si="5"/>
        <v>0</v>
      </c>
      <c r="AB146" s="62" t="str">
        <f t="shared" si="6"/>
        <v/>
      </c>
      <c r="AC146" s="62" t="str">
        <f t="array" ref="AC146">IF(AH146&lt;&gt;"COMPRAR","",IF(MAX(INDEX(Ventas!$G$2:$G$5000,MATCH($A146,Ventas!$A$2:$A$5000,0)),INDEX(Ventas!$H$2:$H$5000,MATCH($A146,Ventas!$A$2:$A$5000,0)),INDEX(Ventas!$I$2:$I$5000,MATCH($A146,Ventas!$A$2:$A$5000,0)),INDEX(Ventas!$J$2:$J$5000,MATCH($A146,Ventas!$A$2:$A$5000,0)))&gt;0.5*AF146*4,"1 mes = "&amp;TEXT(MAX(INDEX(Ventas!$G$2:$G$5000,MATCH($A146,Ventas!$A$2:$A$5000,0)),INDEX(Ventas!$H$2:$H$5000,MATCH($A146,Ventas!$A$2:$A$5000,0)),INDEX(Ventas!$I$2:$I$5000,MATCH($A146,Ventas!$A$2:$A$5000,0)),INDEX(Ventas!$J$2:$J$5000,MATCH($A146,Ventas!$A$2:$A$5000,0)))/(AF146*4),"0%")&amp;" de 4 meses",""))</f>
        <v/>
      </c>
      <c r="AD146" s="62" t="str">
        <f t="shared" si="7"/>
        <v/>
      </c>
      <c r="AE146" s="62" t="str">
        <f t="array" ref="AE146">IF(X146="","",IF(AND(E146=0,AVERAGE(INDEX(Ventas!$C$2:$I$5000,MATCH($A146,Ventas!$A$2:$A$5000,0),0))&gt;0,INDEX(Ventas!$J$2:$J$5000,MATCH($A146,Ventas!$A$2:$A$5000,0))&lt;0.5*AVERAGE(INDEX(Ventas!$C$2:$I$5000,MATCH($A146,Ventas!$A$2:$A$5000,0),0))),"SÍ — stock 0 y Sep cayó (prom Feb-Ago "&amp;TEXT(AVERAGE(INDEX(Ventas!$C$2:$I$5000,MATCH($A146,Ventas!$A$2:$A$5000,0),0)),"#,##0")&amp;")",""))</f>
        <v>SÍ — stock 0 y Sep cayó (prom Feb-Ago 117)</v>
      </c>
      <c r="AF146" s="60">
        <f t="array" ref="AF146">IF(X146="","",IF(AE146&lt;&gt;"",MAX(X146,AVERAGE(INDEX(Ventas!$C$2:$I$5000,MATCH($A146,Ventas!$A$2:$A$5000,0),0))),X146))</f>
        <v>116.7857143</v>
      </c>
      <c r="AG146" s="60">
        <f t="shared" si="8"/>
        <v>467</v>
      </c>
      <c r="AH146" s="63" t="str">
        <f t="shared" si="9"/>
        <v>COMPRAR</v>
      </c>
    </row>
    <row r="147" ht="13.5" customHeight="1">
      <c r="A147" s="49" t="s">
        <v>1336</v>
      </c>
      <c r="B147" s="50" t="s">
        <v>183</v>
      </c>
      <c r="C147" s="50" t="s">
        <v>3679</v>
      </c>
      <c r="D147" s="50" t="s">
        <v>3680</v>
      </c>
      <c r="E147" s="51">
        <v>324.0</v>
      </c>
      <c r="F147" s="52"/>
      <c r="G147" s="53"/>
      <c r="H147" s="55"/>
      <c r="I147" s="55"/>
      <c r="J147" s="53"/>
      <c r="K147" s="53"/>
      <c r="L147" s="55"/>
      <c r="M147" s="53"/>
      <c r="N147" s="74"/>
      <c r="O147" s="57" t="str">
        <f t="shared" si="1"/>
        <v>COMPRAR — faltan 762 m para 4 meses</v>
      </c>
      <c r="P147" s="58">
        <f t="shared" si="2"/>
        <v>324</v>
      </c>
      <c r="Q147" s="1"/>
      <c r="R147" s="1"/>
      <c r="S147" s="1"/>
      <c r="T147" s="1"/>
      <c r="U147" s="1"/>
      <c r="V147" s="1"/>
      <c r="W147" s="1"/>
      <c r="X147" s="60">
        <f>IFERROR(VLOOKUP($A147,Ventas!$A$2:$L$5000,12,FALSE()),"")</f>
        <v>271.6</v>
      </c>
      <c r="Y147" s="60">
        <f t="shared" si="3"/>
        <v>1086</v>
      </c>
      <c r="Z147" s="61">
        <f t="shared" si="4"/>
        <v>1.2</v>
      </c>
      <c r="AA147" s="60">
        <f t="shared" si="5"/>
        <v>762</v>
      </c>
      <c r="AB147" s="62" t="str">
        <f t="shared" si="6"/>
        <v/>
      </c>
      <c r="AC147" s="62" t="str">
        <f t="array" ref="AC147">IF(AH147&lt;&gt;"COMPRAR","",IF(MAX(INDEX(Ventas!$G$2:$G$5000,MATCH($A147,Ventas!$A$2:$A$5000,0)),INDEX(Ventas!$H$2:$H$5000,MATCH($A147,Ventas!$A$2:$A$5000,0)),INDEX(Ventas!$I$2:$I$5000,MATCH($A147,Ventas!$A$2:$A$5000,0)),INDEX(Ventas!$J$2:$J$5000,MATCH($A147,Ventas!$A$2:$A$5000,0)))&gt;0.5*AF147*4,"1 mes = "&amp;TEXT(MAX(INDEX(Ventas!$G$2:$G$5000,MATCH($A147,Ventas!$A$2:$A$5000,0)),INDEX(Ventas!$H$2:$H$5000,MATCH($A147,Ventas!$A$2:$A$5000,0)),INDEX(Ventas!$I$2:$I$5000,MATCH($A147,Ventas!$A$2:$A$5000,0)),INDEX(Ventas!$J$2:$J$5000,MATCH($A147,Ventas!$A$2:$A$5000,0)))/(AF147*4),"0%")&amp;" de 4 meses",""))</f>
        <v/>
      </c>
      <c r="AD147" s="62" t="str">
        <f t="shared" si="7"/>
        <v/>
      </c>
      <c r="AE147" s="62" t="str">
        <f t="array" ref="AE147">IF(X147="","",IF(AND(E147=0,AVERAGE(INDEX(Ventas!$C$2:$I$5000,MATCH($A147,Ventas!$A$2:$A$5000,0),0))&gt;0,INDEX(Ventas!$J$2:$J$5000,MATCH($A147,Ventas!$A$2:$A$5000,0))&lt;0.5*AVERAGE(INDEX(Ventas!$C$2:$I$5000,MATCH($A147,Ventas!$A$2:$A$5000,0),0))),"SÍ — stock 0 y Sep cayó (prom Feb-Ago "&amp;TEXT(AVERAGE(INDEX(Ventas!$C$2:$I$5000,MATCH($A147,Ventas!$A$2:$A$5000,0),0)),"#,##0")&amp;")",""))</f>
        <v/>
      </c>
      <c r="AF147" s="60">
        <f t="array" ref="AF147">IF(X147="","",IF(AE147&lt;&gt;"",MAX(X147,AVERAGE(INDEX(Ventas!$C$2:$I$5000,MATCH($A147,Ventas!$A$2:$A$5000,0),0))),X147))</f>
        <v>271.6</v>
      </c>
      <c r="AG147" s="60">
        <f t="shared" si="8"/>
        <v>762</v>
      </c>
      <c r="AH147" s="63" t="str">
        <f t="shared" si="9"/>
        <v>COMPRAR</v>
      </c>
    </row>
    <row r="148" ht="13.5" customHeight="1">
      <c r="A148" s="64" t="s">
        <v>1330</v>
      </c>
      <c r="B148" s="65" t="s">
        <v>183</v>
      </c>
      <c r="C148" s="65" t="s">
        <v>3679</v>
      </c>
      <c r="D148" s="65" t="s">
        <v>3681</v>
      </c>
      <c r="E148" s="51">
        <v>44.0</v>
      </c>
      <c r="F148" s="66"/>
      <c r="G148" s="53"/>
      <c r="H148" s="55"/>
      <c r="I148" s="55"/>
      <c r="J148" s="53"/>
      <c r="K148" s="53"/>
      <c r="L148" s="55"/>
      <c r="M148" s="53"/>
      <c r="N148" s="73"/>
      <c r="O148" s="57" t="str">
        <f t="shared" si="1"/>
        <v>COMPRAR — faltan 24 m para 4 meses</v>
      </c>
      <c r="P148" s="58">
        <f t="shared" si="2"/>
        <v>44</v>
      </c>
      <c r="Q148" s="1"/>
      <c r="R148" s="1"/>
      <c r="S148" s="1"/>
      <c r="T148" s="1"/>
      <c r="U148" s="1"/>
      <c r="V148" s="1"/>
      <c r="W148" s="1"/>
      <c r="X148" s="60">
        <f>IFERROR(VLOOKUP($A148,Ventas!$A$2:$L$5000,12,FALSE()),"")</f>
        <v>17</v>
      </c>
      <c r="Y148" s="60">
        <f t="shared" si="3"/>
        <v>68</v>
      </c>
      <c r="Z148" s="61">
        <f t="shared" si="4"/>
        <v>2.6</v>
      </c>
      <c r="AA148" s="60">
        <f t="shared" si="5"/>
        <v>24</v>
      </c>
      <c r="AB148" s="62" t="str">
        <f t="shared" si="6"/>
        <v/>
      </c>
      <c r="AC148" s="62" t="str">
        <f t="array" ref="AC148">IF(AH148&lt;&gt;"COMPRAR","",IF(MAX(INDEX(Ventas!$G$2:$G$5000,MATCH($A148,Ventas!$A$2:$A$5000,0)),INDEX(Ventas!$H$2:$H$5000,MATCH($A148,Ventas!$A$2:$A$5000,0)),INDEX(Ventas!$I$2:$I$5000,MATCH($A148,Ventas!$A$2:$A$5000,0)),INDEX(Ventas!$J$2:$J$5000,MATCH($A148,Ventas!$A$2:$A$5000,0)))&gt;0.5*AF148*4,"1 mes = "&amp;TEXT(MAX(INDEX(Ventas!$G$2:$G$5000,MATCH($A148,Ventas!$A$2:$A$5000,0)),INDEX(Ventas!$H$2:$H$5000,MATCH($A148,Ventas!$A$2:$A$5000,0)),INDEX(Ventas!$I$2:$I$5000,MATCH($A148,Ventas!$A$2:$A$5000,0)),INDEX(Ventas!$J$2:$J$5000,MATCH($A148,Ventas!$A$2:$A$5000,0)))/(AF148*4),"0%")&amp;" de 4 meses",""))</f>
        <v>1 mes = 100% de 4 meses</v>
      </c>
      <c r="AD148" s="62" t="str">
        <f t="shared" si="7"/>
        <v/>
      </c>
      <c r="AE148" s="62" t="str">
        <f t="array" ref="AE148">IF(X148="","",IF(AND(E148=0,AVERAGE(INDEX(Ventas!$C$2:$I$5000,MATCH($A148,Ventas!$A$2:$A$5000,0),0))&gt;0,INDEX(Ventas!$J$2:$J$5000,MATCH($A148,Ventas!$A$2:$A$5000,0))&lt;0.5*AVERAGE(INDEX(Ventas!$C$2:$I$5000,MATCH($A148,Ventas!$A$2:$A$5000,0),0))),"SÍ — stock 0 y Sep cayó (prom Feb-Ago "&amp;TEXT(AVERAGE(INDEX(Ventas!$C$2:$I$5000,MATCH($A148,Ventas!$A$2:$A$5000,0),0)),"#,##0")&amp;")",""))</f>
        <v/>
      </c>
      <c r="AF148" s="60">
        <f t="array" ref="AF148">IF(X148="","",IF(AE148&lt;&gt;"",MAX(X148,AVERAGE(INDEX(Ventas!$C$2:$I$5000,MATCH($A148,Ventas!$A$2:$A$5000,0),0))),X148))</f>
        <v>17</v>
      </c>
      <c r="AG148" s="60">
        <f t="shared" si="8"/>
        <v>24</v>
      </c>
      <c r="AH148" s="63" t="str">
        <f t="shared" si="9"/>
        <v>COMPRAR</v>
      </c>
    </row>
    <row r="149" ht="13.5" customHeight="1">
      <c r="A149" s="49" t="s">
        <v>1332</v>
      </c>
      <c r="B149" s="50" t="s">
        <v>183</v>
      </c>
      <c r="C149" s="50" t="s">
        <v>3679</v>
      </c>
      <c r="D149" s="50" t="s">
        <v>3682</v>
      </c>
      <c r="E149" s="51">
        <v>540.0</v>
      </c>
      <c r="F149" s="52"/>
      <c r="G149" s="53"/>
      <c r="H149" s="55"/>
      <c r="I149" s="55"/>
      <c r="J149" s="53"/>
      <c r="K149" s="53"/>
      <c r="L149" s="55"/>
      <c r="M149" s="53"/>
      <c r="N149" s="74"/>
      <c r="O149" s="57" t="str">
        <f t="shared" si="1"/>
        <v>SOBRESTOCK — 36.0 meses de cobertura</v>
      </c>
      <c r="P149" s="58">
        <f t="shared" si="2"/>
        <v>540</v>
      </c>
      <c r="Q149" s="1"/>
      <c r="R149" s="1"/>
      <c r="S149" s="1"/>
      <c r="T149" s="1"/>
      <c r="U149" s="1"/>
      <c r="V149" s="1"/>
      <c r="W149" s="1"/>
      <c r="X149" s="60">
        <f>IFERROR(VLOOKUP($A149,Ventas!$A$2:$L$5000,12,FALSE()),"")</f>
        <v>15</v>
      </c>
      <c r="Y149" s="60">
        <f t="shared" si="3"/>
        <v>60</v>
      </c>
      <c r="Z149" s="61">
        <f t="shared" si="4"/>
        <v>36</v>
      </c>
      <c r="AA149" s="60">
        <f t="shared" si="5"/>
        <v>-480</v>
      </c>
      <c r="AB149" s="62" t="str">
        <f t="shared" si="6"/>
        <v/>
      </c>
      <c r="AC149" s="62" t="str">
        <f t="array" ref="AC149">IF(AH149&lt;&gt;"COMPRAR","",IF(MAX(INDEX(Ventas!$G$2:$G$5000,MATCH($A149,Ventas!$A$2:$A$5000,0)),INDEX(Ventas!$H$2:$H$5000,MATCH($A149,Ventas!$A$2:$A$5000,0)),INDEX(Ventas!$I$2:$I$5000,MATCH($A149,Ventas!$A$2:$A$5000,0)),INDEX(Ventas!$J$2:$J$5000,MATCH($A149,Ventas!$A$2:$A$5000,0)))&gt;0.5*AF149*4,"1 mes = "&amp;TEXT(MAX(INDEX(Ventas!$G$2:$G$5000,MATCH($A149,Ventas!$A$2:$A$5000,0)),INDEX(Ventas!$H$2:$H$5000,MATCH($A149,Ventas!$A$2:$A$5000,0)),INDEX(Ventas!$I$2:$I$5000,MATCH($A149,Ventas!$A$2:$A$5000,0)),INDEX(Ventas!$J$2:$J$5000,MATCH($A149,Ventas!$A$2:$A$5000,0)))/(AF149*4),"0%")&amp;" de 4 meses",""))</f>
        <v/>
      </c>
      <c r="AD149" s="62" t="str">
        <f t="shared" si="7"/>
        <v/>
      </c>
      <c r="AE149" s="62" t="str">
        <f t="array" ref="AE149">IF(X149="","",IF(AND(E149=0,AVERAGE(INDEX(Ventas!$C$2:$I$5000,MATCH($A149,Ventas!$A$2:$A$5000,0),0))&gt;0,INDEX(Ventas!$J$2:$J$5000,MATCH($A149,Ventas!$A$2:$A$5000,0))&lt;0.5*AVERAGE(INDEX(Ventas!$C$2:$I$5000,MATCH($A149,Ventas!$A$2:$A$5000,0),0))),"SÍ — stock 0 y Sep cayó (prom Feb-Ago "&amp;TEXT(AVERAGE(INDEX(Ventas!$C$2:$I$5000,MATCH($A149,Ventas!$A$2:$A$5000,0),0)),"#,##0")&amp;")",""))</f>
        <v/>
      </c>
      <c r="AF149" s="60">
        <f t="array" ref="AF149">IF(X149="","",IF(AE149&lt;&gt;"",MAX(X149,AVERAGE(INDEX(Ventas!$C$2:$I$5000,MATCH($A149,Ventas!$A$2:$A$5000,0),0))),X149))</f>
        <v>15</v>
      </c>
      <c r="AG149" s="60">
        <f t="shared" si="8"/>
        <v>-480</v>
      </c>
      <c r="AH149" s="63" t="str">
        <f t="shared" si="9"/>
        <v>SOBRESTOCK</v>
      </c>
    </row>
    <row r="150" ht="13.5" customHeight="1">
      <c r="A150" s="64" t="s">
        <v>1340</v>
      </c>
      <c r="B150" s="65" t="s">
        <v>183</v>
      </c>
      <c r="C150" s="65" t="s">
        <v>3679</v>
      </c>
      <c r="D150" s="65" t="s">
        <v>3683</v>
      </c>
      <c r="E150" s="51">
        <v>510.0</v>
      </c>
      <c r="F150" s="66"/>
      <c r="G150" s="53"/>
      <c r="H150" s="55"/>
      <c r="I150" s="55"/>
      <c r="J150" s="53"/>
      <c r="K150" s="53"/>
      <c r="L150" s="55"/>
      <c r="M150" s="53"/>
      <c r="N150" s="73"/>
      <c r="O150" s="57" t="str">
        <f t="shared" si="1"/>
        <v>SOBRESTOCK — 11.3 meses de cobertura</v>
      </c>
      <c r="P150" s="58">
        <f t="shared" si="2"/>
        <v>510</v>
      </c>
      <c r="Q150" s="1"/>
      <c r="R150" s="1"/>
      <c r="S150" s="1"/>
      <c r="T150" s="1"/>
      <c r="U150" s="1"/>
      <c r="V150" s="1"/>
      <c r="W150" s="1"/>
      <c r="X150" s="60">
        <f>IFERROR(VLOOKUP($A150,Ventas!$A$2:$L$5000,12,FALSE()),"")</f>
        <v>45</v>
      </c>
      <c r="Y150" s="60">
        <f t="shared" si="3"/>
        <v>180</v>
      </c>
      <c r="Z150" s="61">
        <f t="shared" si="4"/>
        <v>11.3</v>
      </c>
      <c r="AA150" s="60">
        <f t="shared" si="5"/>
        <v>-330</v>
      </c>
      <c r="AB150" s="62" t="str">
        <f t="shared" si="6"/>
        <v/>
      </c>
      <c r="AC150" s="62" t="str">
        <f t="array" ref="AC150">IF(AH150&lt;&gt;"COMPRAR","",IF(MAX(INDEX(Ventas!$G$2:$G$5000,MATCH($A150,Ventas!$A$2:$A$5000,0)),INDEX(Ventas!$H$2:$H$5000,MATCH($A150,Ventas!$A$2:$A$5000,0)),INDEX(Ventas!$I$2:$I$5000,MATCH($A150,Ventas!$A$2:$A$5000,0)),INDEX(Ventas!$J$2:$J$5000,MATCH($A150,Ventas!$A$2:$A$5000,0)))&gt;0.5*AF150*4,"1 mes = "&amp;TEXT(MAX(INDEX(Ventas!$G$2:$G$5000,MATCH($A150,Ventas!$A$2:$A$5000,0)),INDEX(Ventas!$H$2:$H$5000,MATCH($A150,Ventas!$A$2:$A$5000,0)),INDEX(Ventas!$I$2:$I$5000,MATCH($A150,Ventas!$A$2:$A$5000,0)),INDEX(Ventas!$J$2:$J$5000,MATCH($A150,Ventas!$A$2:$A$5000,0)))/(AF150*4),"0%")&amp;" de 4 meses",""))</f>
        <v/>
      </c>
      <c r="AD150" s="62" t="str">
        <f t="shared" si="7"/>
        <v/>
      </c>
      <c r="AE150" s="62" t="str">
        <f t="array" ref="AE150">IF(X150="","",IF(AND(E150=0,AVERAGE(INDEX(Ventas!$C$2:$I$5000,MATCH($A150,Ventas!$A$2:$A$5000,0),0))&gt;0,INDEX(Ventas!$J$2:$J$5000,MATCH($A150,Ventas!$A$2:$A$5000,0))&lt;0.5*AVERAGE(INDEX(Ventas!$C$2:$I$5000,MATCH($A150,Ventas!$A$2:$A$5000,0),0))),"SÍ — stock 0 y Sep cayó (prom Feb-Ago "&amp;TEXT(AVERAGE(INDEX(Ventas!$C$2:$I$5000,MATCH($A150,Ventas!$A$2:$A$5000,0),0)),"#,##0")&amp;")",""))</f>
        <v/>
      </c>
      <c r="AF150" s="60">
        <f t="array" ref="AF150">IF(X150="","",IF(AE150&lt;&gt;"",MAX(X150,AVERAGE(INDEX(Ventas!$C$2:$I$5000,MATCH($A150,Ventas!$A$2:$A$5000,0),0))),X150))</f>
        <v>45</v>
      </c>
      <c r="AG150" s="60">
        <f t="shared" si="8"/>
        <v>-330</v>
      </c>
      <c r="AH150" s="63" t="str">
        <f t="shared" si="9"/>
        <v>SOBRESTOCK</v>
      </c>
    </row>
    <row r="151" ht="13.5" customHeight="1">
      <c r="A151" s="49" t="s">
        <v>3684</v>
      </c>
      <c r="B151" s="50" t="s">
        <v>183</v>
      </c>
      <c r="C151" s="50" t="s">
        <v>3679</v>
      </c>
      <c r="D151" s="50" t="s">
        <v>3685</v>
      </c>
      <c r="E151" s="51">
        <v>0.0</v>
      </c>
      <c r="F151" s="52"/>
      <c r="G151" s="53"/>
      <c r="H151" s="55"/>
      <c r="I151" s="55"/>
      <c r="J151" s="53"/>
      <c r="K151" s="53"/>
      <c r="L151" s="55"/>
      <c r="M151" s="53"/>
      <c r="N151" s="74"/>
      <c r="O151" s="57" t="str">
        <f t="shared" si="1"/>
        <v>SIN HISTORIAL DE VENTAS — artículo nuevo o código distinto en Ventas</v>
      </c>
      <c r="P151" s="58">
        <f t="shared" si="2"/>
        <v>0</v>
      </c>
      <c r="Q151" s="1"/>
      <c r="R151" s="1"/>
      <c r="S151" s="1"/>
      <c r="T151" s="1"/>
      <c r="U151" s="1"/>
      <c r="V151" s="1"/>
      <c r="W151" s="1"/>
      <c r="X151" s="60" t="str">
        <f>IFERROR(VLOOKUP($A151,Ventas!$A$2:$L$5000,12,FALSE()),"")</f>
        <v/>
      </c>
      <c r="Y151" s="60" t="str">
        <f t="shared" si="3"/>
        <v/>
      </c>
      <c r="Z151" s="61" t="str">
        <f t="shared" si="4"/>
        <v/>
      </c>
      <c r="AA151" s="60" t="str">
        <f t="shared" si="5"/>
        <v/>
      </c>
      <c r="AB151" s="62" t="str">
        <f t="shared" si="6"/>
        <v/>
      </c>
      <c r="AC151" s="62" t="str">
        <f t="array" ref="AC151">IF(AH151&lt;&gt;"COMPRAR","",IF(MAX(INDEX(Ventas!$G$2:$G$5000,MATCH($A151,Ventas!$A$2:$A$5000,0)),INDEX(Ventas!$H$2:$H$5000,MATCH($A151,Ventas!$A$2:$A$5000,0)),INDEX(Ventas!$I$2:$I$5000,MATCH($A151,Ventas!$A$2:$A$5000,0)),INDEX(Ventas!$J$2:$J$5000,MATCH($A151,Ventas!$A$2:$A$5000,0)))&gt;0.5*AF151*4,"1 mes = "&amp;TEXT(MAX(INDEX(Ventas!$G$2:$G$5000,MATCH($A151,Ventas!$A$2:$A$5000,0)),INDEX(Ventas!$H$2:$H$5000,MATCH($A151,Ventas!$A$2:$A$5000,0)),INDEX(Ventas!$I$2:$I$5000,MATCH($A151,Ventas!$A$2:$A$5000,0)),INDEX(Ventas!$J$2:$J$5000,MATCH($A151,Ventas!$A$2:$A$5000,0)))/(AF151*4),"0%")&amp;" de 4 meses",""))</f>
        <v/>
      </c>
      <c r="AD151" s="62" t="str">
        <f t="shared" si="7"/>
        <v/>
      </c>
      <c r="AE151" s="62" t="str">
        <f t="array" ref="AE151">IF(X151="","",IF(AND(E151=0,AVERAGE(INDEX(Ventas!$C$2:$I$5000,MATCH($A151,Ventas!$A$2:$A$5000,0),0))&gt;0,INDEX(Ventas!$J$2:$J$5000,MATCH($A151,Ventas!$A$2:$A$5000,0))&lt;0.5*AVERAGE(INDEX(Ventas!$C$2:$I$5000,MATCH($A151,Ventas!$A$2:$A$5000,0),0))),"SÍ — stock 0 y Sep cayó (prom Feb-Ago "&amp;TEXT(AVERAGE(INDEX(Ventas!$C$2:$I$5000,MATCH($A151,Ventas!$A$2:$A$5000,0),0)),"#,##0")&amp;")",""))</f>
        <v/>
      </c>
      <c r="AF151" s="60" t="str">
        <f t="array" ref="AF151">IF(X151="","",IF(AE151&lt;&gt;"",MAX(X151,AVERAGE(INDEX(Ventas!$C$2:$I$5000,MATCH($A151,Ventas!$A$2:$A$5000,0),0))),X151))</f>
        <v/>
      </c>
      <c r="AG151" s="60" t="str">
        <f t="shared" si="8"/>
        <v/>
      </c>
      <c r="AH151" s="63" t="str">
        <f t="shared" si="9"/>
        <v>SIN HISTORIAL</v>
      </c>
    </row>
    <row r="152" ht="13.5" customHeight="1">
      <c r="A152" s="64" t="s">
        <v>3686</v>
      </c>
      <c r="B152" s="65" t="s">
        <v>183</v>
      </c>
      <c r="C152" s="65" t="s">
        <v>3679</v>
      </c>
      <c r="D152" s="65" t="s">
        <v>3687</v>
      </c>
      <c r="E152" s="51">
        <v>0.0</v>
      </c>
      <c r="F152" s="66"/>
      <c r="G152" s="53"/>
      <c r="H152" s="55"/>
      <c r="I152" s="55"/>
      <c r="J152" s="53"/>
      <c r="K152" s="53"/>
      <c r="L152" s="55"/>
      <c r="M152" s="53"/>
      <c r="N152" s="73"/>
      <c r="O152" s="57" t="str">
        <f t="shared" si="1"/>
        <v>SIN HISTORIAL DE VENTAS — artículo nuevo o código distinto en Ventas</v>
      </c>
      <c r="P152" s="58">
        <f t="shared" si="2"/>
        <v>0</v>
      </c>
      <c r="Q152" s="1"/>
      <c r="R152" s="1"/>
      <c r="S152" s="1"/>
      <c r="T152" s="1"/>
      <c r="U152" s="1"/>
      <c r="V152" s="1"/>
      <c r="W152" s="1"/>
      <c r="X152" s="60" t="str">
        <f>IFERROR(VLOOKUP($A152,Ventas!$A$2:$L$5000,12,FALSE()),"")</f>
        <v/>
      </c>
      <c r="Y152" s="60" t="str">
        <f t="shared" si="3"/>
        <v/>
      </c>
      <c r="Z152" s="61" t="str">
        <f t="shared" si="4"/>
        <v/>
      </c>
      <c r="AA152" s="60" t="str">
        <f t="shared" si="5"/>
        <v/>
      </c>
      <c r="AB152" s="62" t="str">
        <f t="shared" si="6"/>
        <v/>
      </c>
      <c r="AC152" s="62" t="str">
        <f t="array" ref="AC152">IF(AH152&lt;&gt;"COMPRAR","",IF(MAX(INDEX(Ventas!$G$2:$G$5000,MATCH($A152,Ventas!$A$2:$A$5000,0)),INDEX(Ventas!$H$2:$H$5000,MATCH($A152,Ventas!$A$2:$A$5000,0)),INDEX(Ventas!$I$2:$I$5000,MATCH($A152,Ventas!$A$2:$A$5000,0)),INDEX(Ventas!$J$2:$J$5000,MATCH($A152,Ventas!$A$2:$A$5000,0)))&gt;0.5*AF152*4,"1 mes = "&amp;TEXT(MAX(INDEX(Ventas!$G$2:$G$5000,MATCH($A152,Ventas!$A$2:$A$5000,0)),INDEX(Ventas!$H$2:$H$5000,MATCH($A152,Ventas!$A$2:$A$5000,0)),INDEX(Ventas!$I$2:$I$5000,MATCH($A152,Ventas!$A$2:$A$5000,0)),INDEX(Ventas!$J$2:$J$5000,MATCH($A152,Ventas!$A$2:$A$5000,0)))/(AF152*4),"0%")&amp;" de 4 meses",""))</f>
        <v/>
      </c>
      <c r="AD152" s="62" t="str">
        <f t="shared" si="7"/>
        <v/>
      </c>
      <c r="AE152" s="62" t="str">
        <f t="array" ref="AE152">IF(X152="","",IF(AND(E152=0,AVERAGE(INDEX(Ventas!$C$2:$I$5000,MATCH($A152,Ventas!$A$2:$A$5000,0),0))&gt;0,INDEX(Ventas!$J$2:$J$5000,MATCH($A152,Ventas!$A$2:$A$5000,0))&lt;0.5*AVERAGE(INDEX(Ventas!$C$2:$I$5000,MATCH($A152,Ventas!$A$2:$A$5000,0),0))),"SÍ — stock 0 y Sep cayó (prom Feb-Ago "&amp;TEXT(AVERAGE(INDEX(Ventas!$C$2:$I$5000,MATCH($A152,Ventas!$A$2:$A$5000,0),0)),"#,##0")&amp;")",""))</f>
        <v/>
      </c>
      <c r="AF152" s="60" t="str">
        <f t="array" ref="AF152">IF(X152="","",IF(AE152&lt;&gt;"",MAX(X152,AVERAGE(INDEX(Ventas!$C$2:$I$5000,MATCH($A152,Ventas!$A$2:$A$5000,0),0))),X152))</f>
        <v/>
      </c>
      <c r="AG152" s="60" t="str">
        <f t="shared" si="8"/>
        <v/>
      </c>
      <c r="AH152" s="63" t="str">
        <f t="shared" si="9"/>
        <v>SIN HISTORIAL</v>
      </c>
    </row>
    <row r="153" ht="13.5" customHeight="1">
      <c r="A153" s="49" t="s">
        <v>3688</v>
      </c>
      <c r="B153" s="50" t="s">
        <v>183</v>
      </c>
      <c r="C153" s="50" t="s">
        <v>3679</v>
      </c>
      <c r="D153" s="50" t="s">
        <v>3689</v>
      </c>
      <c r="E153" s="51">
        <v>0.0</v>
      </c>
      <c r="F153" s="52"/>
      <c r="G153" s="53"/>
      <c r="H153" s="55"/>
      <c r="I153" s="55"/>
      <c r="J153" s="53"/>
      <c r="K153" s="53"/>
      <c r="L153" s="55"/>
      <c r="M153" s="53"/>
      <c r="N153" s="74"/>
      <c r="O153" s="57" t="str">
        <f t="shared" si="1"/>
        <v>SIN HISTORIAL DE VENTAS — artículo nuevo o código distinto en Ventas</v>
      </c>
      <c r="P153" s="58">
        <f t="shared" si="2"/>
        <v>0</v>
      </c>
      <c r="Q153" s="1"/>
      <c r="R153" s="1"/>
      <c r="S153" s="1"/>
      <c r="T153" s="1"/>
      <c r="U153" s="1"/>
      <c r="V153" s="1"/>
      <c r="W153" s="1"/>
      <c r="X153" s="60" t="str">
        <f>IFERROR(VLOOKUP($A153,Ventas!$A$2:$L$5000,12,FALSE()),"")</f>
        <v/>
      </c>
      <c r="Y153" s="60" t="str">
        <f t="shared" si="3"/>
        <v/>
      </c>
      <c r="Z153" s="61" t="str">
        <f t="shared" si="4"/>
        <v/>
      </c>
      <c r="AA153" s="60" t="str">
        <f t="shared" si="5"/>
        <v/>
      </c>
      <c r="AB153" s="62" t="str">
        <f t="shared" si="6"/>
        <v/>
      </c>
      <c r="AC153" s="62" t="str">
        <f t="array" ref="AC153">IF(AH153&lt;&gt;"COMPRAR","",IF(MAX(INDEX(Ventas!$G$2:$G$5000,MATCH($A153,Ventas!$A$2:$A$5000,0)),INDEX(Ventas!$H$2:$H$5000,MATCH($A153,Ventas!$A$2:$A$5000,0)),INDEX(Ventas!$I$2:$I$5000,MATCH($A153,Ventas!$A$2:$A$5000,0)),INDEX(Ventas!$J$2:$J$5000,MATCH($A153,Ventas!$A$2:$A$5000,0)))&gt;0.5*AF153*4,"1 mes = "&amp;TEXT(MAX(INDEX(Ventas!$G$2:$G$5000,MATCH($A153,Ventas!$A$2:$A$5000,0)),INDEX(Ventas!$H$2:$H$5000,MATCH($A153,Ventas!$A$2:$A$5000,0)),INDEX(Ventas!$I$2:$I$5000,MATCH($A153,Ventas!$A$2:$A$5000,0)),INDEX(Ventas!$J$2:$J$5000,MATCH($A153,Ventas!$A$2:$A$5000,0)))/(AF153*4),"0%")&amp;" de 4 meses",""))</f>
        <v/>
      </c>
      <c r="AD153" s="62" t="str">
        <f t="shared" si="7"/>
        <v/>
      </c>
      <c r="AE153" s="62" t="str">
        <f t="array" ref="AE153">IF(X153="","",IF(AND(E153=0,AVERAGE(INDEX(Ventas!$C$2:$I$5000,MATCH($A153,Ventas!$A$2:$A$5000,0),0))&gt;0,INDEX(Ventas!$J$2:$J$5000,MATCH($A153,Ventas!$A$2:$A$5000,0))&lt;0.5*AVERAGE(INDEX(Ventas!$C$2:$I$5000,MATCH($A153,Ventas!$A$2:$A$5000,0),0))),"SÍ — stock 0 y Sep cayó (prom Feb-Ago "&amp;TEXT(AVERAGE(INDEX(Ventas!$C$2:$I$5000,MATCH($A153,Ventas!$A$2:$A$5000,0),0)),"#,##0")&amp;")",""))</f>
        <v/>
      </c>
      <c r="AF153" s="60" t="str">
        <f t="array" ref="AF153">IF(X153="","",IF(AE153&lt;&gt;"",MAX(X153,AVERAGE(INDEX(Ventas!$C$2:$I$5000,MATCH($A153,Ventas!$A$2:$A$5000,0),0))),X153))</f>
        <v/>
      </c>
      <c r="AG153" s="60" t="str">
        <f t="shared" si="8"/>
        <v/>
      </c>
      <c r="AH153" s="63" t="str">
        <f t="shared" si="9"/>
        <v>SIN HISTORIAL</v>
      </c>
    </row>
    <row r="154" ht="13.5" customHeight="1">
      <c r="A154" s="64" t="s">
        <v>1338</v>
      </c>
      <c r="B154" s="65" t="s">
        <v>183</v>
      </c>
      <c r="C154" s="65" t="s">
        <v>3679</v>
      </c>
      <c r="D154" s="65" t="s">
        <v>3690</v>
      </c>
      <c r="E154" s="51">
        <v>0.0</v>
      </c>
      <c r="F154" s="66"/>
      <c r="G154" s="53"/>
      <c r="H154" s="55"/>
      <c r="I154" s="55">
        <v>1000.0</v>
      </c>
      <c r="J154" s="53"/>
      <c r="K154" s="53"/>
      <c r="L154" s="55"/>
      <c r="M154" s="53"/>
      <c r="N154" s="73"/>
      <c r="O154" s="57" t="str">
        <f t="shared" si="1"/>
        <v>SIN VENTAS Jun-Sep — no comprar (1,000 m disponibles)</v>
      </c>
      <c r="P154" s="58">
        <f t="shared" si="2"/>
        <v>1000</v>
      </c>
      <c r="Q154" s="1"/>
      <c r="R154" s="1"/>
      <c r="S154" s="1"/>
      <c r="T154" s="1"/>
      <c r="U154" s="1"/>
      <c r="V154" s="1"/>
      <c r="W154" s="1"/>
      <c r="X154" s="60">
        <f>IFERROR(VLOOKUP($A154,Ventas!$A$2:$L$5000,12,FALSE()),"")</f>
        <v>0</v>
      </c>
      <c r="Y154" s="60">
        <f t="shared" si="3"/>
        <v>0</v>
      </c>
      <c r="Z154" s="61" t="str">
        <f t="shared" si="4"/>
        <v/>
      </c>
      <c r="AA154" s="60">
        <f t="shared" si="5"/>
        <v>-1000</v>
      </c>
      <c r="AB154" s="62" t="str">
        <f t="shared" si="6"/>
        <v/>
      </c>
      <c r="AC154" s="62" t="str">
        <f t="array" ref="AC154">IF(AH154&lt;&gt;"COMPRAR","",IF(MAX(INDEX(Ventas!$G$2:$G$5000,MATCH($A154,Ventas!$A$2:$A$5000,0)),INDEX(Ventas!$H$2:$H$5000,MATCH($A154,Ventas!$A$2:$A$5000,0)),INDEX(Ventas!$I$2:$I$5000,MATCH($A154,Ventas!$A$2:$A$5000,0)),INDEX(Ventas!$J$2:$J$5000,MATCH($A154,Ventas!$A$2:$A$5000,0)))&gt;0.5*AF154*4,"1 mes = "&amp;TEXT(MAX(INDEX(Ventas!$G$2:$G$5000,MATCH($A154,Ventas!$A$2:$A$5000,0)),INDEX(Ventas!$H$2:$H$5000,MATCH($A154,Ventas!$A$2:$A$5000,0)),INDEX(Ventas!$I$2:$I$5000,MATCH($A154,Ventas!$A$2:$A$5000,0)),INDEX(Ventas!$J$2:$J$5000,MATCH($A154,Ventas!$A$2:$A$5000,0)))/(AF154*4),"0%")&amp;" de 4 meses",""))</f>
        <v/>
      </c>
      <c r="AD154" s="62" t="str">
        <f t="shared" si="7"/>
        <v/>
      </c>
      <c r="AE154" s="62" t="str">
        <f t="array" ref="AE154">IF(X154="","",IF(AND(E154=0,AVERAGE(INDEX(Ventas!$C$2:$I$5000,MATCH($A154,Ventas!$A$2:$A$5000,0),0))&gt;0,INDEX(Ventas!$J$2:$J$5000,MATCH($A154,Ventas!$A$2:$A$5000,0))&lt;0.5*AVERAGE(INDEX(Ventas!$C$2:$I$5000,MATCH($A154,Ventas!$A$2:$A$5000,0),0))),"SÍ — stock 0 y Sep cayó (prom Feb-Ago "&amp;TEXT(AVERAGE(INDEX(Ventas!$C$2:$I$5000,MATCH($A154,Ventas!$A$2:$A$5000,0),0)),"#,##0")&amp;")",""))</f>
        <v>SÍ — stock 0 y Sep cayó (prom Feb-Ago 81)</v>
      </c>
      <c r="AF154" s="60">
        <f t="array" ref="AF154">IF(X154="","",IF(AE154&lt;&gt;"",MAX(X154,AVERAGE(INDEX(Ventas!$C$2:$I$5000,MATCH($A154,Ventas!$A$2:$A$5000,0),0))),X154))</f>
        <v>81.42857143</v>
      </c>
      <c r="AG154" s="60">
        <f t="shared" si="8"/>
        <v>-674</v>
      </c>
      <c r="AH154" s="63" t="str">
        <f t="shared" si="9"/>
        <v>PEDIR MENOS</v>
      </c>
    </row>
    <row r="155" ht="13.5" customHeight="1">
      <c r="A155" s="49" t="s">
        <v>3691</v>
      </c>
      <c r="B155" s="50" t="s">
        <v>183</v>
      </c>
      <c r="C155" s="50" t="s">
        <v>3692</v>
      </c>
      <c r="D155" s="50" t="s">
        <v>1329</v>
      </c>
      <c r="E155" s="51">
        <v>0.0</v>
      </c>
      <c r="F155" s="52"/>
      <c r="G155" s="53"/>
      <c r="H155" s="55"/>
      <c r="I155" s="55"/>
      <c r="J155" s="53"/>
      <c r="K155" s="53"/>
      <c r="L155" s="55">
        <v>800.0</v>
      </c>
      <c r="M155" s="53"/>
      <c r="N155" s="85" t="s">
        <v>3693</v>
      </c>
      <c r="O155" s="57" t="str">
        <f t="shared" si="1"/>
        <v>SIN HISTORIAL DE VENTAS — artículo nuevo o código distinto en Ventas</v>
      </c>
      <c r="P155" s="58">
        <f t="shared" si="2"/>
        <v>800</v>
      </c>
      <c r="Q155" s="1"/>
      <c r="R155" s="1"/>
      <c r="S155" s="1"/>
      <c r="T155" s="1"/>
      <c r="U155" s="1"/>
      <c r="V155" s="1"/>
      <c r="W155" s="1"/>
      <c r="X155" s="60" t="str">
        <f>IFERROR(VLOOKUP($A155,Ventas!$A$2:$L$5000,12,FALSE()),"")</f>
        <v/>
      </c>
      <c r="Y155" s="60" t="str">
        <f t="shared" si="3"/>
        <v/>
      </c>
      <c r="Z155" s="61" t="str">
        <f t="shared" si="4"/>
        <v/>
      </c>
      <c r="AA155" s="60" t="str">
        <f t="shared" si="5"/>
        <v/>
      </c>
      <c r="AB155" s="62" t="str">
        <f t="shared" si="6"/>
        <v/>
      </c>
      <c r="AC155" s="62" t="str">
        <f t="array" ref="AC155">IF(AH155&lt;&gt;"COMPRAR","",IF(MAX(INDEX(Ventas!$G$2:$G$5000,MATCH($A155,Ventas!$A$2:$A$5000,0)),INDEX(Ventas!$H$2:$H$5000,MATCH($A155,Ventas!$A$2:$A$5000,0)),INDEX(Ventas!$I$2:$I$5000,MATCH($A155,Ventas!$A$2:$A$5000,0)),INDEX(Ventas!$J$2:$J$5000,MATCH($A155,Ventas!$A$2:$A$5000,0)))&gt;0.5*AF155*4,"1 mes = "&amp;TEXT(MAX(INDEX(Ventas!$G$2:$G$5000,MATCH($A155,Ventas!$A$2:$A$5000,0)),INDEX(Ventas!$H$2:$H$5000,MATCH($A155,Ventas!$A$2:$A$5000,0)),INDEX(Ventas!$I$2:$I$5000,MATCH($A155,Ventas!$A$2:$A$5000,0)),INDEX(Ventas!$J$2:$J$5000,MATCH($A155,Ventas!$A$2:$A$5000,0)))/(AF155*4),"0%")&amp;" de 4 meses",""))</f>
        <v/>
      </c>
      <c r="AD155" s="62" t="str">
        <f t="shared" si="7"/>
        <v/>
      </c>
      <c r="AE155" s="62" t="str">
        <f t="array" ref="AE155">IF(X155="","",IF(AND(E155=0,AVERAGE(INDEX(Ventas!$C$2:$I$5000,MATCH($A155,Ventas!$A$2:$A$5000,0),0))&gt;0,INDEX(Ventas!$J$2:$J$5000,MATCH($A155,Ventas!$A$2:$A$5000,0))&lt;0.5*AVERAGE(INDEX(Ventas!$C$2:$I$5000,MATCH($A155,Ventas!$A$2:$A$5000,0),0))),"SÍ — stock 0 y Sep cayó (prom Feb-Ago "&amp;TEXT(AVERAGE(INDEX(Ventas!$C$2:$I$5000,MATCH($A155,Ventas!$A$2:$A$5000,0),0)),"#,##0")&amp;")",""))</f>
        <v/>
      </c>
      <c r="AF155" s="60" t="str">
        <f t="array" ref="AF155">IF(X155="","",IF(AE155&lt;&gt;"",MAX(X155,AVERAGE(INDEX(Ventas!$C$2:$I$5000,MATCH($A155,Ventas!$A$2:$A$5000,0),0))),X155))</f>
        <v/>
      </c>
      <c r="AG155" s="60" t="str">
        <f t="shared" si="8"/>
        <v/>
      </c>
      <c r="AH155" s="63" t="str">
        <f t="shared" si="9"/>
        <v>SIN HISTORIAL</v>
      </c>
    </row>
    <row r="156" ht="13.5" customHeight="1">
      <c r="A156" s="64" t="s">
        <v>3694</v>
      </c>
      <c r="B156" s="65" t="s">
        <v>183</v>
      </c>
      <c r="C156" s="65" t="s">
        <v>3692</v>
      </c>
      <c r="D156" s="65" t="s">
        <v>3637</v>
      </c>
      <c r="E156" s="51">
        <v>0.0</v>
      </c>
      <c r="F156" s="66"/>
      <c r="G156" s="53"/>
      <c r="H156" s="55"/>
      <c r="I156" s="55"/>
      <c r="J156" s="53"/>
      <c r="K156" s="53"/>
      <c r="L156" s="55">
        <v>800.0</v>
      </c>
      <c r="M156" s="53"/>
      <c r="N156" s="86" t="s">
        <v>3693</v>
      </c>
      <c r="O156" s="57" t="str">
        <f t="shared" si="1"/>
        <v>SIN HISTORIAL DE VENTAS — artículo nuevo o código distinto en Ventas</v>
      </c>
      <c r="P156" s="58">
        <f t="shared" si="2"/>
        <v>800</v>
      </c>
      <c r="Q156" s="1"/>
      <c r="R156" s="1"/>
      <c r="S156" s="1"/>
      <c r="T156" s="1"/>
      <c r="U156" s="1"/>
      <c r="V156" s="1"/>
      <c r="W156" s="1"/>
      <c r="X156" s="60" t="str">
        <f>IFERROR(VLOOKUP($A156,Ventas!$A$2:$L$5000,12,FALSE()),"")</f>
        <v/>
      </c>
      <c r="Y156" s="60" t="str">
        <f t="shared" si="3"/>
        <v/>
      </c>
      <c r="Z156" s="61" t="str">
        <f t="shared" si="4"/>
        <v/>
      </c>
      <c r="AA156" s="60" t="str">
        <f t="shared" si="5"/>
        <v/>
      </c>
      <c r="AB156" s="62" t="str">
        <f t="shared" si="6"/>
        <v/>
      </c>
      <c r="AC156" s="62" t="str">
        <f t="array" ref="AC156">IF(AH156&lt;&gt;"COMPRAR","",IF(MAX(INDEX(Ventas!$G$2:$G$5000,MATCH($A156,Ventas!$A$2:$A$5000,0)),INDEX(Ventas!$H$2:$H$5000,MATCH($A156,Ventas!$A$2:$A$5000,0)),INDEX(Ventas!$I$2:$I$5000,MATCH($A156,Ventas!$A$2:$A$5000,0)),INDEX(Ventas!$J$2:$J$5000,MATCH($A156,Ventas!$A$2:$A$5000,0)))&gt;0.5*AF156*4,"1 mes = "&amp;TEXT(MAX(INDEX(Ventas!$G$2:$G$5000,MATCH($A156,Ventas!$A$2:$A$5000,0)),INDEX(Ventas!$H$2:$H$5000,MATCH($A156,Ventas!$A$2:$A$5000,0)),INDEX(Ventas!$I$2:$I$5000,MATCH($A156,Ventas!$A$2:$A$5000,0)),INDEX(Ventas!$J$2:$J$5000,MATCH($A156,Ventas!$A$2:$A$5000,0)))/(AF156*4),"0%")&amp;" de 4 meses",""))</f>
        <v/>
      </c>
      <c r="AD156" s="62" t="str">
        <f t="shared" si="7"/>
        <v/>
      </c>
      <c r="AE156" s="62" t="str">
        <f t="array" ref="AE156">IF(X156="","",IF(AND(E156=0,AVERAGE(INDEX(Ventas!$C$2:$I$5000,MATCH($A156,Ventas!$A$2:$A$5000,0),0))&gt;0,INDEX(Ventas!$J$2:$J$5000,MATCH($A156,Ventas!$A$2:$A$5000,0))&lt;0.5*AVERAGE(INDEX(Ventas!$C$2:$I$5000,MATCH($A156,Ventas!$A$2:$A$5000,0),0))),"SÍ — stock 0 y Sep cayó (prom Feb-Ago "&amp;TEXT(AVERAGE(INDEX(Ventas!$C$2:$I$5000,MATCH($A156,Ventas!$A$2:$A$5000,0),0)),"#,##0")&amp;")",""))</f>
        <v/>
      </c>
      <c r="AF156" s="60" t="str">
        <f t="array" ref="AF156">IF(X156="","",IF(AE156&lt;&gt;"",MAX(X156,AVERAGE(INDEX(Ventas!$C$2:$I$5000,MATCH($A156,Ventas!$A$2:$A$5000,0),0))),X156))</f>
        <v/>
      </c>
      <c r="AG156" s="60" t="str">
        <f t="shared" si="8"/>
        <v/>
      </c>
      <c r="AH156" s="63" t="str">
        <f t="shared" si="9"/>
        <v>SIN HISTORIAL</v>
      </c>
    </row>
    <row r="157" ht="13.5" customHeight="1">
      <c r="A157" s="49" t="s">
        <v>3695</v>
      </c>
      <c r="B157" s="50" t="s">
        <v>183</v>
      </c>
      <c r="C157" s="50" t="s">
        <v>3692</v>
      </c>
      <c r="D157" s="50" t="s">
        <v>3696</v>
      </c>
      <c r="E157" s="51">
        <v>0.0</v>
      </c>
      <c r="F157" s="52"/>
      <c r="G157" s="53"/>
      <c r="H157" s="55"/>
      <c r="I157" s="55"/>
      <c r="J157" s="53"/>
      <c r="K157" s="53"/>
      <c r="L157" s="55">
        <v>800.0</v>
      </c>
      <c r="M157" s="53"/>
      <c r="N157" s="85" t="s">
        <v>3693</v>
      </c>
      <c r="O157" s="57" t="str">
        <f t="shared" si="1"/>
        <v>SIN HISTORIAL DE VENTAS — artículo nuevo o código distinto en Ventas</v>
      </c>
      <c r="P157" s="58">
        <f t="shared" si="2"/>
        <v>800</v>
      </c>
      <c r="Q157" s="1"/>
      <c r="R157" s="1"/>
      <c r="S157" s="1"/>
      <c r="T157" s="1"/>
      <c r="U157" s="1"/>
      <c r="V157" s="1"/>
      <c r="W157" s="1"/>
      <c r="X157" s="60" t="str">
        <f>IFERROR(VLOOKUP($A157,Ventas!$A$2:$L$5000,12,FALSE()),"")</f>
        <v/>
      </c>
      <c r="Y157" s="60" t="str">
        <f t="shared" si="3"/>
        <v/>
      </c>
      <c r="Z157" s="61" t="str">
        <f t="shared" si="4"/>
        <v/>
      </c>
      <c r="AA157" s="60" t="str">
        <f t="shared" si="5"/>
        <v/>
      </c>
      <c r="AB157" s="62" t="str">
        <f t="shared" si="6"/>
        <v/>
      </c>
      <c r="AC157" s="62" t="str">
        <f t="array" ref="AC157">IF(AH157&lt;&gt;"COMPRAR","",IF(MAX(INDEX(Ventas!$G$2:$G$5000,MATCH($A157,Ventas!$A$2:$A$5000,0)),INDEX(Ventas!$H$2:$H$5000,MATCH($A157,Ventas!$A$2:$A$5000,0)),INDEX(Ventas!$I$2:$I$5000,MATCH($A157,Ventas!$A$2:$A$5000,0)),INDEX(Ventas!$J$2:$J$5000,MATCH($A157,Ventas!$A$2:$A$5000,0)))&gt;0.5*AF157*4,"1 mes = "&amp;TEXT(MAX(INDEX(Ventas!$G$2:$G$5000,MATCH($A157,Ventas!$A$2:$A$5000,0)),INDEX(Ventas!$H$2:$H$5000,MATCH($A157,Ventas!$A$2:$A$5000,0)),INDEX(Ventas!$I$2:$I$5000,MATCH($A157,Ventas!$A$2:$A$5000,0)),INDEX(Ventas!$J$2:$J$5000,MATCH($A157,Ventas!$A$2:$A$5000,0)))/(AF157*4),"0%")&amp;" de 4 meses",""))</f>
        <v/>
      </c>
      <c r="AD157" s="62" t="str">
        <f t="shared" si="7"/>
        <v/>
      </c>
      <c r="AE157" s="62" t="str">
        <f t="array" ref="AE157">IF(X157="","",IF(AND(E157=0,AVERAGE(INDEX(Ventas!$C$2:$I$5000,MATCH($A157,Ventas!$A$2:$A$5000,0),0))&gt;0,INDEX(Ventas!$J$2:$J$5000,MATCH($A157,Ventas!$A$2:$A$5000,0))&lt;0.5*AVERAGE(INDEX(Ventas!$C$2:$I$5000,MATCH($A157,Ventas!$A$2:$A$5000,0),0))),"SÍ — stock 0 y Sep cayó (prom Feb-Ago "&amp;TEXT(AVERAGE(INDEX(Ventas!$C$2:$I$5000,MATCH($A157,Ventas!$A$2:$A$5000,0),0)),"#,##0")&amp;")",""))</f>
        <v/>
      </c>
      <c r="AF157" s="60" t="str">
        <f t="array" ref="AF157">IF(X157="","",IF(AE157&lt;&gt;"",MAX(X157,AVERAGE(INDEX(Ventas!$C$2:$I$5000,MATCH($A157,Ventas!$A$2:$A$5000,0),0))),X157))</f>
        <v/>
      </c>
      <c r="AG157" s="60" t="str">
        <f t="shared" si="8"/>
        <v/>
      </c>
      <c r="AH157" s="63" t="str">
        <f t="shared" si="9"/>
        <v>SIN HISTORIAL</v>
      </c>
    </row>
    <row r="158" ht="13.5" customHeight="1">
      <c r="A158" s="64"/>
      <c r="B158" s="50" t="s">
        <v>183</v>
      </c>
      <c r="C158" s="50" t="s">
        <v>3692</v>
      </c>
      <c r="D158" s="68" t="s">
        <v>1009</v>
      </c>
      <c r="E158" s="51"/>
      <c r="F158" s="66"/>
      <c r="G158" s="53"/>
      <c r="H158" s="55"/>
      <c r="I158" s="55"/>
      <c r="J158" s="53"/>
      <c r="K158" s="53"/>
      <c r="L158" s="69">
        <v>800.0</v>
      </c>
      <c r="M158" s="53"/>
      <c r="N158" s="73"/>
      <c r="O158" s="57" t="str">
        <f t="shared" si="1"/>
        <v>SIN SKU — cargar código para calcular</v>
      </c>
      <c r="P158" s="58">
        <f t="shared" si="2"/>
        <v>800</v>
      </c>
      <c r="Q158" s="1"/>
      <c r="R158" s="1"/>
      <c r="S158" s="1"/>
      <c r="T158" s="1"/>
      <c r="U158" s="1"/>
      <c r="V158" s="1"/>
      <c r="W158" s="1"/>
      <c r="X158" s="60" t="str">
        <f>IFERROR(VLOOKUP($A158,Ventas!$A$2:$L$5000,12,FALSE()),"")</f>
        <v/>
      </c>
      <c r="Y158" s="60" t="str">
        <f t="shared" si="3"/>
        <v/>
      </c>
      <c r="Z158" s="61" t="str">
        <f t="shared" si="4"/>
        <v/>
      </c>
      <c r="AA158" s="60" t="str">
        <f t="shared" si="5"/>
        <v/>
      </c>
      <c r="AB158" s="62" t="str">
        <f t="shared" si="6"/>
        <v/>
      </c>
      <c r="AC158" s="62" t="str">
        <f t="array" ref="AC158">IF(AH158&lt;&gt;"COMPRAR","",IF(MAX(INDEX(Ventas!$G$2:$G$5000,MATCH($A158,Ventas!$A$2:$A$5000,0)),INDEX(Ventas!$H$2:$H$5000,MATCH($A158,Ventas!$A$2:$A$5000,0)),INDEX(Ventas!$I$2:$I$5000,MATCH($A158,Ventas!$A$2:$A$5000,0)),INDEX(Ventas!$J$2:$J$5000,MATCH($A158,Ventas!$A$2:$A$5000,0)))&gt;0.5*AF158*4,"1 mes = "&amp;TEXT(MAX(INDEX(Ventas!$G$2:$G$5000,MATCH($A158,Ventas!$A$2:$A$5000,0)),INDEX(Ventas!$H$2:$H$5000,MATCH($A158,Ventas!$A$2:$A$5000,0)),INDEX(Ventas!$I$2:$I$5000,MATCH($A158,Ventas!$A$2:$A$5000,0)),INDEX(Ventas!$J$2:$J$5000,MATCH($A158,Ventas!$A$2:$A$5000,0)))/(AF158*4),"0%")&amp;" de 4 meses",""))</f>
        <v/>
      </c>
      <c r="AD158" s="62" t="str">
        <f t="shared" si="7"/>
        <v/>
      </c>
      <c r="AE158" s="62" t="str">
        <f t="array" ref="AE158">IF(X158="","",IF(AND(E158=0,AVERAGE(INDEX(Ventas!$C$2:$I$5000,MATCH($A158,Ventas!$A$2:$A$5000,0),0))&gt;0,INDEX(Ventas!$J$2:$J$5000,MATCH($A158,Ventas!$A$2:$A$5000,0))&lt;0.5*AVERAGE(INDEX(Ventas!$C$2:$I$5000,MATCH($A158,Ventas!$A$2:$A$5000,0),0))),"SÍ — stock 0 y Sep cayó (prom Feb-Ago "&amp;TEXT(AVERAGE(INDEX(Ventas!$C$2:$I$5000,MATCH($A158,Ventas!$A$2:$A$5000,0),0)),"#,##0")&amp;")",""))</f>
        <v/>
      </c>
      <c r="AF158" s="60" t="str">
        <f t="array" ref="AF158">IF(X158="","",IF(AE158&lt;&gt;"",MAX(X158,AVERAGE(INDEX(Ventas!$C$2:$I$5000,MATCH($A158,Ventas!$A$2:$A$5000,0),0))),X158))</f>
        <v/>
      </c>
      <c r="AG158" s="60" t="str">
        <f t="shared" si="8"/>
        <v/>
      </c>
      <c r="AH158" s="63" t="str">
        <f t="shared" si="9"/>
        <v/>
      </c>
    </row>
    <row r="159" ht="13.5" customHeight="1">
      <c r="A159" s="64" t="s">
        <v>3697</v>
      </c>
      <c r="B159" s="65" t="s">
        <v>183</v>
      </c>
      <c r="C159" s="65" t="s">
        <v>3698</v>
      </c>
      <c r="D159" s="65" t="s">
        <v>1329</v>
      </c>
      <c r="E159" s="51">
        <v>0.0</v>
      </c>
      <c r="F159" s="66"/>
      <c r="G159" s="53"/>
      <c r="H159" s="55"/>
      <c r="I159" s="55"/>
      <c r="J159" s="53"/>
      <c r="K159" s="53"/>
      <c r="L159" s="55"/>
      <c r="M159" s="53"/>
      <c r="N159" s="73"/>
      <c r="O159" s="57" t="str">
        <f t="shared" si="1"/>
        <v>SIN HISTORIAL DE VENTAS — artículo nuevo o código distinto en Ventas</v>
      </c>
      <c r="P159" s="58">
        <f t="shared" si="2"/>
        <v>0</v>
      </c>
      <c r="Q159" s="1"/>
      <c r="R159" s="1"/>
      <c r="S159" s="1"/>
      <c r="T159" s="1"/>
      <c r="U159" s="1"/>
      <c r="V159" s="1"/>
      <c r="W159" s="1"/>
      <c r="X159" s="60" t="str">
        <f>IFERROR(VLOOKUP($A159,Ventas!$A$2:$L$5000,12,FALSE()),"")</f>
        <v/>
      </c>
      <c r="Y159" s="60" t="str">
        <f t="shared" si="3"/>
        <v/>
      </c>
      <c r="Z159" s="61" t="str">
        <f t="shared" si="4"/>
        <v/>
      </c>
      <c r="AA159" s="60" t="str">
        <f t="shared" si="5"/>
        <v/>
      </c>
      <c r="AB159" s="62" t="str">
        <f t="shared" si="6"/>
        <v/>
      </c>
      <c r="AC159" s="62" t="str">
        <f t="array" ref="AC159">IF(AH159&lt;&gt;"COMPRAR","",IF(MAX(INDEX(Ventas!$G$2:$G$5000,MATCH($A159,Ventas!$A$2:$A$5000,0)),INDEX(Ventas!$H$2:$H$5000,MATCH($A159,Ventas!$A$2:$A$5000,0)),INDEX(Ventas!$I$2:$I$5000,MATCH($A159,Ventas!$A$2:$A$5000,0)),INDEX(Ventas!$J$2:$J$5000,MATCH($A159,Ventas!$A$2:$A$5000,0)))&gt;0.5*AF159*4,"1 mes = "&amp;TEXT(MAX(INDEX(Ventas!$G$2:$G$5000,MATCH($A159,Ventas!$A$2:$A$5000,0)),INDEX(Ventas!$H$2:$H$5000,MATCH($A159,Ventas!$A$2:$A$5000,0)),INDEX(Ventas!$I$2:$I$5000,MATCH($A159,Ventas!$A$2:$A$5000,0)),INDEX(Ventas!$J$2:$J$5000,MATCH($A159,Ventas!$A$2:$A$5000,0)))/(AF159*4),"0%")&amp;" de 4 meses",""))</f>
        <v/>
      </c>
      <c r="AD159" s="62" t="str">
        <f t="shared" si="7"/>
        <v/>
      </c>
      <c r="AE159" s="62" t="str">
        <f t="array" ref="AE159">IF(X159="","",IF(AND(E159=0,AVERAGE(INDEX(Ventas!$C$2:$I$5000,MATCH($A159,Ventas!$A$2:$A$5000,0),0))&gt;0,INDEX(Ventas!$J$2:$J$5000,MATCH($A159,Ventas!$A$2:$A$5000,0))&lt;0.5*AVERAGE(INDEX(Ventas!$C$2:$I$5000,MATCH($A159,Ventas!$A$2:$A$5000,0),0))),"SÍ — stock 0 y Sep cayó (prom Feb-Ago "&amp;TEXT(AVERAGE(INDEX(Ventas!$C$2:$I$5000,MATCH($A159,Ventas!$A$2:$A$5000,0),0)),"#,##0")&amp;")",""))</f>
        <v/>
      </c>
      <c r="AF159" s="60" t="str">
        <f t="array" ref="AF159">IF(X159="","",IF(AE159&lt;&gt;"",MAX(X159,AVERAGE(INDEX(Ventas!$C$2:$I$5000,MATCH($A159,Ventas!$A$2:$A$5000,0),0))),X159))</f>
        <v/>
      </c>
      <c r="AG159" s="60" t="str">
        <f t="shared" si="8"/>
        <v/>
      </c>
      <c r="AH159" s="63" t="str">
        <f t="shared" si="9"/>
        <v>SIN HISTORIAL</v>
      </c>
    </row>
    <row r="160" ht="13.5" customHeight="1">
      <c r="A160" s="49" t="s">
        <v>3699</v>
      </c>
      <c r="B160" s="50" t="s">
        <v>183</v>
      </c>
      <c r="C160" s="50" t="s">
        <v>3698</v>
      </c>
      <c r="D160" s="50" t="s">
        <v>3700</v>
      </c>
      <c r="E160" s="51">
        <v>0.0</v>
      </c>
      <c r="F160" s="52"/>
      <c r="G160" s="53"/>
      <c r="H160" s="55"/>
      <c r="I160" s="55"/>
      <c r="J160" s="53"/>
      <c r="K160" s="53"/>
      <c r="L160" s="55"/>
      <c r="M160" s="53"/>
      <c r="N160" s="74"/>
      <c r="O160" s="57" t="str">
        <f t="shared" si="1"/>
        <v>SIN HISTORIAL DE VENTAS — artículo nuevo o código distinto en Ventas</v>
      </c>
      <c r="P160" s="58">
        <f t="shared" si="2"/>
        <v>0</v>
      </c>
      <c r="Q160" s="1"/>
      <c r="R160" s="1"/>
      <c r="S160" s="1"/>
      <c r="T160" s="1"/>
      <c r="U160" s="1"/>
      <c r="V160" s="1"/>
      <c r="W160" s="1"/>
      <c r="X160" s="60" t="str">
        <f>IFERROR(VLOOKUP($A160,Ventas!$A$2:$L$5000,12,FALSE()),"")</f>
        <v/>
      </c>
      <c r="Y160" s="60" t="str">
        <f t="shared" si="3"/>
        <v/>
      </c>
      <c r="Z160" s="61" t="str">
        <f t="shared" si="4"/>
        <v/>
      </c>
      <c r="AA160" s="60" t="str">
        <f t="shared" si="5"/>
        <v/>
      </c>
      <c r="AB160" s="62" t="str">
        <f t="shared" si="6"/>
        <v/>
      </c>
      <c r="AC160" s="62" t="str">
        <f t="array" ref="AC160">IF(AH160&lt;&gt;"COMPRAR","",IF(MAX(INDEX(Ventas!$G$2:$G$5000,MATCH($A160,Ventas!$A$2:$A$5000,0)),INDEX(Ventas!$H$2:$H$5000,MATCH($A160,Ventas!$A$2:$A$5000,0)),INDEX(Ventas!$I$2:$I$5000,MATCH($A160,Ventas!$A$2:$A$5000,0)),INDEX(Ventas!$J$2:$J$5000,MATCH($A160,Ventas!$A$2:$A$5000,0)))&gt;0.5*AF160*4,"1 mes = "&amp;TEXT(MAX(INDEX(Ventas!$G$2:$G$5000,MATCH($A160,Ventas!$A$2:$A$5000,0)),INDEX(Ventas!$H$2:$H$5000,MATCH($A160,Ventas!$A$2:$A$5000,0)),INDEX(Ventas!$I$2:$I$5000,MATCH($A160,Ventas!$A$2:$A$5000,0)),INDEX(Ventas!$J$2:$J$5000,MATCH($A160,Ventas!$A$2:$A$5000,0)))/(AF160*4),"0%")&amp;" de 4 meses",""))</f>
        <v/>
      </c>
      <c r="AD160" s="62" t="str">
        <f t="shared" si="7"/>
        <v/>
      </c>
      <c r="AE160" s="62" t="str">
        <f t="array" ref="AE160">IF(X160="","",IF(AND(E160=0,AVERAGE(INDEX(Ventas!$C$2:$I$5000,MATCH($A160,Ventas!$A$2:$A$5000,0),0))&gt;0,INDEX(Ventas!$J$2:$J$5000,MATCH($A160,Ventas!$A$2:$A$5000,0))&lt;0.5*AVERAGE(INDEX(Ventas!$C$2:$I$5000,MATCH($A160,Ventas!$A$2:$A$5000,0),0))),"SÍ — stock 0 y Sep cayó (prom Feb-Ago "&amp;TEXT(AVERAGE(INDEX(Ventas!$C$2:$I$5000,MATCH($A160,Ventas!$A$2:$A$5000,0),0)),"#,##0")&amp;")",""))</f>
        <v/>
      </c>
      <c r="AF160" s="60" t="str">
        <f t="array" ref="AF160">IF(X160="","",IF(AE160&lt;&gt;"",MAX(X160,AVERAGE(INDEX(Ventas!$C$2:$I$5000,MATCH($A160,Ventas!$A$2:$A$5000,0),0))),X160))</f>
        <v/>
      </c>
      <c r="AG160" s="60" t="str">
        <f t="shared" si="8"/>
        <v/>
      </c>
      <c r="AH160" s="63" t="str">
        <f t="shared" si="9"/>
        <v>SIN HISTORIAL</v>
      </c>
    </row>
    <row r="161" ht="13.5" customHeight="1">
      <c r="A161" s="64" t="s">
        <v>2711</v>
      </c>
      <c r="B161" s="65" t="s">
        <v>183</v>
      </c>
      <c r="C161" s="65" t="s">
        <v>3701</v>
      </c>
      <c r="D161" s="65" t="s">
        <v>3702</v>
      </c>
      <c r="E161" s="51">
        <v>0.0</v>
      </c>
      <c r="F161" s="66"/>
      <c r="G161" s="53"/>
      <c r="H161" s="55"/>
      <c r="I161" s="55"/>
      <c r="J161" s="53"/>
      <c r="K161" s="53"/>
      <c r="L161" s="55"/>
      <c r="M161" s="53"/>
      <c r="N161" s="73"/>
      <c r="O161" s="57" t="str">
        <f t="shared" si="1"/>
        <v>COMPRAR — faltan 25 m para 4 meses</v>
      </c>
      <c r="P161" s="58">
        <f t="shared" si="2"/>
        <v>0</v>
      </c>
      <c r="Q161" s="1"/>
      <c r="R161" s="1"/>
      <c r="S161" s="1"/>
      <c r="T161" s="1"/>
      <c r="U161" s="1"/>
      <c r="V161" s="1"/>
      <c r="W161" s="1"/>
      <c r="X161" s="60">
        <f>IFERROR(VLOOKUP($A161,Ventas!$A$2:$L$5000,12,FALSE()),"")</f>
        <v>6.25</v>
      </c>
      <c r="Y161" s="60">
        <f t="shared" si="3"/>
        <v>25</v>
      </c>
      <c r="Z161" s="61">
        <f t="shared" si="4"/>
        <v>0</v>
      </c>
      <c r="AA161" s="60">
        <f t="shared" si="5"/>
        <v>25</v>
      </c>
      <c r="AB161" s="62" t="str">
        <f t="shared" si="6"/>
        <v/>
      </c>
      <c r="AC161" s="62" t="str">
        <f t="array" ref="AC161">IF(AH161&lt;&gt;"COMPRAR","",IF(MAX(INDEX(Ventas!$G$2:$G$5000,MATCH($A161,Ventas!$A$2:$A$5000,0)),INDEX(Ventas!$H$2:$H$5000,MATCH($A161,Ventas!$A$2:$A$5000,0)),INDEX(Ventas!$I$2:$I$5000,MATCH($A161,Ventas!$A$2:$A$5000,0)),INDEX(Ventas!$J$2:$J$5000,MATCH($A161,Ventas!$A$2:$A$5000,0)))&gt;0.5*AF161*4,"1 mes = "&amp;TEXT(MAX(INDEX(Ventas!$G$2:$G$5000,MATCH($A161,Ventas!$A$2:$A$5000,0)),INDEX(Ventas!$H$2:$H$5000,MATCH($A161,Ventas!$A$2:$A$5000,0)),INDEX(Ventas!$I$2:$I$5000,MATCH($A161,Ventas!$A$2:$A$5000,0)),INDEX(Ventas!$J$2:$J$5000,MATCH($A161,Ventas!$A$2:$A$5000,0)))/(AF161*4),"0%")&amp;" de 4 meses",""))</f>
        <v/>
      </c>
      <c r="AD161" s="62" t="str">
        <f t="shared" si="7"/>
        <v>SÍ — 0 m vs 3 m</v>
      </c>
      <c r="AE161" s="62" t="str">
        <f t="array" ref="AE161">IF(X161="","",IF(AND(E161=0,AVERAGE(INDEX(Ventas!$C$2:$I$5000,MATCH($A161,Ventas!$A$2:$A$5000,0),0))&gt;0,INDEX(Ventas!$J$2:$J$5000,MATCH($A161,Ventas!$A$2:$A$5000,0))&lt;0.5*AVERAGE(INDEX(Ventas!$C$2:$I$5000,MATCH($A161,Ventas!$A$2:$A$5000,0),0))),"SÍ — stock 0 y Sep cayó (prom Feb-Ago "&amp;TEXT(AVERAGE(INDEX(Ventas!$C$2:$I$5000,MATCH($A161,Ventas!$A$2:$A$5000,0),0)),"#,##0")&amp;")",""))</f>
        <v>SÍ — stock 0 y Sep cayó (prom Feb-Ago 305)</v>
      </c>
      <c r="AF161" s="60">
        <f t="array" ref="AF161">IF(X161="","",IF(AE161&lt;&gt;"",MAX(X161,AVERAGE(INDEX(Ventas!$C$2:$I$5000,MATCH($A161,Ventas!$A$2:$A$5000,0),0))),X161))</f>
        <v>305.3571429</v>
      </c>
      <c r="AG161" s="60">
        <f t="shared" si="8"/>
        <v>1221</v>
      </c>
      <c r="AH161" s="63" t="str">
        <f t="shared" si="9"/>
        <v>COMPRAR</v>
      </c>
    </row>
    <row r="162" ht="13.5" customHeight="1">
      <c r="A162" s="49" t="s">
        <v>2717</v>
      </c>
      <c r="B162" s="50" t="s">
        <v>183</v>
      </c>
      <c r="C162" s="50" t="s">
        <v>3701</v>
      </c>
      <c r="D162" s="50" t="s">
        <v>336</v>
      </c>
      <c r="E162" s="51">
        <v>0.0</v>
      </c>
      <c r="F162" s="52"/>
      <c r="G162" s="53"/>
      <c r="H162" s="55"/>
      <c r="I162" s="55"/>
      <c r="J162" s="53"/>
      <c r="K162" s="53"/>
      <c r="L162" s="55"/>
      <c r="M162" s="53"/>
      <c r="N162" s="74"/>
      <c r="O162" s="57" t="str">
        <f t="shared" si="1"/>
        <v>SIN VENTAS Jun-Sep — no comprar</v>
      </c>
      <c r="P162" s="58">
        <f t="shared" si="2"/>
        <v>0</v>
      </c>
      <c r="Q162" s="1"/>
      <c r="R162" s="1"/>
      <c r="S162" s="1"/>
      <c r="T162" s="1"/>
      <c r="U162" s="1"/>
      <c r="V162" s="1"/>
      <c r="W162" s="1"/>
      <c r="X162" s="60">
        <f>IFERROR(VLOOKUP($A162,Ventas!$A$2:$L$5000,12,FALSE()),"")</f>
        <v>0</v>
      </c>
      <c r="Y162" s="60">
        <f t="shared" si="3"/>
        <v>0</v>
      </c>
      <c r="Z162" s="61" t="str">
        <f t="shared" si="4"/>
        <v/>
      </c>
      <c r="AA162" s="60">
        <f t="shared" si="5"/>
        <v>0</v>
      </c>
      <c r="AB162" s="62" t="str">
        <f t="shared" si="6"/>
        <v/>
      </c>
      <c r="AC162" s="62" t="str">
        <f t="array" ref="AC162">IF(AH162&lt;&gt;"COMPRAR","",IF(MAX(INDEX(Ventas!$G$2:$G$5000,MATCH($A162,Ventas!$A$2:$A$5000,0)),INDEX(Ventas!$H$2:$H$5000,MATCH($A162,Ventas!$A$2:$A$5000,0)),INDEX(Ventas!$I$2:$I$5000,MATCH($A162,Ventas!$A$2:$A$5000,0)),INDEX(Ventas!$J$2:$J$5000,MATCH($A162,Ventas!$A$2:$A$5000,0)))&gt;0.5*AF162*4,"1 mes = "&amp;TEXT(MAX(INDEX(Ventas!$G$2:$G$5000,MATCH($A162,Ventas!$A$2:$A$5000,0)),INDEX(Ventas!$H$2:$H$5000,MATCH($A162,Ventas!$A$2:$A$5000,0)),INDEX(Ventas!$I$2:$I$5000,MATCH($A162,Ventas!$A$2:$A$5000,0)),INDEX(Ventas!$J$2:$J$5000,MATCH($A162,Ventas!$A$2:$A$5000,0)))/(AF162*4),"0%")&amp;" de 4 meses",""))</f>
        <v/>
      </c>
      <c r="AD162" s="62" t="str">
        <f t="shared" si="7"/>
        <v/>
      </c>
      <c r="AE162" s="62" t="str">
        <f t="array" ref="AE162">IF(X162="","",IF(AND(E162=0,AVERAGE(INDEX(Ventas!$C$2:$I$5000,MATCH($A162,Ventas!$A$2:$A$5000,0),0))&gt;0,INDEX(Ventas!$J$2:$J$5000,MATCH($A162,Ventas!$A$2:$A$5000,0))&lt;0.5*AVERAGE(INDEX(Ventas!$C$2:$I$5000,MATCH($A162,Ventas!$A$2:$A$5000,0),0))),"SÍ — stock 0 y Sep cayó (prom Feb-Ago "&amp;TEXT(AVERAGE(INDEX(Ventas!$C$2:$I$5000,MATCH($A162,Ventas!$A$2:$A$5000,0),0)),"#,##0")&amp;")",""))</f>
        <v>SÍ — stock 0 y Sep cayó (prom Feb-Ago 29)</v>
      </c>
      <c r="AF162" s="60">
        <f t="array" ref="AF162">IF(X162="","",IF(AE162&lt;&gt;"",MAX(X162,AVERAGE(INDEX(Ventas!$C$2:$I$5000,MATCH($A162,Ventas!$A$2:$A$5000,0),0))),X162))</f>
        <v>28.71428571</v>
      </c>
      <c r="AG162" s="60">
        <f t="shared" si="8"/>
        <v>115</v>
      </c>
      <c r="AH162" s="63" t="str">
        <f t="shared" si="9"/>
        <v>COMPRAR</v>
      </c>
    </row>
    <row r="163" ht="13.5" customHeight="1">
      <c r="A163" s="64" t="s">
        <v>2713</v>
      </c>
      <c r="B163" s="65" t="s">
        <v>183</v>
      </c>
      <c r="C163" s="65" t="s">
        <v>3701</v>
      </c>
      <c r="D163" s="65" t="s">
        <v>3703</v>
      </c>
      <c r="E163" s="51">
        <v>0.0</v>
      </c>
      <c r="F163" s="66"/>
      <c r="G163" s="53"/>
      <c r="H163" s="55"/>
      <c r="I163" s="55"/>
      <c r="J163" s="53"/>
      <c r="K163" s="53"/>
      <c r="L163" s="55"/>
      <c r="M163" s="53"/>
      <c r="N163" s="73"/>
      <c r="O163" s="57" t="str">
        <f t="shared" si="1"/>
        <v>COMPRAR — faltan 140 m para 4 meses</v>
      </c>
      <c r="P163" s="58">
        <f t="shared" si="2"/>
        <v>0</v>
      </c>
      <c r="Q163" s="1"/>
      <c r="R163" s="1"/>
      <c r="S163" s="1"/>
      <c r="T163" s="1"/>
      <c r="U163" s="1"/>
      <c r="V163" s="1"/>
      <c r="W163" s="1"/>
      <c r="X163" s="60">
        <f>IFERROR(VLOOKUP($A163,Ventas!$A$2:$L$5000,12,FALSE()),"")</f>
        <v>35</v>
      </c>
      <c r="Y163" s="60">
        <f t="shared" si="3"/>
        <v>140</v>
      </c>
      <c r="Z163" s="61">
        <f t="shared" si="4"/>
        <v>0</v>
      </c>
      <c r="AA163" s="60">
        <f t="shared" si="5"/>
        <v>140</v>
      </c>
      <c r="AB163" s="62" t="str">
        <f t="shared" si="6"/>
        <v/>
      </c>
      <c r="AC163" s="62" t="str">
        <f t="array" ref="AC163">IF(AH163&lt;&gt;"COMPRAR","",IF(MAX(INDEX(Ventas!$G$2:$G$5000,MATCH($A163,Ventas!$A$2:$A$5000,0)),INDEX(Ventas!$H$2:$H$5000,MATCH($A163,Ventas!$A$2:$A$5000,0)),INDEX(Ventas!$I$2:$I$5000,MATCH($A163,Ventas!$A$2:$A$5000,0)),INDEX(Ventas!$J$2:$J$5000,MATCH($A163,Ventas!$A$2:$A$5000,0)))&gt;0.5*AF163*4,"1 mes = "&amp;TEXT(MAX(INDEX(Ventas!$G$2:$G$5000,MATCH($A163,Ventas!$A$2:$A$5000,0)),INDEX(Ventas!$H$2:$H$5000,MATCH($A163,Ventas!$A$2:$A$5000,0)),INDEX(Ventas!$I$2:$I$5000,MATCH($A163,Ventas!$A$2:$A$5000,0)),INDEX(Ventas!$J$2:$J$5000,MATCH($A163,Ventas!$A$2:$A$5000,0)))/(AF163*4),"0%")&amp;" de 4 meses",""))</f>
        <v/>
      </c>
      <c r="AD163" s="62" t="str">
        <f t="shared" si="7"/>
        <v>SÍ — 0 m vs 19 m</v>
      </c>
      <c r="AE163" s="62" t="str">
        <f t="array" ref="AE163">IF(X163="","",IF(AND(E163=0,AVERAGE(INDEX(Ventas!$C$2:$I$5000,MATCH($A163,Ventas!$A$2:$A$5000,0),0))&gt;0,INDEX(Ventas!$J$2:$J$5000,MATCH($A163,Ventas!$A$2:$A$5000,0))&lt;0.5*AVERAGE(INDEX(Ventas!$C$2:$I$5000,MATCH($A163,Ventas!$A$2:$A$5000,0),0))),"SÍ — stock 0 y Sep cayó (prom Feb-Ago "&amp;TEXT(AVERAGE(INDEX(Ventas!$C$2:$I$5000,MATCH($A163,Ventas!$A$2:$A$5000,0),0)),"#,##0")&amp;")",""))</f>
        <v>SÍ — stock 0 y Sep cayó (prom Feb-Ago 73)</v>
      </c>
      <c r="AF163" s="60">
        <f t="array" ref="AF163">IF(X163="","",IF(AE163&lt;&gt;"",MAX(X163,AVERAGE(INDEX(Ventas!$C$2:$I$5000,MATCH($A163,Ventas!$A$2:$A$5000,0),0))),X163))</f>
        <v>72.71428571</v>
      </c>
      <c r="AG163" s="60">
        <f t="shared" si="8"/>
        <v>291</v>
      </c>
      <c r="AH163" s="63" t="str">
        <f t="shared" si="9"/>
        <v>COMPRAR</v>
      </c>
    </row>
    <row r="164" ht="13.5" customHeight="1">
      <c r="A164" s="49" t="s">
        <v>2757</v>
      </c>
      <c r="B164" s="50" t="s">
        <v>183</v>
      </c>
      <c r="C164" s="50" t="s">
        <v>3701</v>
      </c>
      <c r="D164" s="50" t="s">
        <v>3704</v>
      </c>
      <c r="E164" s="51">
        <v>0.0</v>
      </c>
      <c r="F164" s="52"/>
      <c r="G164" s="53"/>
      <c r="H164" s="55"/>
      <c r="I164" s="55"/>
      <c r="J164" s="53"/>
      <c r="K164" s="53"/>
      <c r="L164" s="55"/>
      <c r="M164" s="53"/>
      <c r="N164" s="74"/>
      <c r="O164" s="57" t="str">
        <f t="shared" si="1"/>
        <v>COMPRAR — faltan 91 m para 4 meses</v>
      </c>
      <c r="P164" s="58">
        <f t="shared" si="2"/>
        <v>0</v>
      </c>
      <c r="Q164" s="1"/>
      <c r="R164" s="1"/>
      <c r="S164" s="1"/>
      <c r="T164" s="1"/>
      <c r="U164" s="1"/>
      <c r="V164" s="1"/>
      <c r="W164" s="1"/>
      <c r="X164" s="60">
        <f>IFERROR(VLOOKUP($A164,Ventas!$A$2:$L$5000,12,FALSE()),"")</f>
        <v>22.75</v>
      </c>
      <c r="Y164" s="60">
        <f t="shared" si="3"/>
        <v>91</v>
      </c>
      <c r="Z164" s="61">
        <f t="shared" si="4"/>
        <v>0</v>
      </c>
      <c r="AA164" s="60">
        <f t="shared" si="5"/>
        <v>91</v>
      </c>
      <c r="AB164" s="62" t="str">
        <f t="shared" si="6"/>
        <v/>
      </c>
      <c r="AC164" s="62" t="str">
        <f t="array" ref="AC164">IF(AH164&lt;&gt;"COMPRAR","",IF(MAX(INDEX(Ventas!$G$2:$G$5000,MATCH($A164,Ventas!$A$2:$A$5000,0)),INDEX(Ventas!$H$2:$H$5000,MATCH($A164,Ventas!$A$2:$A$5000,0)),INDEX(Ventas!$I$2:$I$5000,MATCH($A164,Ventas!$A$2:$A$5000,0)),INDEX(Ventas!$J$2:$J$5000,MATCH($A164,Ventas!$A$2:$A$5000,0)))&gt;0.5*AF164*4,"1 mes = "&amp;TEXT(MAX(INDEX(Ventas!$G$2:$G$5000,MATCH($A164,Ventas!$A$2:$A$5000,0)),INDEX(Ventas!$H$2:$H$5000,MATCH($A164,Ventas!$A$2:$A$5000,0)),INDEX(Ventas!$I$2:$I$5000,MATCH($A164,Ventas!$A$2:$A$5000,0)),INDEX(Ventas!$J$2:$J$5000,MATCH($A164,Ventas!$A$2:$A$5000,0)))/(AF164*4),"0%")&amp;" de 4 meses",""))</f>
        <v>1 mes = 55% de 4 meses</v>
      </c>
      <c r="AD164" s="62" t="str">
        <f t="shared" si="7"/>
        <v>SÍ — 0 m vs 12 m</v>
      </c>
      <c r="AE164" s="62" t="str">
        <f t="array" ref="AE164">IF(X164="","",IF(AND(E164=0,AVERAGE(INDEX(Ventas!$C$2:$I$5000,MATCH($A164,Ventas!$A$2:$A$5000,0),0))&gt;0,INDEX(Ventas!$J$2:$J$5000,MATCH($A164,Ventas!$A$2:$A$5000,0))&lt;0.5*AVERAGE(INDEX(Ventas!$C$2:$I$5000,MATCH($A164,Ventas!$A$2:$A$5000,0),0))),"SÍ — stock 0 y Sep cayó (prom Feb-Ago "&amp;TEXT(AVERAGE(INDEX(Ventas!$C$2:$I$5000,MATCH($A164,Ventas!$A$2:$A$5000,0),0)),"#,##0")&amp;")",""))</f>
        <v/>
      </c>
      <c r="AF164" s="60">
        <f t="array" ref="AF164">IF(X164="","",IF(AE164&lt;&gt;"",MAX(X164,AVERAGE(INDEX(Ventas!$C$2:$I$5000,MATCH($A164,Ventas!$A$2:$A$5000,0),0))),X164))</f>
        <v>22.75</v>
      </c>
      <c r="AG164" s="60">
        <f t="shared" si="8"/>
        <v>91</v>
      </c>
      <c r="AH164" s="63" t="str">
        <f t="shared" si="9"/>
        <v>COMPRAR</v>
      </c>
    </row>
    <row r="165" ht="13.5" customHeight="1">
      <c r="A165" s="64" t="s">
        <v>2741</v>
      </c>
      <c r="B165" s="65" t="s">
        <v>183</v>
      </c>
      <c r="C165" s="65" t="s">
        <v>3701</v>
      </c>
      <c r="D165" s="65" t="s">
        <v>2572</v>
      </c>
      <c r="E165" s="51">
        <v>0.0</v>
      </c>
      <c r="F165" s="66"/>
      <c r="G165" s="53"/>
      <c r="H165" s="55"/>
      <c r="I165" s="55"/>
      <c r="J165" s="53"/>
      <c r="K165" s="53"/>
      <c r="L165" s="55"/>
      <c r="M165" s="53"/>
      <c r="N165" s="73"/>
      <c r="O165" s="57" t="str">
        <f t="shared" si="1"/>
        <v>SIN VENTAS Jun-Sep — no comprar</v>
      </c>
      <c r="P165" s="58">
        <f t="shared" si="2"/>
        <v>0</v>
      </c>
      <c r="Q165" s="1"/>
      <c r="R165" s="1"/>
      <c r="S165" s="1"/>
      <c r="T165" s="1"/>
      <c r="U165" s="1"/>
      <c r="V165" s="1"/>
      <c r="W165" s="1"/>
      <c r="X165" s="60">
        <f>IFERROR(VLOOKUP($A165,Ventas!$A$2:$L$5000,12,FALSE()),"")</f>
        <v>0</v>
      </c>
      <c r="Y165" s="60">
        <f t="shared" si="3"/>
        <v>0</v>
      </c>
      <c r="Z165" s="61" t="str">
        <f t="shared" si="4"/>
        <v/>
      </c>
      <c r="AA165" s="60">
        <f t="shared" si="5"/>
        <v>0</v>
      </c>
      <c r="AB165" s="62" t="str">
        <f t="shared" si="6"/>
        <v/>
      </c>
      <c r="AC165" s="62" t="str">
        <f t="array" ref="AC165">IF(AH165&lt;&gt;"COMPRAR","",IF(MAX(INDEX(Ventas!$G$2:$G$5000,MATCH($A165,Ventas!$A$2:$A$5000,0)),INDEX(Ventas!$H$2:$H$5000,MATCH($A165,Ventas!$A$2:$A$5000,0)),INDEX(Ventas!$I$2:$I$5000,MATCH($A165,Ventas!$A$2:$A$5000,0)),INDEX(Ventas!$J$2:$J$5000,MATCH($A165,Ventas!$A$2:$A$5000,0)))&gt;0.5*AF165*4,"1 mes = "&amp;TEXT(MAX(INDEX(Ventas!$G$2:$G$5000,MATCH($A165,Ventas!$A$2:$A$5000,0)),INDEX(Ventas!$H$2:$H$5000,MATCH($A165,Ventas!$A$2:$A$5000,0)),INDEX(Ventas!$I$2:$I$5000,MATCH($A165,Ventas!$A$2:$A$5000,0)),INDEX(Ventas!$J$2:$J$5000,MATCH($A165,Ventas!$A$2:$A$5000,0)))/(AF165*4),"0%")&amp;" de 4 meses",""))</f>
        <v/>
      </c>
      <c r="AD165" s="62" t="str">
        <f t="shared" si="7"/>
        <v/>
      </c>
      <c r="AE165" s="62" t="str">
        <f t="array" ref="AE165">IF(X165="","",IF(AND(E165=0,AVERAGE(INDEX(Ventas!$C$2:$I$5000,MATCH($A165,Ventas!$A$2:$A$5000,0),0))&gt;0,INDEX(Ventas!$J$2:$J$5000,MATCH($A165,Ventas!$A$2:$A$5000,0))&lt;0.5*AVERAGE(INDEX(Ventas!$C$2:$I$5000,MATCH($A165,Ventas!$A$2:$A$5000,0),0))),"SÍ — stock 0 y Sep cayó (prom Feb-Ago "&amp;TEXT(AVERAGE(INDEX(Ventas!$C$2:$I$5000,MATCH($A165,Ventas!$A$2:$A$5000,0),0)),"#,##0")&amp;")",""))</f>
        <v>SÍ — stock 0 y Sep cayó (prom Feb-Ago 30)</v>
      </c>
      <c r="AF165" s="60">
        <f t="array" ref="AF165">IF(X165="","",IF(AE165&lt;&gt;"",MAX(X165,AVERAGE(INDEX(Ventas!$C$2:$I$5000,MATCH($A165,Ventas!$A$2:$A$5000,0),0))),X165))</f>
        <v>29.57142857</v>
      </c>
      <c r="AG165" s="60">
        <f t="shared" si="8"/>
        <v>118</v>
      </c>
      <c r="AH165" s="63" t="str">
        <f t="shared" si="9"/>
        <v>COMPRAR</v>
      </c>
    </row>
    <row r="166" ht="13.5" customHeight="1">
      <c r="A166" s="49" t="s">
        <v>2749</v>
      </c>
      <c r="B166" s="50" t="s">
        <v>183</v>
      </c>
      <c r="C166" s="50" t="s">
        <v>3701</v>
      </c>
      <c r="D166" s="50" t="s">
        <v>3650</v>
      </c>
      <c r="E166" s="51">
        <v>0.0</v>
      </c>
      <c r="F166" s="52"/>
      <c r="G166" s="53"/>
      <c r="H166" s="55"/>
      <c r="I166" s="55"/>
      <c r="J166" s="53"/>
      <c r="K166" s="53"/>
      <c r="L166" s="55"/>
      <c r="M166" s="53"/>
      <c r="N166" s="74"/>
      <c r="O166" s="57" t="str">
        <f t="shared" si="1"/>
        <v>SIN VENTAS Jun-Sep — no comprar</v>
      </c>
      <c r="P166" s="58">
        <f t="shared" si="2"/>
        <v>0</v>
      </c>
      <c r="Q166" s="1"/>
      <c r="R166" s="1"/>
      <c r="S166" s="1"/>
      <c r="T166" s="1"/>
      <c r="U166" s="1"/>
      <c r="V166" s="1"/>
      <c r="W166" s="1"/>
      <c r="X166" s="60">
        <f>IFERROR(VLOOKUP($A166,Ventas!$A$2:$L$5000,12,FALSE()),"")</f>
        <v>0</v>
      </c>
      <c r="Y166" s="60">
        <f t="shared" si="3"/>
        <v>0</v>
      </c>
      <c r="Z166" s="61" t="str">
        <f t="shared" si="4"/>
        <v/>
      </c>
      <c r="AA166" s="60">
        <f t="shared" si="5"/>
        <v>0</v>
      </c>
      <c r="AB166" s="62" t="str">
        <f t="shared" si="6"/>
        <v/>
      </c>
      <c r="AC166" s="62" t="str">
        <f t="array" ref="AC166">IF(AH166&lt;&gt;"COMPRAR","",IF(MAX(INDEX(Ventas!$G$2:$G$5000,MATCH($A166,Ventas!$A$2:$A$5000,0)),INDEX(Ventas!$H$2:$H$5000,MATCH($A166,Ventas!$A$2:$A$5000,0)),INDEX(Ventas!$I$2:$I$5000,MATCH($A166,Ventas!$A$2:$A$5000,0)),INDEX(Ventas!$J$2:$J$5000,MATCH($A166,Ventas!$A$2:$A$5000,0)))&gt;0.5*AF166*4,"1 mes = "&amp;TEXT(MAX(INDEX(Ventas!$G$2:$G$5000,MATCH($A166,Ventas!$A$2:$A$5000,0)),INDEX(Ventas!$H$2:$H$5000,MATCH($A166,Ventas!$A$2:$A$5000,0)),INDEX(Ventas!$I$2:$I$5000,MATCH($A166,Ventas!$A$2:$A$5000,0)),INDEX(Ventas!$J$2:$J$5000,MATCH($A166,Ventas!$A$2:$A$5000,0)))/(AF166*4),"0%")&amp;" de 4 meses",""))</f>
        <v/>
      </c>
      <c r="AD166" s="62" t="str">
        <f t="shared" si="7"/>
        <v/>
      </c>
      <c r="AE166" s="62" t="str">
        <f t="array" ref="AE166">IF(X166="","",IF(AND(E166=0,AVERAGE(INDEX(Ventas!$C$2:$I$5000,MATCH($A166,Ventas!$A$2:$A$5000,0),0))&gt;0,INDEX(Ventas!$J$2:$J$5000,MATCH($A166,Ventas!$A$2:$A$5000,0))&lt;0.5*AVERAGE(INDEX(Ventas!$C$2:$I$5000,MATCH($A166,Ventas!$A$2:$A$5000,0),0))),"SÍ — stock 0 y Sep cayó (prom Feb-Ago "&amp;TEXT(AVERAGE(INDEX(Ventas!$C$2:$I$5000,MATCH($A166,Ventas!$A$2:$A$5000,0),0)),"#,##0")&amp;")",""))</f>
        <v/>
      </c>
      <c r="AF166" s="60">
        <f t="array" ref="AF166">IF(X166="","",IF(AE166&lt;&gt;"",MAX(X166,AVERAGE(INDEX(Ventas!$C$2:$I$5000,MATCH($A166,Ventas!$A$2:$A$5000,0),0))),X166))</f>
        <v>0</v>
      </c>
      <c r="AG166" s="60">
        <f t="shared" si="8"/>
        <v>0</v>
      </c>
      <c r="AH166" s="63" t="str">
        <f t="shared" si="9"/>
        <v>SIN VENTAS</v>
      </c>
    </row>
    <row r="167" ht="13.5" customHeight="1">
      <c r="A167" s="64" t="s">
        <v>2737</v>
      </c>
      <c r="B167" s="65" t="s">
        <v>183</v>
      </c>
      <c r="C167" s="65" t="s">
        <v>3701</v>
      </c>
      <c r="D167" s="65" t="s">
        <v>3705</v>
      </c>
      <c r="E167" s="51">
        <v>50.0</v>
      </c>
      <c r="F167" s="66"/>
      <c r="G167" s="53"/>
      <c r="H167" s="55"/>
      <c r="I167" s="55"/>
      <c r="J167" s="53"/>
      <c r="K167" s="53"/>
      <c r="L167" s="55"/>
      <c r="M167" s="53"/>
      <c r="N167" s="73"/>
      <c r="O167" s="57" t="str">
        <f t="shared" si="1"/>
        <v>COMPRAR — faltan 25 m para 4 meses</v>
      </c>
      <c r="P167" s="58">
        <f t="shared" si="2"/>
        <v>50</v>
      </c>
      <c r="Q167" s="1"/>
      <c r="R167" s="1"/>
      <c r="S167" s="1"/>
      <c r="T167" s="1"/>
      <c r="U167" s="1"/>
      <c r="V167" s="1"/>
      <c r="W167" s="1"/>
      <c r="X167" s="60">
        <f>IFERROR(VLOOKUP($A167,Ventas!$A$2:$L$5000,12,FALSE()),"")</f>
        <v>18.75</v>
      </c>
      <c r="Y167" s="60">
        <f t="shared" si="3"/>
        <v>75</v>
      </c>
      <c r="Z167" s="61">
        <f t="shared" si="4"/>
        <v>2.7</v>
      </c>
      <c r="AA167" s="60">
        <f t="shared" si="5"/>
        <v>25</v>
      </c>
      <c r="AB167" s="62" t="str">
        <f t="shared" si="6"/>
        <v/>
      </c>
      <c r="AC167" s="62" t="str">
        <f t="array" ref="AC167">IF(AH167&lt;&gt;"COMPRAR","",IF(MAX(INDEX(Ventas!$G$2:$G$5000,MATCH($A167,Ventas!$A$2:$A$5000,0)),INDEX(Ventas!$H$2:$H$5000,MATCH($A167,Ventas!$A$2:$A$5000,0)),INDEX(Ventas!$I$2:$I$5000,MATCH($A167,Ventas!$A$2:$A$5000,0)),INDEX(Ventas!$J$2:$J$5000,MATCH($A167,Ventas!$A$2:$A$5000,0)))&gt;0.5*AF167*4,"1 mes = "&amp;TEXT(MAX(INDEX(Ventas!$G$2:$G$5000,MATCH($A167,Ventas!$A$2:$A$5000,0)),INDEX(Ventas!$H$2:$H$5000,MATCH($A167,Ventas!$A$2:$A$5000,0)),INDEX(Ventas!$I$2:$I$5000,MATCH($A167,Ventas!$A$2:$A$5000,0)),INDEX(Ventas!$J$2:$J$5000,MATCH($A167,Ventas!$A$2:$A$5000,0)))/(AF167*4),"0%")&amp;" de 4 meses",""))</f>
        <v>1 mes = 100% de 4 meses</v>
      </c>
      <c r="AD167" s="62" t="str">
        <f t="shared" si="7"/>
        <v/>
      </c>
      <c r="AE167" s="62" t="str">
        <f t="array" ref="AE167">IF(X167="","",IF(AND(E167=0,AVERAGE(INDEX(Ventas!$C$2:$I$5000,MATCH($A167,Ventas!$A$2:$A$5000,0),0))&gt;0,INDEX(Ventas!$J$2:$J$5000,MATCH($A167,Ventas!$A$2:$A$5000,0))&lt;0.5*AVERAGE(INDEX(Ventas!$C$2:$I$5000,MATCH($A167,Ventas!$A$2:$A$5000,0),0))),"SÍ — stock 0 y Sep cayó (prom Feb-Ago "&amp;TEXT(AVERAGE(INDEX(Ventas!$C$2:$I$5000,MATCH($A167,Ventas!$A$2:$A$5000,0),0)),"#,##0")&amp;")",""))</f>
        <v/>
      </c>
      <c r="AF167" s="60">
        <f t="array" ref="AF167">IF(X167="","",IF(AE167&lt;&gt;"",MAX(X167,AVERAGE(INDEX(Ventas!$C$2:$I$5000,MATCH($A167,Ventas!$A$2:$A$5000,0),0))),X167))</f>
        <v>18.75</v>
      </c>
      <c r="AG167" s="60">
        <f t="shared" si="8"/>
        <v>25</v>
      </c>
      <c r="AH167" s="63" t="str">
        <f t="shared" si="9"/>
        <v>COMPRAR</v>
      </c>
    </row>
    <row r="168" ht="13.5" customHeight="1">
      <c r="A168" s="49" t="s">
        <v>2727</v>
      </c>
      <c r="B168" s="50" t="s">
        <v>183</v>
      </c>
      <c r="C168" s="50" t="s">
        <v>3701</v>
      </c>
      <c r="D168" s="50" t="s">
        <v>948</v>
      </c>
      <c r="E168" s="51">
        <v>839.0</v>
      </c>
      <c r="F168" s="52"/>
      <c r="G168" s="53"/>
      <c r="H168" s="55"/>
      <c r="I168" s="55"/>
      <c r="J168" s="53"/>
      <c r="K168" s="53"/>
      <c r="L168" s="55"/>
      <c r="M168" s="53"/>
      <c r="N168" s="74"/>
      <c r="O168" s="57" t="str">
        <f t="shared" si="1"/>
        <v>SOBRESTOCK — 67.1 meses de cobertura</v>
      </c>
      <c r="P168" s="58">
        <f t="shared" si="2"/>
        <v>839</v>
      </c>
      <c r="Q168" s="1"/>
      <c r="R168" s="1"/>
      <c r="S168" s="1"/>
      <c r="T168" s="1"/>
      <c r="U168" s="1"/>
      <c r="V168" s="1"/>
      <c r="W168" s="1"/>
      <c r="X168" s="60">
        <f>IFERROR(VLOOKUP($A168,Ventas!$A$2:$L$5000,12,FALSE()),"")</f>
        <v>12.5</v>
      </c>
      <c r="Y168" s="60">
        <f t="shared" si="3"/>
        <v>50</v>
      </c>
      <c r="Z168" s="61">
        <f t="shared" si="4"/>
        <v>67.1</v>
      </c>
      <c r="AA168" s="60">
        <f t="shared" si="5"/>
        <v>-789</v>
      </c>
      <c r="AB168" s="62" t="str">
        <f t="shared" si="6"/>
        <v/>
      </c>
      <c r="AC168" s="62" t="str">
        <f t="array" ref="AC168">IF(AH168&lt;&gt;"COMPRAR","",IF(MAX(INDEX(Ventas!$G$2:$G$5000,MATCH($A168,Ventas!$A$2:$A$5000,0)),INDEX(Ventas!$H$2:$H$5000,MATCH($A168,Ventas!$A$2:$A$5000,0)),INDEX(Ventas!$I$2:$I$5000,MATCH($A168,Ventas!$A$2:$A$5000,0)),INDEX(Ventas!$J$2:$J$5000,MATCH($A168,Ventas!$A$2:$A$5000,0)))&gt;0.5*AF168*4,"1 mes = "&amp;TEXT(MAX(INDEX(Ventas!$G$2:$G$5000,MATCH($A168,Ventas!$A$2:$A$5000,0)),INDEX(Ventas!$H$2:$H$5000,MATCH($A168,Ventas!$A$2:$A$5000,0)),INDEX(Ventas!$I$2:$I$5000,MATCH($A168,Ventas!$A$2:$A$5000,0)),INDEX(Ventas!$J$2:$J$5000,MATCH($A168,Ventas!$A$2:$A$5000,0)))/(AF168*4),"0%")&amp;" de 4 meses",""))</f>
        <v/>
      </c>
      <c r="AD168" s="62" t="str">
        <f t="shared" si="7"/>
        <v/>
      </c>
      <c r="AE168" s="62" t="str">
        <f t="array" ref="AE168">IF(X168="","",IF(AND(E168=0,AVERAGE(INDEX(Ventas!$C$2:$I$5000,MATCH($A168,Ventas!$A$2:$A$5000,0),0))&gt;0,INDEX(Ventas!$J$2:$J$5000,MATCH($A168,Ventas!$A$2:$A$5000,0))&lt;0.5*AVERAGE(INDEX(Ventas!$C$2:$I$5000,MATCH($A168,Ventas!$A$2:$A$5000,0),0))),"SÍ — stock 0 y Sep cayó (prom Feb-Ago "&amp;TEXT(AVERAGE(INDEX(Ventas!$C$2:$I$5000,MATCH($A168,Ventas!$A$2:$A$5000,0),0)),"#,##0")&amp;")",""))</f>
        <v/>
      </c>
      <c r="AF168" s="60">
        <f t="array" ref="AF168">IF(X168="","",IF(AE168&lt;&gt;"",MAX(X168,AVERAGE(INDEX(Ventas!$C$2:$I$5000,MATCH($A168,Ventas!$A$2:$A$5000,0),0))),X168))</f>
        <v>12.5</v>
      </c>
      <c r="AG168" s="60">
        <f t="shared" si="8"/>
        <v>-789</v>
      </c>
      <c r="AH168" s="63" t="str">
        <f t="shared" si="9"/>
        <v>SOBRESTOCK</v>
      </c>
    </row>
    <row r="169" ht="13.5" customHeight="1">
      <c r="A169" s="64" t="s">
        <v>2715</v>
      </c>
      <c r="B169" s="65" t="s">
        <v>183</v>
      </c>
      <c r="C169" s="65" t="s">
        <v>3701</v>
      </c>
      <c r="D169" s="65" t="s">
        <v>2949</v>
      </c>
      <c r="E169" s="51">
        <v>0.0</v>
      </c>
      <c r="F169" s="66"/>
      <c r="G169" s="53"/>
      <c r="H169" s="55"/>
      <c r="I169" s="55"/>
      <c r="J169" s="53"/>
      <c r="K169" s="53"/>
      <c r="L169" s="55"/>
      <c r="M169" s="53"/>
      <c r="N169" s="73"/>
      <c r="O169" s="57" t="str">
        <f t="shared" si="1"/>
        <v>SIN VENTAS Jun-Sep — no comprar</v>
      </c>
      <c r="P169" s="58">
        <f t="shared" si="2"/>
        <v>0</v>
      </c>
      <c r="Q169" s="1"/>
      <c r="R169" s="1"/>
      <c r="S169" s="1"/>
      <c r="T169" s="1"/>
      <c r="U169" s="1"/>
      <c r="V169" s="1"/>
      <c r="W169" s="1"/>
      <c r="X169" s="60">
        <f>IFERROR(VLOOKUP($A169,Ventas!$A$2:$L$5000,12,FALSE()),"")</f>
        <v>0</v>
      </c>
      <c r="Y169" s="60">
        <f t="shared" si="3"/>
        <v>0</v>
      </c>
      <c r="Z169" s="61" t="str">
        <f t="shared" si="4"/>
        <v/>
      </c>
      <c r="AA169" s="60">
        <f t="shared" si="5"/>
        <v>0</v>
      </c>
      <c r="AB169" s="62" t="str">
        <f t="shared" si="6"/>
        <v/>
      </c>
      <c r="AC169" s="62" t="str">
        <f t="array" ref="AC169">IF(AH169&lt;&gt;"COMPRAR","",IF(MAX(INDEX(Ventas!$G$2:$G$5000,MATCH($A169,Ventas!$A$2:$A$5000,0)),INDEX(Ventas!$H$2:$H$5000,MATCH($A169,Ventas!$A$2:$A$5000,0)),INDEX(Ventas!$I$2:$I$5000,MATCH($A169,Ventas!$A$2:$A$5000,0)),INDEX(Ventas!$J$2:$J$5000,MATCH($A169,Ventas!$A$2:$A$5000,0)))&gt;0.5*AF169*4,"1 mes = "&amp;TEXT(MAX(INDEX(Ventas!$G$2:$G$5000,MATCH($A169,Ventas!$A$2:$A$5000,0)),INDEX(Ventas!$H$2:$H$5000,MATCH($A169,Ventas!$A$2:$A$5000,0)),INDEX(Ventas!$I$2:$I$5000,MATCH($A169,Ventas!$A$2:$A$5000,0)),INDEX(Ventas!$J$2:$J$5000,MATCH($A169,Ventas!$A$2:$A$5000,0)))/(AF169*4),"0%")&amp;" de 4 meses",""))</f>
        <v/>
      </c>
      <c r="AD169" s="62" t="str">
        <f t="shared" si="7"/>
        <v/>
      </c>
      <c r="AE169" s="62" t="str">
        <f t="array" ref="AE169">IF(X169="","",IF(AND(E169=0,AVERAGE(INDEX(Ventas!$C$2:$I$5000,MATCH($A169,Ventas!$A$2:$A$5000,0),0))&gt;0,INDEX(Ventas!$J$2:$J$5000,MATCH($A169,Ventas!$A$2:$A$5000,0))&lt;0.5*AVERAGE(INDEX(Ventas!$C$2:$I$5000,MATCH($A169,Ventas!$A$2:$A$5000,0),0))),"SÍ — stock 0 y Sep cayó (prom Feb-Ago "&amp;TEXT(AVERAGE(INDEX(Ventas!$C$2:$I$5000,MATCH($A169,Ventas!$A$2:$A$5000,0),0)),"#,##0")&amp;")",""))</f>
        <v/>
      </c>
      <c r="AF169" s="60">
        <f t="array" ref="AF169">IF(X169="","",IF(AE169&lt;&gt;"",MAX(X169,AVERAGE(INDEX(Ventas!$C$2:$I$5000,MATCH($A169,Ventas!$A$2:$A$5000,0),0))),X169))</f>
        <v>0</v>
      </c>
      <c r="AG169" s="60">
        <f t="shared" si="8"/>
        <v>0</v>
      </c>
      <c r="AH169" s="63" t="str">
        <f t="shared" si="9"/>
        <v>SIN VENTAS</v>
      </c>
    </row>
    <row r="170" ht="13.5" customHeight="1">
      <c r="A170" s="49" t="s">
        <v>2733</v>
      </c>
      <c r="B170" s="50" t="s">
        <v>183</v>
      </c>
      <c r="C170" s="50" t="s">
        <v>3701</v>
      </c>
      <c r="D170" s="50" t="s">
        <v>3706</v>
      </c>
      <c r="E170" s="51">
        <v>224.0</v>
      </c>
      <c r="F170" s="52"/>
      <c r="G170" s="53"/>
      <c r="H170" s="55"/>
      <c r="I170" s="55"/>
      <c r="J170" s="53"/>
      <c r="K170" s="53"/>
      <c r="L170" s="55"/>
      <c r="M170" s="53"/>
      <c r="N170" s="74"/>
      <c r="O170" s="57" t="str">
        <f t="shared" si="1"/>
        <v>SOBRESTOCK — 9.0 meses de cobertura</v>
      </c>
      <c r="P170" s="58">
        <f t="shared" si="2"/>
        <v>224</v>
      </c>
      <c r="Q170" s="1"/>
      <c r="R170" s="1"/>
      <c r="S170" s="1"/>
      <c r="T170" s="1"/>
      <c r="U170" s="1"/>
      <c r="V170" s="1"/>
      <c r="W170" s="1"/>
      <c r="X170" s="60">
        <f>IFERROR(VLOOKUP($A170,Ventas!$A$2:$L$5000,12,FALSE()),"")</f>
        <v>25</v>
      </c>
      <c r="Y170" s="60">
        <f t="shared" si="3"/>
        <v>100</v>
      </c>
      <c r="Z170" s="61">
        <f t="shared" si="4"/>
        <v>9</v>
      </c>
      <c r="AA170" s="60">
        <f t="shared" si="5"/>
        <v>-124</v>
      </c>
      <c r="AB170" s="62" t="str">
        <f t="shared" si="6"/>
        <v/>
      </c>
      <c r="AC170" s="62" t="str">
        <f t="array" ref="AC170">IF(AH170&lt;&gt;"COMPRAR","",IF(MAX(INDEX(Ventas!$G$2:$G$5000,MATCH($A170,Ventas!$A$2:$A$5000,0)),INDEX(Ventas!$H$2:$H$5000,MATCH($A170,Ventas!$A$2:$A$5000,0)),INDEX(Ventas!$I$2:$I$5000,MATCH($A170,Ventas!$A$2:$A$5000,0)),INDEX(Ventas!$J$2:$J$5000,MATCH($A170,Ventas!$A$2:$A$5000,0)))&gt;0.5*AF170*4,"1 mes = "&amp;TEXT(MAX(INDEX(Ventas!$G$2:$G$5000,MATCH($A170,Ventas!$A$2:$A$5000,0)),INDEX(Ventas!$H$2:$H$5000,MATCH($A170,Ventas!$A$2:$A$5000,0)),INDEX(Ventas!$I$2:$I$5000,MATCH($A170,Ventas!$A$2:$A$5000,0)),INDEX(Ventas!$J$2:$J$5000,MATCH($A170,Ventas!$A$2:$A$5000,0)))/(AF170*4),"0%")&amp;" de 4 meses",""))</f>
        <v/>
      </c>
      <c r="AD170" s="62" t="str">
        <f t="shared" si="7"/>
        <v/>
      </c>
      <c r="AE170" s="62" t="str">
        <f t="array" ref="AE170">IF(X170="","",IF(AND(E170=0,AVERAGE(INDEX(Ventas!$C$2:$I$5000,MATCH($A170,Ventas!$A$2:$A$5000,0),0))&gt;0,INDEX(Ventas!$J$2:$J$5000,MATCH($A170,Ventas!$A$2:$A$5000,0))&lt;0.5*AVERAGE(INDEX(Ventas!$C$2:$I$5000,MATCH($A170,Ventas!$A$2:$A$5000,0),0))),"SÍ — stock 0 y Sep cayó (prom Feb-Ago "&amp;TEXT(AVERAGE(INDEX(Ventas!$C$2:$I$5000,MATCH($A170,Ventas!$A$2:$A$5000,0),0)),"#,##0")&amp;")",""))</f>
        <v/>
      </c>
      <c r="AF170" s="60">
        <f t="array" ref="AF170">IF(X170="","",IF(AE170&lt;&gt;"",MAX(X170,AVERAGE(INDEX(Ventas!$C$2:$I$5000,MATCH($A170,Ventas!$A$2:$A$5000,0),0))),X170))</f>
        <v>25</v>
      </c>
      <c r="AG170" s="60">
        <f t="shared" si="8"/>
        <v>-124</v>
      </c>
      <c r="AH170" s="63" t="str">
        <f t="shared" si="9"/>
        <v>SOBRESTOCK</v>
      </c>
    </row>
    <row r="171" ht="13.5" customHeight="1">
      <c r="A171" s="64" t="s">
        <v>2729</v>
      </c>
      <c r="B171" s="65" t="s">
        <v>183</v>
      </c>
      <c r="C171" s="65" t="s">
        <v>3701</v>
      </c>
      <c r="D171" s="65" t="s">
        <v>3014</v>
      </c>
      <c r="E171" s="51">
        <v>0.0</v>
      </c>
      <c r="F171" s="66"/>
      <c r="G171" s="53"/>
      <c r="H171" s="55"/>
      <c r="I171" s="55"/>
      <c r="J171" s="53"/>
      <c r="K171" s="53"/>
      <c r="L171" s="55"/>
      <c r="M171" s="53"/>
      <c r="N171" s="73"/>
      <c r="O171" s="57" t="str">
        <f t="shared" si="1"/>
        <v>SIN VENTAS Jun-Sep — no comprar</v>
      </c>
      <c r="P171" s="58">
        <f t="shared" si="2"/>
        <v>0</v>
      </c>
      <c r="Q171" s="1"/>
      <c r="R171" s="1"/>
      <c r="S171" s="1"/>
      <c r="T171" s="1"/>
      <c r="U171" s="1"/>
      <c r="V171" s="1"/>
      <c r="W171" s="1"/>
      <c r="X171" s="60">
        <f>IFERROR(VLOOKUP($A171,Ventas!$A$2:$L$5000,12,FALSE()),"")</f>
        <v>0</v>
      </c>
      <c r="Y171" s="60">
        <f t="shared" si="3"/>
        <v>0</v>
      </c>
      <c r="Z171" s="61" t="str">
        <f t="shared" si="4"/>
        <v/>
      </c>
      <c r="AA171" s="60">
        <f t="shared" si="5"/>
        <v>0</v>
      </c>
      <c r="AB171" s="62" t="str">
        <f t="shared" si="6"/>
        <v/>
      </c>
      <c r="AC171" s="62" t="str">
        <f t="array" ref="AC171">IF(AH171&lt;&gt;"COMPRAR","",IF(MAX(INDEX(Ventas!$G$2:$G$5000,MATCH($A171,Ventas!$A$2:$A$5000,0)),INDEX(Ventas!$H$2:$H$5000,MATCH($A171,Ventas!$A$2:$A$5000,0)),INDEX(Ventas!$I$2:$I$5000,MATCH($A171,Ventas!$A$2:$A$5000,0)),INDEX(Ventas!$J$2:$J$5000,MATCH($A171,Ventas!$A$2:$A$5000,0)))&gt;0.5*AF171*4,"1 mes = "&amp;TEXT(MAX(INDEX(Ventas!$G$2:$G$5000,MATCH($A171,Ventas!$A$2:$A$5000,0)),INDEX(Ventas!$H$2:$H$5000,MATCH($A171,Ventas!$A$2:$A$5000,0)),INDEX(Ventas!$I$2:$I$5000,MATCH($A171,Ventas!$A$2:$A$5000,0)),INDEX(Ventas!$J$2:$J$5000,MATCH($A171,Ventas!$A$2:$A$5000,0)))/(AF171*4),"0%")&amp;" de 4 meses",""))</f>
        <v/>
      </c>
      <c r="AD171" s="62" t="str">
        <f t="shared" si="7"/>
        <v/>
      </c>
      <c r="AE171" s="62" t="str">
        <f t="array" ref="AE171">IF(X171="","",IF(AND(E171=0,AVERAGE(INDEX(Ventas!$C$2:$I$5000,MATCH($A171,Ventas!$A$2:$A$5000,0),0))&gt;0,INDEX(Ventas!$J$2:$J$5000,MATCH($A171,Ventas!$A$2:$A$5000,0))&lt;0.5*AVERAGE(INDEX(Ventas!$C$2:$I$5000,MATCH($A171,Ventas!$A$2:$A$5000,0),0))),"SÍ — stock 0 y Sep cayó (prom Feb-Ago "&amp;TEXT(AVERAGE(INDEX(Ventas!$C$2:$I$5000,MATCH($A171,Ventas!$A$2:$A$5000,0),0)),"#,##0")&amp;")",""))</f>
        <v>SÍ — stock 0 y Sep cayó (prom Feb-Ago 9)</v>
      </c>
      <c r="AF171" s="60">
        <f t="array" ref="AF171">IF(X171="","",IF(AE171&lt;&gt;"",MAX(X171,AVERAGE(INDEX(Ventas!$C$2:$I$5000,MATCH($A171,Ventas!$A$2:$A$5000,0),0))),X171))</f>
        <v>9.142857143</v>
      </c>
      <c r="AG171" s="60">
        <f t="shared" si="8"/>
        <v>37</v>
      </c>
      <c r="AH171" s="63" t="str">
        <f t="shared" si="9"/>
        <v>COMPRAR</v>
      </c>
    </row>
    <row r="172" ht="13.5" customHeight="1">
      <c r="A172" s="49" t="s">
        <v>2725</v>
      </c>
      <c r="B172" s="50" t="s">
        <v>183</v>
      </c>
      <c r="C172" s="50" t="s">
        <v>3701</v>
      </c>
      <c r="D172" s="50" t="s">
        <v>1009</v>
      </c>
      <c r="E172" s="51">
        <v>0.0</v>
      </c>
      <c r="F172" s="52"/>
      <c r="G172" s="53"/>
      <c r="H172" s="55"/>
      <c r="I172" s="55"/>
      <c r="J172" s="53"/>
      <c r="K172" s="53"/>
      <c r="L172" s="55"/>
      <c r="M172" s="53"/>
      <c r="N172" s="74"/>
      <c r="O172" s="57" t="str">
        <f t="shared" si="1"/>
        <v>SIN VENTAS Jun-Sep — no comprar</v>
      </c>
      <c r="P172" s="58">
        <f t="shared" si="2"/>
        <v>0</v>
      </c>
      <c r="Q172" s="1"/>
      <c r="R172" s="1"/>
      <c r="S172" s="1"/>
      <c r="T172" s="1"/>
      <c r="U172" s="1"/>
      <c r="V172" s="1"/>
      <c r="W172" s="1"/>
      <c r="X172" s="60">
        <f>IFERROR(VLOOKUP($A172,Ventas!$A$2:$L$5000,12,FALSE()),"")</f>
        <v>0</v>
      </c>
      <c r="Y172" s="60">
        <f t="shared" si="3"/>
        <v>0</v>
      </c>
      <c r="Z172" s="61" t="str">
        <f t="shared" si="4"/>
        <v/>
      </c>
      <c r="AA172" s="60">
        <f t="shared" si="5"/>
        <v>0</v>
      </c>
      <c r="AB172" s="62" t="str">
        <f t="shared" si="6"/>
        <v/>
      </c>
      <c r="AC172" s="62" t="str">
        <f t="array" ref="AC172">IF(AH172&lt;&gt;"COMPRAR","",IF(MAX(INDEX(Ventas!$G$2:$G$5000,MATCH($A172,Ventas!$A$2:$A$5000,0)),INDEX(Ventas!$H$2:$H$5000,MATCH($A172,Ventas!$A$2:$A$5000,0)),INDEX(Ventas!$I$2:$I$5000,MATCH($A172,Ventas!$A$2:$A$5000,0)),INDEX(Ventas!$J$2:$J$5000,MATCH($A172,Ventas!$A$2:$A$5000,0)))&gt;0.5*AF172*4,"1 mes = "&amp;TEXT(MAX(INDEX(Ventas!$G$2:$G$5000,MATCH($A172,Ventas!$A$2:$A$5000,0)),INDEX(Ventas!$H$2:$H$5000,MATCH($A172,Ventas!$A$2:$A$5000,0)),INDEX(Ventas!$I$2:$I$5000,MATCH($A172,Ventas!$A$2:$A$5000,0)),INDEX(Ventas!$J$2:$J$5000,MATCH($A172,Ventas!$A$2:$A$5000,0)))/(AF172*4),"0%")&amp;" de 4 meses",""))</f>
        <v/>
      </c>
      <c r="AD172" s="62" t="str">
        <f t="shared" si="7"/>
        <v/>
      </c>
      <c r="AE172" s="62" t="str">
        <f t="array" ref="AE172">IF(X172="","",IF(AND(E172=0,AVERAGE(INDEX(Ventas!$C$2:$I$5000,MATCH($A172,Ventas!$A$2:$A$5000,0),0))&gt;0,INDEX(Ventas!$J$2:$J$5000,MATCH($A172,Ventas!$A$2:$A$5000,0))&lt;0.5*AVERAGE(INDEX(Ventas!$C$2:$I$5000,MATCH($A172,Ventas!$A$2:$A$5000,0),0))),"SÍ — stock 0 y Sep cayó (prom Feb-Ago "&amp;TEXT(AVERAGE(INDEX(Ventas!$C$2:$I$5000,MATCH($A172,Ventas!$A$2:$A$5000,0),0)),"#,##0")&amp;")",""))</f>
        <v/>
      </c>
      <c r="AF172" s="60">
        <f t="array" ref="AF172">IF(X172="","",IF(AE172&lt;&gt;"",MAX(X172,AVERAGE(INDEX(Ventas!$C$2:$I$5000,MATCH($A172,Ventas!$A$2:$A$5000,0),0))),X172))</f>
        <v>0</v>
      </c>
      <c r="AG172" s="60">
        <f t="shared" si="8"/>
        <v>0</v>
      </c>
      <c r="AH172" s="63" t="str">
        <f t="shared" si="9"/>
        <v>SIN VENTAS</v>
      </c>
    </row>
    <row r="173" ht="13.5" customHeight="1">
      <c r="A173" s="64" t="s">
        <v>2761</v>
      </c>
      <c r="B173" s="65" t="s">
        <v>183</v>
      </c>
      <c r="C173" s="65" t="s">
        <v>3701</v>
      </c>
      <c r="D173" s="65" t="s">
        <v>524</v>
      </c>
      <c r="E173" s="51">
        <v>0.0</v>
      </c>
      <c r="F173" s="66"/>
      <c r="G173" s="53"/>
      <c r="H173" s="55"/>
      <c r="I173" s="55"/>
      <c r="J173" s="53"/>
      <c r="K173" s="53"/>
      <c r="L173" s="55"/>
      <c r="M173" s="53"/>
      <c r="N173" s="73"/>
      <c r="O173" s="57" t="str">
        <f t="shared" si="1"/>
        <v>SIN VENTAS Jun-Sep — no comprar</v>
      </c>
      <c r="P173" s="58">
        <f t="shared" si="2"/>
        <v>0</v>
      </c>
      <c r="Q173" s="1"/>
      <c r="R173" s="1"/>
      <c r="S173" s="1"/>
      <c r="T173" s="1"/>
      <c r="U173" s="1"/>
      <c r="V173" s="1"/>
      <c r="W173" s="1"/>
      <c r="X173" s="60">
        <f>IFERROR(VLOOKUP($A173,Ventas!$A$2:$L$5000,12,FALSE()),"")</f>
        <v>0</v>
      </c>
      <c r="Y173" s="60">
        <f t="shared" si="3"/>
        <v>0</v>
      </c>
      <c r="Z173" s="61" t="str">
        <f t="shared" si="4"/>
        <v/>
      </c>
      <c r="AA173" s="60">
        <f t="shared" si="5"/>
        <v>0</v>
      </c>
      <c r="AB173" s="62" t="str">
        <f t="shared" si="6"/>
        <v/>
      </c>
      <c r="AC173" s="62" t="str">
        <f t="array" ref="AC173">IF(AH173&lt;&gt;"COMPRAR","",IF(MAX(INDEX(Ventas!$G$2:$G$5000,MATCH($A173,Ventas!$A$2:$A$5000,0)),INDEX(Ventas!$H$2:$H$5000,MATCH($A173,Ventas!$A$2:$A$5000,0)),INDEX(Ventas!$I$2:$I$5000,MATCH($A173,Ventas!$A$2:$A$5000,0)),INDEX(Ventas!$J$2:$J$5000,MATCH($A173,Ventas!$A$2:$A$5000,0)))&gt;0.5*AF173*4,"1 mes = "&amp;TEXT(MAX(INDEX(Ventas!$G$2:$G$5000,MATCH($A173,Ventas!$A$2:$A$5000,0)),INDEX(Ventas!$H$2:$H$5000,MATCH($A173,Ventas!$A$2:$A$5000,0)),INDEX(Ventas!$I$2:$I$5000,MATCH($A173,Ventas!$A$2:$A$5000,0)),INDEX(Ventas!$J$2:$J$5000,MATCH($A173,Ventas!$A$2:$A$5000,0)))/(AF173*4),"0%")&amp;" de 4 meses",""))</f>
        <v/>
      </c>
      <c r="AD173" s="62" t="str">
        <f t="shared" si="7"/>
        <v/>
      </c>
      <c r="AE173" s="62" t="str">
        <f t="array" ref="AE173">IF(X173="","",IF(AND(E173=0,AVERAGE(INDEX(Ventas!$C$2:$I$5000,MATCH($A173,Ventas!$A$2:$A$5000,0),0))&gt;0,INDEX(Ventas!$J$2:$J$5000,MATCH($A173,Ventas!$A$2:$A$5000,0))&lt;0.5*AVERAGE(INDEX(Ventas!$C$2:$I$5000,MATCH($A173,Ventas!$A$2:$A$5000,0),0))),"SÍ — stock 0 y Sep cayó (prom Feb-Ago "&amp;TEXT(AVERAGE(INDEX(Ventas!$C$2:$I$5000,MATCH($A173,Ventas!$A$2:$A$5000,0),0)),"#,##0")&amp;")",""))</f>
        <v/>
      </c>
      <c r="AF173" s="60">
        <f t="array" ref="AF173">IF(X173="","",IF(AE173&lt;&gt;"",MAX(X173,AVERAGE(INDEX(Ventas!$C$2:$I$5000,MATCH($A173,Ventas!$A$2:$A$5000,0),0))),X173))</f>
        <v>0</v>
      </c>
      <c r="AG173" s="60">
        <f t="shared" si="8"/>
        <v>0</v>
      </c>
      <c r="AH173" s="63" t="str">
        <f t="shared" si="9"/>
        <v>SIN VENTAS</v>
      </c>
    </row>
    <row r="174" ht="13.5" customHeight="1">
      <c r="A174" s="49" t="s">
        <v>2719</v>
      </c>
      <c r="B174" s="50" t="s">
        <v>183</v>
      </c>
      <c r="C174" s="50" t="s">
        <v>3701</v>
      </c>
      <c r="D174" s="50" t="s">
        <v>590</v>
      </c>
      <c r="E174" s="51">
        <v>0.0</v>
      </c>
      <c r="F174" s="52"/>
      <c r="G174" s="53"/>
      <c r="H174" s="55"/>
      <c r="I174" s="55"/>
      <c r="J174" s="53"/>
      <c r="K174" s="53"/>
      <c r="L174" s="55"/>
      <c r="M174" s="53"/>
      <c r="N174" s="74"/>
      <c r="O174" s="57" t="str">
        <f t="shared" si="1"/>
        <v>SIN VENTAS Jun-Sep — no comprar</v>
      </c>
      <c r="P174" s="58">
        <f t="shared" si="2"/>
        <v>0</v>
      </c>
      <c r="Q174" s="1"/>
      <c r="R174" s="1"/>
      <c r="S174" s="1"/>
      <c r="T174" s="1"/>
      <c r="U174" s="1"/>
      <c r="V174" s="1"/>
      <c r="W174" s="1"/>
      <c r="X174" s="60">
        <f>IFERROR(VLOOKUP($A174,Ventas!$A$2:$L$5000,12,FALSE()),"")</f>
        <v>0</v>
      </c>
      <c r="Y174" s="60">
        <f t="shared" si="3"/>
        <v>0</v>
      </c>
      <c r="Z174" s="61" t="str">
        <f t="shared" si="4"/>
        <v/>
      </c>
      <c r="AA174" s="60">
        <f t="shared" si="5"/>
        <v>0</v>
      </c>
      <c r="AB174" s="62" t="str">
        <f t="shared" si="6"/>
        <v/>
      </c>
      <c r="AC174" s="62" t="str">
        <f t="array" ref="AC174">IF(AH174&lt;&gt;"COMPRAR","",IF(MAX(INDEX(Ventas!$G$2:$G$5000,MATCH($A174,Ventas!$A$2:$A$5000,0)),INDEX(Ventas!$H$2:$H$5000,MATCH($A174,Ventas!$A$2:$A$5000,0)),INDEX(Ventas!$I$2:$I$5000,MATCH($A174,Ventas!$A$2:$A$5000,0)),INDEX(Ventas!$J$2:$J$5000,MATCH($A174,Ventas!$A$2:$A$5000,0)))&gt;0.5*AF174*4,"1 mes = "&amp;TEXT(MAX(INDEX(Ventas!$G$2:$G$5000,MATCH($A174,Ventas!$A$2:$A$5000,0)),INDEX(Ventas!$H$2:$H$5000,MATCH($A174,Ventas!$A$2:$A$5000,0)),INDEX(Ventas!$I$2:$I$5000,MATCH($A174,Ventas!$A$2:$A$5000,0)),INDEX(Ventas!$J$2:$J$5000,MATCH($A174,Ventas!$A$2:$A$5000,0)))/(AF174*4),"0%")&amp;" de 4 meses",""))</f>
        <v/>
      </c>
      <c r="AD174" s="62" t="str">
        <f t="shared" si="7"/>
        <v/>
      </c>
      <c r="AE174" s="62" t="str">
        <f t="array" ref="AE174">IF(X174="","",IF(AND(E174=0,AVERAGE(INDEX(Ventas!$C$2:$I$5000,MATCH($A174,Ventas!$A$2:$A$5000,0),0))&gt;0,INDEX(Ventas!$J$2:$J$5000,MATCH($A174,Ventas!$A$2:$A$5000,0))&lt;0.5*AVERAGE(INDEX(Ventas!$C$2:$I$5000,MATCH($A174,Ventas!$A$2:$A$5000,0),0))),"SÍ — stock 0 y Sep cayó (prom Feb-Ago "&amp;TEXT(AVERAGE(INDEX(Ventas!$C$2:$I$5000,MATCH($A174,Ventas!$A$2:$A$5000,0),0)),"#,##0")&amp;")",""))</f>
        <v>SÍ — stock 0 y Sep cayó (prom Feb-Ago 11)</v>
      </c>
      <c r="AF174" s="60">
        <f t="array" ref="AF174">IF(X174="","",IF(AE174&lt;&gt;"",MAX(X174,AVERAGE(INDEX(Ventas!$C$2:$I$5000,MATCH($A174,Ventas!$A$2:$A$5000,0),0))),X174))</f>
        <v>11.14285714</v>
      </c>
      <c r="AG174" s="60">
        <f t="shared" si="8"/>
        <v>45</v>
      </c>
      <c r="AH174" s="63" t="str">
        <f t="shared" si="9"/>
        <v>COMPRAR</v>
      </c>
    </row>
    <row r="175" ht="13.5" customHeight="1">
      <c r="A175" s="64" t="s">
        <v>2751</v>
      </c>
      <c r="B175" s="65" t="s">
        <v>183</v>
      </c>
      <c r="C175" s="65" t="s">
        <v>3701</v>
      </c>
      <c r="D175" s="65" t="s">
        <v>3707</v>
      </c>
      <c r="E175" s="51">
        <v>0.0</v>
      </c>
      <c r="F175" s="66"/>
      <c r="G175" s="53"/>
      <c r="H175" s="55"/>
      <c r="I175" s="55"/>
      <c r="J175" s="53"/>
      <c r="K175" s="53"/>
      <c r="L175" s="55"/>
      <c r="M175" s="53"/>
      <c r="N175" s="73"/>
      <c r="O175" s="57" t="str">
        <f t="shared" si="1"/>
        <v>SIN VENTAS Jun-Sep — no comprar</v>
      </c>
      <c r="P175" s="58">
        <f t="shared" si="2"/>
        <v>0</v>
      </c>
      <c r="Q175" s="1"/>
      <c r="R175" s="1"/>
      <c r="S175" s="1"/>
      <c r="T175" s="1"/>
      <c r="U175" s="1"/>
      <c r="V175" s="1"/>
      <c r="W175" s="1"/>
      <c r="X175" s="60">
        <f>IFERROR(VLOOKUP($A175,Ventas!$A$2:$L$5000,12,FALSE()),"")</f>
        <v>0</v>
      </c>
      <c r="Y175" s="60">
        <f t="shared" si="3"/>
        <v>0</v>
      </c>
      <c r="Z175" s="61" t="str">
        <f t="shared" si="4"/>
        <v/>
      </c>
      <c r="AA175" s="60">
        <f t="shared" si="5"/>
        <v>0</v>
      </c>
      <c r="AB175" s="62" t="str">
        <f t="shared" si="6"/>
        <v/>
      </c>
      <c r="AC175" s="62" t="str">
        <f t="array" ref="AC175">IF(AH175&lt;&gt;"COMPRAR","",IF(MAX(INDEX(Ventas!$G$2:$G$5000,MATCH($A175,Ventas!$A$2:$A$5000,0)),INDEX(Ventas!$H$2:$H$5000,MATCH($A175,Ventas!$A$2:$A$5000,0)),INDEX(Ventas!$I$2:$I$5000,MATCH($A175,Ventas!$A$2:$A$5000,0)),INDEX(Ventas!$J$2:$J$5000,MATCH($A175,Ventas!$A$2:$A$5000,0)))&gt;0.5*AF175*4,"1 mes = "&amp;TEXT(MAX(INDEX(Ventas!$G$2:$G$5000,MATCH($A175,Ventas!$A$2:$A$5000,0)),INDEX(Ventas!$H$2:$H$5000,MATCH($A175,Ventas!$A$2:$A$5000,0)),INDEX(Ventas!$I$2:$I$5000,MATCH($A175,Ventas!$A$2:$A$5000,0)),INDEX(Ventas!$J$2:$J$5000,MATCH($A175,Ventas!$A$2:$A$5000,0)))/(AF175*4),"0%")&amp;" de 4 meses",""))</f>
        <v/>
      </c>
      <c r="AD175" s="62" t="str">
        <f t="shared" si="7"/>
        <v/>
      </c>
      <c r="AE175" s="62" t="str">
        <f t="array" ref="AE175">IF(X175="","",IF(AND(E175=0,AVERAGE(INDEX(Ventas!$C$2:$I$5000,MATCH($A175,Ventas!$A$2:$A$5000,0),0))&gt;0,INDEX(Ventas!$J$2:$J$5000,MATCH($A175,Ventas!$A$2:$A$5000,0))&lt;0.5*AVERAGE(INDEX(Ventas!$C$2:$I$5000,MATCH($A175,Ventas!$A$2:$A$5000,0),0))),"SÍ — stock 0 y Sep cayó (prom Feb-Ago "&amp;TEXT(AVERAGE(INDEX(Ventas!$C$2:$I$5000,MATCH($A175,Ventas!$A$2:$A$5000,0),0)),"#,##0")&amp;")",""))</f>
        <v>SÍ — stock 0 y Sep cayó (prom Feb-Ago 10)</v>
      </c>
      <c r="AF175" s="60">
        <f t="array" ref="AF175">IF(X175="","",IF(AE175&lt;&gt;"",MAX(X175,AVERAGE(INDEX(Ventas!$C$2:$I$5000,MATCH($A175,Ventas!$A$2:$A$5000,0),0))),X175))</f>
        <v>10.31428571</v>
      </c>
      <c r="AG175" s="60">
        <f t="shared" si="8"/>
        <v>41</v>
      </c>
      <c r="AH175" s="63" t="str">
        <f t="shared" si="9"/>
        <v>COMPRAR</v>
      </c>
    </row>
    <row r="176" ht="13.5" customHeight="1">
      <c r="A176" s="49" t="s">
        <v>1394</v>
      </c>
      <c r="B176" s="50" t="s">
        <v>183</v>
      </c>
      <c r="C176" s="50" t="s">
        <v>3708</v>
      </c>
      <c r="D176" s="50" t="s">
        <v>1329</v>
      </c>
      <c r="E176" s="51">
        <v>6025.0</v>
      </c>
      <c r="F176" s="52"/>
      <c r="G176" s="53"/>
      <c r="H176" s="55"/>
      <c r="I176" s="55">
        <v>2200.0</v>
      </c>
      <c r="J176" s="53"/>
      <c r="K176" s="53"/>
      <c r="L176" s="55"/>
      <c r="M176" s="53"/>
      <c r="N176" s="74"/>
      <c r="O176" s="57" t="str">
        <f t="shared" si="1"/>
        <v>SIN VENTAS Jun-Sep — no comprar (8,225 m disponibles)</v>
      </c>
      <c r="P176" s="58">
        <f t="shared" si="2"/>
        <v>8225</v>
      </c>
      <c r="Q176" s="1"/>
      <c r="R176" s="1"/>
      <c r="S176" s="1"/>
      <c r="T176" s="1"/>
      <c r="U176" s="1"/>
      <c r="V176" s="1"/>
      <c r="W176" s="1"/>
      <c r="X176" s="60">
        <f>IFERROR(VLOOKUP($A176,Ventas!$A$2:$L$5000,12,FALSE()),"")</f>
        <v>0</v>
      </c>
      <c r="Y176" s="60">
        <f t="shared" si="3"/>
        <v>0</v>
      </c>
      <c r="Z176" s="61" t="str">
        <f t="shared" si="4"/>
        <v/>
      </c>
      <c r="AA176" s="60">
        <f t="shared" si="5"/>
        <v>-8225</v>
      </c>
      <c r="AB176" s="62" t="str">
        <f t="shared" si="6"/>
        <v/>
      </c>
      <c r="AC176" s="62" t="str">
        <f t="array" ref="AC176">IF(AH176&lt;&gt;"COMPRAR","",IF(MAX(INDEX(Ventas!$G$2:$G$5000,MATCH($A176,Ventas!$A$2:$A$5000,0)),INDEX(Ventas!$H$2:$H$5000,MATCH($A176,Ventas!$A$2:$A$5000,0)),INDEX(Ventas!$I$2:$I$5000,MATCH($A176,Ventas!$A$2:$A$5000,0)),INDEX(Ventas!$J$2:$J$5000,MATCH($A176,Ventas!$A$2:$A$5000,0)))&gt;0.5*AF176*4,"1 mes = "&amp;TEXT(MAX(INDEX(Ventas!$G$2:$G$5000,MATCH($A176,Ventas!$A$2:$A$5000,0)),INDEX(Ventas!$H$2:$H$5000,MATCH($A176,Ventas!$A$2:$A$5000,0)),INDEX(Ventas!$I$2:$I$5000,MATCH($A176,Ventas!$A$2:$A$5000,0)),INDEX(Ventas!$J$2:$J$5000,MATCH($A176,Ventas!$A$2:$A$5000,0)))/(AF176*4),"0%")&amp;" de 4 meses",""))</f>
        <v/>
      </c>
      <c r="AD176" s="62" t="str">
        <f t="shared" si="7"/>
        <v/>
      </c>
      <c r="AE176" s="62" t="str">
        <f t="array" ref="AE176">IF(X176="","",IF(AND(E176=0,AVERAGE(INDEX(Ventas!$C$2:$I$5000,MATCH($A176,Ventas!$A$2:$A$5000,0),0))&gt;0,INDEX(Ventas!$J$2:$J$5000,MATCH($A176,Ventas!$A$2:$A$5000,0))&lt;0.5*AVERAGE(INDEX(Ventas!$C$2:$I$5000,MATCH($A176,Ventas!$A$2:$A$5000,0),0))),"SÍ — stock 0 y Sep cayó (prom Feb-Ago "&amp;TEXT(AVERAGE(INDEX(Ventas!$C$2:$I$5000,MATCH($A176,Ventas!$A$2:$A$5000,0),0)),"#,##0")&amp;")",""))</f>
        <v/>
      </c>
      <c r="AF176" s="60">
        <f t="array" ref="AF176">IF(X176="","",IF(AE176&lt;&gt;"",MAX(X176,AVERAGE(INDEX(Ventas!$C$2:$I$5000,MATCH($A176,Ventas!$A$2:$A$5000,0),0))),X176))</f>
        <v>0</v>
      </c>
      <c r="AG176" s="60">
        <f t="shared" si="8"/>
        <v>-8225</v>
      </c>
      <c r="AH176" s="63" t="str">
        <f t="shared" si="9"/>
        <v>SIN VENTAS</v>
      </c>
    </row>
    <row r="177" ht="13.5" customHeight="1">
      <c r="A177" s="64" t="s">
        <v>1392</v>
      </c>
      <c r="B177" s="65" t="s">
        <v>183</v>
      </c>
      <c r="C177" s="65" t="s">
        <v>3708</v>
      </c>
      <c r="D177" s="65" t="s">
        <v>1009</v>
      </c>
      <c r="E177" s="51">
        <v>1023.0</v>
      </c>
      <c r="F177" s="66"/>
      <c r="G177" s="53"/>
      <c r="H177" s="55"/>
      <c r="I177" s="55"/>
      <c r="J177" s="53"/>
      <c r="K177" s="53"/>
      <c r="L177" s="55"/>
      <c r="M177" s="53"/>
      <c r="N177" s="73"/>
      <c r="O177" s="57" t="str">
        <f t="shared" si="1"/>
        <v>SIN VENTAS Jun-Sep — no comprar (1,023 m disponibles)</v>
      </c>
      <c r="P177" s="58">
        <f t="shared" si="2"/>
        <v>1023</v>
      </c>
      <c r="Q177" s="1"/>
      <c r="R177" s="1"/>
      <c r="S177" s="1"/>
      <c r="T177" s="1"/>
      <c r="U177" s="1"/>
      <c r="V177" s="1"/>
      <c r="W177" s="1"/>
      <c r="X177" s="60">
        <f>IFERROR(VLOOKUP($A177,Ventas!$A$2:$L$5000,12,FALSE()),"")</f>
        <v>0</v>
      </c>
      <c r="Y177" s="60">
        <f t="shared" si="3"/>
        <v>0</v>
      </c>
      <c r="Z177" s="61" t="str">
        <f t="shared" si="4"/>
        <v/>
      </c>
      <c r="AA177" s="60">
        <f t="shared" si="5"/>
        <v>-1023</v>
      </c>
      <c r="AB177" s="62" t="str">
        <f t="shared" si="6"/>
        <v/>
      </c>
      <c r="AC177" s="62" t="str">
        <f t="array" ref="AC177">IF(AH177&lt;&gt;"COMPRAR","",IF(MAX(INDEX(Ventas!$G$2:$G$5000,MATCH($A177,Ventas!$A$2:$A$5000,0)),INDEX(Ventas!$H$2:$H$5000,MATCH($A177,Ventas!$A$2:$A$5000,0)),INDEX(Ventas!$I$2:$I$5000,MATCH($A177,Ventas!$A$2:$A$5000,0)),INDEX(Ventas!$J$2:$J$5000,MATCH($A177,Ventas!$A$2:$A$5000,0)))&gt;0.5*AF177*4,"1 mes = "&amp;TEXT(MAX(INDEX(Ventas!$G$2:$G$5000,MATCH($A177,Ventas!$A$2:$A$5000,0)),INDEX(Ventas!$H$2:$H$5000,MATCH($A177,Ventas!$A$2:$A$5000,0)),INDEX(Ventas!$I$2:$I$5000,MATCH($A177,Ventas!$A$2:$A$5000,0)),INDEX(Ventas!$J$2:$J$5000,MATCH($A177,Ventas!$A$2:$A$5000,0)))/(AF177*4),"0%")&amp;" de 4 meses",""))</f>
        <v/>
      </c>
      <c r="AD177" s="62" t="str">
        <f t="shared" si="7"/>
        <v/>
      </c>
      <c r="AE177" s="62" t="str">
        <f t="array" ref="AE177">IF(X177="","",IF(AND(E177=0,AVERAGE(INDEX(Ventas!$C$2:$I$5000,MATCH($A177,Ventas!$A$2:$A$5000,0),0))&gt;0,INDEX(Ventas!$J$2:$J$5000,MATCH($A177,Ventas!$A$2:$A$5000,0))&lt;0.5*AVERAGE(INDEX(Ventas!$C$2:$I$5000,MATCH($A177,Ventas!$A$2:$A$5000,0),0))),"SÍ — stock 0 y Sep cayó (prom Feb-Ago "&amp;TEXT(AVERAGE(INDEX(Ventas!$C$2:$I$5000,MATCH($A177,Ventas!$A$2:$A$5000,0),0)),"#,##0")&amp;")",""))</f>
        <v/>
      </c>
      <c r="AF177" s="60">
        <f t="array" ref="AF177">IF(X177="","",IF(AE177&lt;&gt;"",MAX(X177,AVERAGE(INDEX(Ventas!$C$2:$I$5000,MATCH($A177,Ventas!$A$2:$A$5000,0),0))),X177))</f>
        <v>0</v>
      </c>
      <c r="AG177" s="60">
        <f t="shared" si="8"/>
        <v>-1023</v>
      </c>
      <c r="AH177" s="63" t="str">
        <f t="shared" si="9"/>
        <v>SIN VENTAS</v>
      </c>
    </row>
    <row r="178" ht="13.5" customHeight="1">
      <c r="A178" s="49" t="s">
        <v>2557</v>
      </c>
      <c r="B178" s="50" t="s">
        <v>183</v>
      </c>
      <c r="C178" s="50" t="s">
        <v>3709</v>
      </c>
      <c r="D178" s="50" t="s">
        <v>1329</v>
      </c>
      <c r="E178" s="51">
        <v>0.0</v>
      </c>
      <c r="F178" s="52"/>
      <c r="G178" s="53"/>
      <c r="H178" s="55"/>
      <c r="I178" s="55"/>
      <c r="J178" s="53"/>
      <c r="K178" s="53"/>
      <c r="L178" s="55"/>
      <c r="M178" s="53"/>
      <c r="N178" s="74"/>
      <c r="O178" s="57" t="str">
        <f t="shared" si="1"/>
        <v>SIN VENTAS Jun-Sep — no comprar</v>
      </c>
      <c r="P178" s="58">
        <f t="shared" si="2"/>
        <v>0</v>
      </c>
      <c r="Q178" s="1"/>
      <c r="R178" s="1"/>
      <c r="S178" s="1"/>
      <c r="T178" s="1"/>
      <c r="U178" s="1"/>
      <c r="V178" s="1"/>
      <c r="W178" s="1"/>
      <c r="X178" s="60">
        <f>IFERROR(VLOOKUP($A178,Ventas!$A$2:$L$5000,12,FALSE()),"")</f>
        <v>0</v>
      </c>
      <c r="Y178" s="60">
        <f t="shared" si="3"/>
        <v>0</v>
      </c>
      <c r="Z178" s="61" t="str">
        <f t="shared" si="4"/>
        <v/>
      </c>
      <c r="AA178" s="60">
        <f t="shared" si="5"/>
        <v>0</v>
      </c>
      <c r="AB178" s="62" t="str">
        <f t="shared" si="6"/>
        <v/>
      </c>
      <c r="AC178" s="62" t="str">
        <f t="array" ref="AC178">IF(AH178&lt;&gt;"COMPRAR","",IF(MAX(INDEX(Ventas!$G$2:$G$5000,MATCH($A178,Ventas!$A$2:$A$5000,0)),INDEX(Ventas!$H$2:$H$5000,MATCH($A178,Ventas!$A$2:$A$5000,0)),INDEX(Ventas!$I$2:$I$5000,MATCH($A178,Ventas!$A$2:$A$5000,0)),INDEX(Ventas!$J$2:$J$5000,MATCH($A178,Ventas!$A$2:$A$5000,0)))&gt;0.5*AF178*4,"1 mes = "&amp;TEXT(MAX(INDEX(Ventas!$G$2:$G$5000,MATCH($A178,Ventas!$A$2:$A$5000,0)),INDEX(Ventas!$H$2:$H$5000,MATCH($A178,Ventas!$A$2:$A$5000,0)),INDEX(Ventas!$I$2:$I$5000,MATCH($A178,Ventas!$A$2:$A$5000,0)),INDEX(Ventas!$J$2:$J$5000,MATCH($A178,Ventas!$A$2:$A$5000,0)))/(AF178*4),"0%")&amp;" de 4 meses",""))</f>
        <v/>
      </c>
      <c r="AD178" s="62" t="str">
        <f t="shared" si="7"/>
        <v/>
      </c>
      <c r="AE178" s="62" t="str">
        <f t="array" ref="AE178">IF(X178="","",IF(AND(E178=0,AVERAGE(INDEX(Ventas!$C$2:$I$5000,MATCH($A178,Ventas!$A$2:$A$5000,0),0))&gt;0,INDEX(Ventas!$J$2:$J$5000,MATCH($A178,Ventas!$A$2:$A$5000,0))&lt;0.5*AVERAGE(INDEX(Ventas!$C$2:$I$5000,MATCH($A178,Ventas!$A$2:$A$5000,0),0))),"SÍ — stock 0 y Sep cayó (prom Feb-Ago "&amp;TEXT(AVERAGE(INDEX(Ventas!$C$2:$I$5000,MATCH($A178,Ventas!$A$2:$A$5000,0),0)),"#,##0")&amp;")",""))</f>
        <v>SÍ — stock 0 y Sep cayó (prom Feb-Ago 87)</v>
      </c>
      <c r="AF178" s="60">
        <f t="array" ref="AF178">IF(X178="","",IF(AE178&lt;&gt;"",MAX(X178,AVERAGE(INDEX(Ventas!$C$2:$I$5000,MATCH($A178,Ventas!$A$2:$A$5000,0),0))),X178))</f>
        <v>87.28571429</v>
      </c>
      <c r="AG178" s="60">
        <f t="shared" si="8"/>
        <v>349</v>
      </c>
      <c r="AH178" s="63" t="str">
        <f t="shared" si="9"/>
        <v>COMPRAR</v>
      </c>
    </row>
    <row r="179" ht="13.5" customHeight="1">
      <c r="A179" s="64" t="s">
        <v>2555</v>
      </c>
      <c r="B179" s="65" t="s">
        <v>183</v>
      </c>
      <c r="C179" s="65" t="s">
        <v>3709</v>
      </c>
      <c r="D179" s="65" t="s">
        <v>336</v>
      </c>
      <c r="E179" s="51">
        <v>1278.0</v>
      </c>
      <c r="F179" s="66"/>
      <c r="G179" s="53"/>
      <c r="H179" s="55"/>
      <c r="I179" s="55"/>
      <c r="J179" s="53"/>
      <c r="K179" s="53"/>
      <c r="L179" s="55"/>
      <c r="M179" s="53"/>
      <c r="N179" s="73"/>
      <c r="O179" s="57" t="str">
        <f t="shared" si="1"/>
        <v>SOBRESTOCK — 68.2 meses de cobertura</v>
      </c>
      <c r="P179" s="58">
        <f t="shared" si="2"/>
        <v>1278</v>
      </c>
      <c r="Q179" s="1"/>
      <c r="R179" s="1"/>
      <c r="S179" s="1"/>
      <c r="T179" s="1"/>
      <c r="U179" s="1"/>
      <c r="V179" s="1"/>
      <c r="W179" s="1"/>
      <c r="X179" s="60">
        <f>IFERROR(VLOOKUP($A179,Ventas!$A$2:$L$5000,12,FALSE()),"")</f>
        <v>18.75</v>
      </c>
      <c r="Y179" s="60">
        <f t="shared" si="3"/>
        <v>75</v>
      </c>
      <c r="Z179" s="61">
        <f t="shared" si="4"/>
        <v>68.2</v>
      </c>
      <c r="AA179" s="60">
        <f t="shared" si="5"/>
        <v>-1203</v>
      </c>
      <c r="AB179" s="62" t="str">
        <f t="shared" si="6"/>
        <v/>
      </c>
      <c r="AC179" s="62" t="str">
        <f t="array" ref="AC179">IF(AH179&lt;&gt;"COMPRAR","",IF(MAX(INDEX(Ventas!$G$2:$G$5000,MATCH($A179,Ventas!$A$2:$A$5000,0)),INDEX(Ventas!$H$2:$H$5000,MATCH($A179,Ventas!$A$2:$A$5000,0)),INDEX(Ventas!$I$2:$I$5000,MATCH($A179,Ventas!$A$2:$A$5000,0)),INDEX(Ventas!$J$2:$J$5000,MATCH($A179,Ventas!$A$2:$A$5000,0)))&gt;0.5*AF179*4,"1 mes = "&amp;TEXT(MAX(INDEX(Ventas!$G$2:$G$5000,MATCH($A179,Ventas!$A$2:$A$5000,0)),INDEX(Ventas!$H$2:$H$5000,MATCH($A179,Ventas!$A$2:$A$5000,0)),INDEX(Ventas!$I$2:$I$5000,MATCH($A179,Ventas!$A$2:$A$5000,0)),INDEX(Ventas!$J$2:$J$5000,MATCH($A179,Ventas!$A$2:$A$5000,0)))/(AF179*4),"0%")&amp;" de 4 meses",""))</f>
        <v/>
      </c>
      <c r="AD179" s="62" t="str">
        <f t="shared" si="7"/>
        <v/>
      </c>
      <c r="AE179" s="62" t="str">
        <f t="array" ref="AE179">IF(X179="","",IF(AND(E179=0,AVERAGE(INDEX(Ventas!$C$2:$I$5000,MATCH($A179,Ventas!$A$2:$A$5000,0),0))&gt;0,INDEX(Ventas!$J$2:$J$5000,MATCH($A179,Ventas!$A$2:$A$5000,0))&lt;0.5*AVERAGE(INDEX(Ventas!$C$2:$I$5000,MATCH($A179,Ventas!$A$2:$A$5000,0),0))),"SÍ — stock 0 y Sep cayó (prom Feb-Ago "&amp;TEXT(AVERAGE(INDEX(Ventas!$C$2:$I$5000,MATCH($A179,Ventas!$A$2:$A$5000,0),0)),"#,##0")&amp;")",""))</f>
        <v/>
      </c>
      <c r="AF179" s="60">
        <f t="array" ref="AF179">IF(X179="","",IF(AE179&lt;&gt;"",MAX(X179,AVERAGE(INDEX(Ventas!$C$2:$I$5000,MATCH($A179,Ventas!$A$2:$A$5000,0),0))),X179))</f>
        <v>18.75</v>
      </c>
      <c r="AG179" s="60">
        <f t="shared" si="8"/>
        <v>-1203</v>
      </c>
      <c r="AH179" s="63" t="str">
        <f t="shared" si="9"/>
        <v>SOBRESTOCK</v>
      </c>
    </row>
    <row r="180" ht="13.5" customHeight="1">
      <c r="A180" s="49" t="s">
        <v>3556</v>
      </c>
      <c r="B180" s="50" t="s">
        <v>183</v>
      </c>
      <c r="C180" s="50" t="s">
        <v>3710</v>
      </c>
      <c r="D180" s="50" t="s">
        <v>3635</v>
      </c>
      <c r="E180" s="51">
        <v>1771.0</v>
      </c>
      <c r="F180" s="52"/>
      <c r="G180" s="53"/>
      <c r="H180" s="55"/>
      <c r="I180" s="55"/>
      <c r="J180" s="53"/>
      <c r="K180" s="53"/>
      <c r="L180" s="55"/>
      <c r="M180" s="53"/>
      <c r="N180" s="74"/>
      <c r="O180" s="57" t="str">
        <f t="shared" si="1"/>
        <v>SOBRESTOCK — 50.8 meses de cobertura</v>
      </c>
      <c r="P180" s="58">
        <f t="shared" si="2"/>
        <v>1771</v>
      </c>
      <c r="Q180" s="1"/>
      <c r="R180" s="1"/>
      <c r="S180" s="1"/>
      <c r="T180" s="1"/>
      <c r="U180" s="1"/>
      <c r="V180" s="1"/>
      <c r="W180" s="1"/>
      <c r="X180" s="60">
        <f>IFERROR(VLOOKUP($A180,Ventas!$A$2:$L$5000,12,FALSE()),"")</f>
        <v>34.85</v>
      </c>
      <c r="Y180" s="60">
        <f t="shared" si="3"/>
        <v>139</v>
      </c>
      <c r="Z180" s="61">
        <f t="shared" si="4"/>
        <v>50.8</v>
      </c>
      <c r="AA180" s="60">
        <f t="shared" si="5"/>
        <v>-1632</v>
      </c>
      <c r="AB180" s="62" t="str">
        <f t="shared" si="6"/>
        <v/>
      </c>
      <c r="AC180" s="62" t="str">
        <f t="array" ref="AC180">IF(AH180&lt;&gt;"COMPRAR","",IF(MAX(INDEX(Ventas!$G$2:$G$5000,MATCH($A180,Ventas!$A$2:$A$5000,0)),INDEX(Ventas!$H$2:$H$5000,MATCH($A180,Ventas!$A$2:$A$5000,0)),INDEX(Ventas!$I$2:$I$5000,MATCH($A180,Ventas!$A$2:$A$5000,0)),INDEX(Ventas!$J$2:$J$5000,MATCH($A180,Ventas!$A$2:$A$5000,0)))&gt;0.5*AF180*4,"1 mes = "&amp;TEXT(MAX(INDEX(Ventas!$G$2:$G$5000,MATCH($A180,Ventas!$A$2:$A$5000,0)),INDEX(Ventas!$H$2:$H$5000,MATCH($A180,Ventas!$A$2:$A$5000,0)),INDEX(Ventas!$I$2:$I$5000,MATCH($A180,Ventas!$A$2:$A$5000,0)),INDEX(Ventas!$J$2:$J$5000,MATCH($A180,Ventas!$A$2:$A$5000,0)))/(AF180*4),"0%")&amp;" de 4 meses",""))</f>
        <v/>
      </c>
      <c r="AD180" s="62" t="str">
        <f t="shared" si="7"/>
        <v/>
      </c>
      <c r="AE180" s="62" t="str">
        <f t="array" ref="AE180">IF(X180="","",IF(AND(E180=0,AVERAGE(INDEX(Ventas!$C$2:$I$5000,MATCH($A180,Ventas!$A$2:$A$5000,0),0))&gt;0,INDEX(Ventas!$J$2:$J$5000,MATCH($A180,Ventas!$A$2:$A$5000,0))&lt;0.5*AVERAGE(INDEX(Ventas!$C$2:$I$5000,MATCH($A180,Ventas!$A$2:$A$5000,0),0))),"SÍ — stock 0 y Sep cayó (prom Feb-Ago "&amp;TEXT(AVERAGE(INDEX(Ventas!$C$2:$I$5000,MATCH($A180,Ventas!$A$2:$A$5000,0),0)),"#,##0")&amp;")",""))</f>
        <v/>
      </c>
      <c r="AF180" s="60">
        <f t="array" ref="AF180">IF(X180="","",IF(AE180&lt;&gt;"",MAX(X180,AVERAGE(INDEX(Ventas!$C$2:$I$5000,MATCH($A180,Ventas!$A$2:$A$5000,0),0))),X180))</f>
        <v>34.85</v>
      </c>
      <c r="AG180" s="60">
        <f t="shared" si="8"/>
        <v>-1632</v>
      </c>
      <c r="AH180" s="63" t="str">
        <f t="shared" si="9"/>
        <v>SOBRESTOCK</v>
      </c>
    </row>
    <row r="181" ht="13.5" customHeight="1">
      <c r="A181" s="64" t="s">
        <v>3563</v>
      </c>
      <c r="B181" s="65" t="s">
        <v>183</v>
      </c>
      <c r="C181" s="65" t="s">
        <v>3710</v>
      </c>
      <c r="D181" s="65" t="s">
        <v>646</v>
      </c>
      <c r="E181" s="51">
        <v>550.0</v>
      </c>
      <c r="F181" s="66"/>
      <c r="G181" s="53"/>
      <c r="H181" s="55"/>
      <c r="I181" s="55"/>
      <c r="J181" s="53"/>
      <c r="K181" s="53"/>
      <c r="L181" s="55"/>
      <c r="M181" s="53"/>
      <c r="N181" s="73"/>
      <c r="O181" s="57" t="str">
        <f t="shared" si="1"/>
        <v>SOBRESTOCK — 26.0 meses de cobertura</v>
      </c>
      <c r="P181" s="58">
        <f t="shared" si="2"/>
        <v>550</v>
      </c>
      <c r="Q181" s="1"/>
      <c r="R181" s="1"/>
      <c r="S181" s="1"/>
      <c r="T181" s="1"/>
      <c r="U181" s="1"/>
      <c r="V181" s="1"/>
      <c r="W181" s="1"/>
      <c r="X181" s="60">
        <f>IFERROR(VLOOKUP($A181,Ventas!$A$2:$L$5000,12,FALSE()),"")</f>
        <v>21.175</v>
      </c>
      <c r="Y181" s="60">
        <f t="shared" si="3"/>
        <v>85</v>
      </c>
      <c r="Z181" s="61">
        <f t="shared" si="4"/>
        <v>26</v>
      </c>
      <c r="AA181" s="60">
        <f t="shared" si="5"/>
        <v>-465</v>
      </c>
      <c r="AB181" s="62" t="str">
        <f t="shared" si="6"/>
        <v/>
      </c>
      <c r="AC181" s="62" t="str">
        <f t="array" ref="AC181">IF(AH181&lt;&gt;"COMPRAR","",IF(MAX(INDEX(Ventas!$G$2:$G$5000,MATCH($A181,Ventas!$A$2:$A$5000,0)),INDEX(Ventas!$H$2:$H$5000,MATCH($A181,Ventas!$A$2:$A$5000,0)),INDEX(Ventas!$I$2:$I$5000,MATCH($A181,Ventas!$A$2:$A$5000,0)),INDEX(Ventas!$J$2:$J$5000,MATCH($A181,Ventas!$A$2:$A$5000,0)))&gt;0.5*AF181*4,"1 mes = "&amp;TEXT(MAX(INDEX(Ventas!$G$2:$G$5000,MATCH($A181,Ventas!$A$2:$A$5000,0)),INDEX(Ventas!$H$2:$H$5000,MATCH($A181,Ventas!$A$2:$A$5000,0)),INDEX(Ventas!$I$2:$I$5000,MATCH($A181,Ventas!$A$2:$A$5000,0)),INDEX(Ventas!$J$2:$J$5000,MATCH($A181,Ventas!$A$2:$A$5000,0)))/(AF181*4),"0%")&amp;" de 4 meses",""))</f>
        <v/>
      </c>
      <c r="AD181" s="62" t="str">
        <f t="shared" si="7"/>
        <v/>
      </c>
      <c r="AE181" s="62" t="str">
        <f t="array" ref="AE181">IF(X181="","",IF(AND(E181=0,AVERAGE(INDEX(Ventas!$C$2:$I$5000,MATCH($A181,Ventas!$A$2:$A$5000,0),0))&gt;0,INDEX(Ventas!$J$2:$J$5000,MATCH($A181,Ventas!$A$2:$A$5000,0))&lt;0.5*AVERAGE(INDEX(Ventas!$C$2:$I$5000,MATCH($A181,Ventas!$A$2:$A$5000,0),0))),"SÍ — stock 0 y Sep cayó (prom Feb-Ago "&amp;TEXT(AVERAGE(INDEX(Ventas!$C$2:$I$5000,MATCH($A181,Ventas!$A$2:$A$5000,0),0)),"#,##0")&amp;")",""))</f>
        <v/>
      </c>
      <c r="AF181" s="60">
        <f t="array" ref="AF181">IF(X181="","",IF(AE181&lt;&gt;"",MAX(X181,AVERAGE(INDEX(Ventas!$C$2:$I$5000,MATCH($A181,Ventas!$A$2:$A$5000,0),0))),X181))</f>
        <v>21.175</v>
      </c>
      <c r="AG181" s="60">
        <f t="shared" si="8"/>
        <v>-465</v>
      </c>
      <c r="AH181" s="63" t="str">
        <f t="shared" si="9"/>
        <v>SOBRESTOCK</v>
      </c>
    </row>
    <row r="182" ht="13.5" customHeight="1">
      <c r="A182" s="49" t="s">
        <v>3565</v>
      </c>
      <c r="B182" s="50" t="s">
        <v>183</v>
      </c>
      <c r="C182" s="50" t="s">
        <v>3710</v>
      </c>
      <c r="D182" s="50" t="s">
        <v>1911</v>
      </c>
      <c r="E182" s="51">
        <v>898.0</v>
      </c>
      <c r="F182" s="52"/>
      <c r="G182" s="53"/>
      <c r="H182" s="55"/>
      <c r="I182" s="55"/>
      <c r="J182" s="53"/>
      <c r="K182" s="53"/>
      <c r="L182" s="55"/>
      <c r="M182" s="53"/>
      <c r="N182" s="74"/>
      <c r="O182" s="57" t="str">
        <f t="shared" si="1"/>
        <v>SIN VENTAS Jun-Sep — no comprar (898 m disponibles)</v>
      </c>
      <c r="P182" s="58">
        <f t="shared" si="2"/>
        <v>898</v>
      </c>
      <c r="Q182" s="1"/>
      <c r="R182" s="1"/>
      <c r="S182" s="1"/>
      <c r="T182" s="1"/>
      <c r="U182" s="1"/>
      <c r="V182" s="1"/>
      <c r="W182" s="1"/>
      <c r="X182" s="60">
        <f>IFERROR(VLOOKUP($A182,Ventas!$A$2:$L$5000,12,FALSE()),"")</f>
        <v>0</v>
      </c>
      <c r="Y182" s="60">
        <f t="shared" si="3"/>
        <v>0</v>
      </c>
      <c r="Z182" s="61" t="str">
        <f t="shared" si="4"/>
        <v/>
      </c>
      <c r="AA182" s="60">
        <f t="shared" si="5"/>
        <v>-898</v>
      </c>
      <c r="AB182" s="62" t="str">
        <f t="shared" si="6"/>
        <v/>
      </c>
      <c r="AC182" s="62" t="str">
        <f t="array" ref="AC182">IF(AH182&lt;&gt;"COMPRAR","",IF(MAX(INDEX(Ventas!$G$2:$G$5000,MATCH($A182,Ventas!$A$2:$A$5000,0)),INDEX(Ventas!$H$2:$H$5000,MATCH($A182,Ventas!$A$2:$A$5000,0)),INDEX(Ventas!$I$2:$I$5000,MATCH($A182,Ventas!$A$2:$A$5000,0)),INDEX(Ventas!$J$2:$J$5000,MATCH($A182,Ventas!$A$2:$A$5000,0)))&gt;0.5*AF182*4,"1 mes = "&amp;TEXT(MAX(INDEX(Ventas!$G$2:$G$5000,MATCH($A182,Ventas!$A$2:$A$5000,0)),INDEX(Ventas!$H$2:$H$5000,MATCH($A182,Ventas!$A$2:$A$5000,0)),INDEX(Ventas!$I$2:$I$5000,MATCH($A182,Ventas!$A$2:$A$5000,0)),INDEX(Ventas!$J$2:$J$5000,MATCH($A182,Ventas!$A$2:$A$5000,0)))/(AF182*4),"0%")&amp;" de 4 meses",""))</f>
        <v/>
      </c>
      <c r="AD182" s="62" t="str">
        <f t="shared" si="7"/>
        <v/>
      </c>
      <c r="AE182" s="62" t="str">
        <f t="array" ref="AE182">IF(X182="","",IF(AND(E182=0,AVERAGE(INDEX(Ventas!$C$2:$I$5000,MATCH($A182,Ventas!$A$2:$A$5000,0),0))&gt;0,INDEX(Ventas!$J$2:$J$5000,MATCH($A182,Ventas!$A$2:$A$5000,0))&lt;0.5*AVERAGE(INDEX(Ventas!$C$2:$I$5000,MATCH($A182,Ventas!$A$2:$A$5000,0),0))),"SÍ — stock 0 y Sep cayó (prom Feb-Ago "&amp;TEXT(AVERAGE(INDEX(Ventas!$C$2:$I$5000,MATCH($A182,Ventas!$A$2:$A$5000,0),0)),"#,##0")&amp;")",""))</f>
        <v/>
      </c>
      <c r="AF182" s="60">
        <f t="array" ref="AF182">IF(X182="","",IF(AE182&lt;&gt;"",MAX(X182,AVERAGE(INDEX(Ventas!$C$2:$I$5000,MATCH($A182,Ventas!$A$2:$A$5000,0),0))),X182))</f>
        <v>0</v>
      </c>
      <c r="AG182" s="60">
        <f t="shared" si="8"/>
        <v>-898</v>
      </c>
      <c r="AH182" s="63" t="str">
        <f t="shared" si="9"/>
        <v>SIN VENTAS</v>
      </c>
    </row>
    <row r="183" ht="13.5" customHeight="1">
      <c r="A183" s="64" t="s">
        <v>1426</v>
      </c>
      <c r="B183" s="65" t="s">
        <v>183</v>
      </c>
      <c r="C183" s="65" t="s">
        <v>3711</v>
      </c>
      <c r="D183" s="65" t="s">
        <v>1329</v>
      </c>
      <c r="E183" s="51">
        <v>4271.0</v>
      </c>
      <c r="F183" s="66"/>
      <c r="G183" s="53"/>
      <c r="H183" s="55"/>
      <c r="I183" s="55"/>
      <c r="J183" s="53"/>
      <c r="K183" s="53"/>
      <c r="L183" s="55"/>
      <c r="M183" s="53"/>
      <c r="N183" s="73"/>
      <c r="O183" s="57" t="str">
        <f t="shared" si="1"/>
        <v>SOBRESTOCK — 17.4 meses de cobertura</v>
      </c>
      <c r="P183" s="58">
        <f t="shared" si="2"/>
        <v>4271</v>
      </c>
      <c r="Q183" s="1"/>
      <c r="R183" s="80">
        <v>110.0</v>
      </c>
      <c r="S183" s="1"/>
      <c r="T183" s="1"/>
      <c r="U183" s="1"/>
      <c r="V183" s="1"/>
      <c r="W183" s="1"/>
      <c r="X183" s="60">
        <f>IFERROR(VLOOKUP($A183,Ventas!$A$2:$L$5000,12,FALSE()),"")</f>
        <v>246.1</v>
      </c>
      <c r="Y183" s="60">
        <f t="shared" si="3"/>
        <v>984</v>
      </c>
      <c r="Z183" s="61">
        <f t="shared" si="4"/>
        <v>17.4</v>
      </c>
      <c r="AA183" s="60">
        <f t="shared" si="5"/>
        <v>-3287</v>
      </c>
      <c r="AB183" s="62" t="str">
        <f t="shared" si="6"/>
        <v/>
      </c>
      <c r="AC183" s="62" t="str">
        <f t="array" ref="AC183">IF(AH183&lt;&gt;"COMPRAR","",IF(MAX(INDEX(Ventas!$G$2:$G$5000,MATCH($A183,Ventas!$A$2:$A$5000,0)),INDEX(Ventas!$H$2:$H$5000,MATCH($A183,Ventas!$A$2:$A$5000,0)),INDEX(Ventas!$I$2:$I$5000,MATCH($A183,Ventas!$A$2:$A$5000,0)),INDEX(Ventas!$J$2:$J$5000,MATCH($A183,Ventas!$A$2:$A$5000,0)))&gt;0.5*AF183*4,"1 mes = "&amp;TEXT(MAX(INDEX(Ventas!$G$2:$G$5000,MATCH($A183,Ventas!$A$2:$A$5000,0)),INDEX(Ventas!$H$2:$H$5000,MATCH($A183,Ventas!$A$2:$A$5000,0)),INDEX(Ventas!$I$2:$I$5000,MATCH($A183,Ventas!$A$2:$A$5000,0)),INDEX(Ventas!$J$2:$J$5000,MATCH($A183,Ventas!$A$2:$A$5000,0)))/(AF183*4),"0%")&amp;" de 4 meses",""))</f>
        <v/>
      </c>
      <c r="AD183" s="62" t="str">
        <f t="shared" si="7"/>
        <v/>
      </c>
      <c r="AE183" s="62" t="str">
        <f t="array" ref="AE183">IF(X183="","",IF(AND(E183=0,AVERAGE(INDEX(Ventas!$C$2:$I$5000,MATCH($A183,Ventas!$A$2:$A$5000,0),0))&gt;0,INDEX(Ventas!$J$2:$J$5000,MATCH($A183,Ventas!$A$2:$A$5000,0))&lt;0.5*AVERAGE(INDEX(Ventas!$C$2:$I$5000,MATCH($A183,Ventas!$A$2:$A$5000,0),0))),"SÍ — stock 0 y Sep cayó (prom Feb-Ago "&amp;TEXT(AVERAGE(INDEX(Ventas!$C$2:$I$5000,MATCH($A183,Ventas!$A$2:$A$5000,0),0)),"#,##0")&amp;")",""))</f>
        <v/>
      </c>
      <c r="AF183" s="60">
        <f t="array" ref="AF183">IF(X183="","",IF(AE183&lt;&gt;"",MAX(X183,AVERAGE(INDEX(Ventas!$C$2:$I$5000,MATCH($A183,Ventas!$A$2:$A$5000,0),0))),X183))</f>
        <v>246.1</v>
      </c>
      <c r="AG183" s="60">
        <f t="shared" si="8"/>
        <v>-3287</v>
      </c>
      <c r="AH183" s="63" t="str">
        <f t="shared" si="9"/>
        <v>SOBRESTOCK</v>
      </c>
    </row>
    <row r="184" ht="13.5" customHeight="1">
      <c r="A184" s="49" t="s">
        <v>2637</v>
      </c>
      <c r="B184" s="50" t="s">
        <v>183</v>
      </c>
      <c r="C184" s="50" t="s">
        <v>3712</v>
      </c>
      <c r="D184" s="50" t="s">
        <v>1329</v>
      </c>
      <c r="E184" s="51">
        <v>4232.0</v>
      </c>
      <c r="F184" s="52"/>
      <c r="G184" s="53"/>
      <c r="H184" s="55"/>
      <c r="I184" s="55"/>
      <c r="J184" s="53"/>
      <c r="K184" s="53"/>
      <c r="L184" s="55"/>
      <c r="M184" s="53"/>
      <c r="N184" s="74"/>
      <c r="O184" s="57" t="str">
        <f t="shared" si="1"/>
        <v>SOBRESTOCK — 73.6 meses de cobertura</v>
      </c>
      <c r="P184" s="58">
        <f t="shared" si="2"/>
        <v>4232</v>
      </c>
      <c r="Q184" s="1"/>
      <c r="R184" s="1"/>
      <c r="S184" s="1"/>
      <c r="T184" s="1"/>
      <c r="U184" s="1"/>
      <c r="V184" s="1"/>
      <c r="W184" s="1"/>
      <c r="X184" s="60">
        <f>IFERROR(VLOOKUP($A184,Ventas!$A$2:$L$5000,12,FALSE()),"")</f>
        <v>57.5</v>
      </c>
      <c r="Y184" s="60">
        <f t="shared" si="3"/>
        <v>230</v>
      </c>
      <c r="Z184" s="61">
        <f t="shared" si="4"/>
        <v>73.6</v>
      </c>
      <c r="AA184" s="60">
        <f t="shared" si="5"/>
        <v>-4002</v>
      </c>
      <c r="AB184" s="62" t="str">
        <f t="shared" si="6"/>
        <v/>
      </c>
      <c r="AC184" s="62" t="str">
        <f t="array" ref="AC184">IF(AH184&lt;&gt;"COMPRAR","",IF(MAX(INDEX(Ventas!$G$2:$G$5000,MATCH($A184,Ventas!$A$2:$A$5000,0)),INDEX(Ventas!$H$2:$H$5000,MATCH($A184,Ventas!$A$2:$A$5000,0)),INDEX(Ventas!$I$2:$I$5000,MATCH($A184,Ventas!$A$2:$A$5000,0)),INDEX(Ventas!$J$2:$J$5000,MATCH($A184,Ventas!$A$2:$A$5000,0)))&gt;0.5*AF184*4,"1 mes = "&amp;TEXT(MAX(INDEX(Ventas!$G$2:$G$5000,MATCH($A184,Ventas!$A$2:$A$5000,0)),INDEX(Ventas!$H$2:$H$5000,MATCH($A184,Ventas!$A$2:$A$5000,0)),INDEX(Ventas!$I$2:$I$5000,MATCH($A184,Ventas!$A$2:$A$5000,0)),INDEX(Ventas!$J$2:$J$5000,MATCH($A184,Ventas!$A$2:$A$5000,0)))/(AF184*4),"0%")&amp;" de 4 meses",""))</f>
        <v/>
      </c>
      <c r="AD184" s="62" t="str">
        <f t="shared" si="7"/>
        <v/>
      </c>
      <c r="AE184" s="62" t="str">
        <f t="array" ref="AE184">IF(X184="","",IF(AND(E184=0,AVERAGE(INDEX(Ventas!$C$2:$I$5000,MATCH($A184,Ventas!$A$2:$A$5000,0),0))&gt;0,INDEX(Ventas!$J$2:$J$5000,MATCH($A184,Ventas!$A$2:$A$5000,0))&lt;0.5*AVERAGE(INDEX(Ventas!$C$2:$I$5000,MATCH($A184,Ventas!$A$2:$A$5000,0),0))),"SÍ — stock 0 y Sep cayó (prom Feb-Ago "&amp;TEXT(AVERAGE(INDEX(Ventas!$C$2:$I$5000,MATCH($A184,Ventas!$A$2:$A$5000,0),0)),"#,##0")&amp;")",""))</f>
        <v/>
      </c>
      <c r="AF184" s="60">
        <f t="array" ref="AF184">IF(X184="","",IF(AE184&lt;&gt;"",MAX(X184,AVERAGE(INDEX(Ventas!$C$2:$I$5000,MATCH($A184,Ventas!$A$2:$A$5000,0),0))),X184))</f>
        <v>57.5</v>
      </c>
      <c r="AG184" s="60">
        <f t="shared" si="8"/>
        <v>-4002</v>
      </c>
      <c r="AH184" s="63" t="str">
        <f t="shared" si="9"/>
        <v>SOBRESTOCK</v>
      </c>
    </row>
    <row r="185" ht="13.5" customHeight="1">
      <c r="A185" s="64" t="s">
        <v>2635</v>
      </c>
      <c r="B185" s="65" t="s">
        <v>183</v>
      </c>
      <c r="C185" s="65" t="s">
        <v>3712</v>
      </c>
      <c r="D185" s="65" t="s">
        <v>336</v>
      </c>
      <c r="E185" s="51">
        <v>800.0</v>
      </c>
      <c r="F185" s="66"/>
      <c r="G185" s="53"/>
      <c r="H185" s="55"/>
      <c r="I185" s="55"/>
      <c r="J185" s="53"/>
      <c r="K185" s="53"/>
      <c r="L185" s="55"/>
      <c r="M185" s="53"/>
      <c r="N185" s="73"/>
      <c r="O185" s="57" t="str">
        <f t="shared" si="1"/>
        <v>SOBRESTOCK — 17.0 meses de cobertura</v>
      </c>
      <c r="P185" s="58">
        <f t="shared" si="2"/>
        <v>800</v>
      </c>
      <c r="Q185" s="1"/>
      <c r="R185" s="1"/>
      <c r="S185" s="1"/>
      <c r="T185" s="1"/>
      <c r="U185" s="1"/>
      <c r="V185" s="1"/>
      <c r="W185" s="1"/>
      <c r="X185" s="60">
        <f>IFERROR(VLOOKUP($A185,Ventas!$A$2:$L$5000,12,FALSE()),"")</f>
        <v>47</v>
      </c>
      <c r="Y185" s="60">
        <f t="shared" si="3"/>
        <v>188</v>
      </c>
      <c r="Z185" s="61">
        <f t="shared" si="4"/>
        <v>17</v>
      </c>
      <c r="AA185" s="60">
        <f t="shared" si="5"/>
        <v>-612</v>
      </c>
      <c r="AB185" s="62" t="str">
        <f t="shared" si="6"/>
        <v/>
      </c>
      <c r="AC185" s="62" t="str">
        <f t="array" ref="AC185">IF(AH185&lt;&gt;"COMPRAR","",IF(MAX(INDEX(Ventas!$G$2:$G$5000,MATCH($A185,Ventas!$A$2:$A$5000,0)),INDEX(Ventas!$H$2:$H$5000,MATCH($A185,Ventas!$A$2:$A$5000,0)),INDEX(Ventas!$I$2:$I$5000,MATCH($A185,Ventas!$A$2:$A$5000,0)),INDEX(Ventas!$J$2:$J$5000,MATCH($A185,Ventas!$A$2:$A$5000,0)))&gt;0.5*AF185*4,"1 mes = "&amp;TEXT(MAX(INDEX(Ventas!$G$2:$G$5000,MATCH($A185,Ventas!$A$2:$A$5000,0)),INDEX(Ventas!$H$2:$H$5000,MATCH($A185,Ventas!$A$2:$A$5000,0)),INDEX(Ventas!$I$2:$I$5000,MATCH($A185,Ventas!$A$2:$A$5000,0)),INDEX(Ventas!$J$2:$J$5000,MATCH($A185,Ventas!$A$2:$A$5000,0)))/(AF185*4),"0%")&amp;" de 4 meses",""))</f>
        <v/>
      </c>
      <c r="AD185" s="62" t="str">
        <f t="shared" si="7"/>
        <v/>
      </c>
      <c r="AE185" s="62" t="str">
        <f t="array" ref="AE185">IF(X185="","",IF(AND(E185=0,AVERAGE(INDEX(Ventas!$C$2:$I$5000,MATCH($A185,Ventas!$A$2:$A$5000,0),0))&gt;0,INDEX(Ventas!$J$2:$J$5000,MATCH($A185,Ventas!$A$2:$A$5000,0))&lt;0.5*AVERAGE(INDEX(Ventas!$C$2:$I$5000,MATCH($A185,Ventas!$A$2:$A$5000,0),0))),"SÍ — stock 0 y Sep cayó (prom Feb-Ago "&amp;TEXT(AVERAGE(INDEX(Ventas!$C$2:$I$5000,MATCH($A185,Ventas!$A$2:$A$5000,0),0)),"#,##0")&amp;")",""))</f>
        <v/>
      </c>
      <c r="AF185" s="60">
        <f t="array" ref="AF185">IF(X185="","",IF(AE185&lt;&gt;"",MAX(X185,AVERAGE(INDEX(Ventas!$C$2:$I$5000,MATCH($A185,Ventas!$A$2:$A$5000,0),0))),X185))</f>
        <v>47</v>
      </c>
      <c r="AG185" s="60">
        <f t="shared" si="8"/>
        <v>-612</v>
      </c>
      <c r="AH185" s="63" t="str">
        <f t="shared" si="9"/>
        <v>SOBRESTOCK</v>
      </c>
    </row>
    <row r="186" ht="13.5" customHeight="1">
      <c r="A186" s="87"/>
      <c r="B186" s="50" t="s">
        <v>183</v>
      </c>
      <c r="C186" s="50" t="s">
        <v>3713</v>
      </c>
      <c r="D186" s="50" t="s">
        <v>3714</v>
      </c>
      <c r="E186" s="51">
        <v>0.0</v>
      </c>
      <c r="F186" s="52"/>
      <c r="G186" s="53"/>
      <c r="H186" s="55"/>
      <c r="I186" s="55"/>
      <c r="J186" s="53"/>
      <c r="K186" s="53"/>
      <c r="L186" s="55"/>
      <c r="M186" s="53"/>
      <c r="N186" s="74"/>
      <c r="O186" s="57" t="str">
        <f t="shared" si="1"/>
        <v>SIN SKU — cargar código para calcular</v>
      </c>
      <c r="P186" s="58">
        <f t="shared" si="2"/>
        <v>0</v>
      </c>
      <c r="Q186" s="1"/>
      <c r="R186" s="1"/>
      <c r="S186" s="1"/>
      <c r="T186" s="1"/>
      <c r="U186" s="1"/>
      <c r="V186" s="1"/>
      <c r="W186" s="1"/>
      <c r="X186" s="60" t="str">
        <f>IFERROR(VLOOKUP($A186,Ventas!$A$2:$L$5000,12,FALSE()),"")</f>
        <v/>
      </c>
      <c r="Y186" s="60" t="str">
        <f t="shared" si="3"/>
        <v/>
      </c>
      <c r="Z186" s="61" t="str">
        <f t="shared" si="4"/>
        <v/>
      </c>
      <c r="AA186" s="60" t="str">
        <f t="shared" si="5"/>
        <v/>
      </c>
      <c r="AB186" s="62" t="str">
        <f t="shared" si="6"/>
        <v/>
      </c>
      <c r="AC186" s="62" t="str">
        <f t="array" ref="AC186">IF(AH186&lt;&gt;"COMPRAR","",IF(MAX(INDEX(Ventas!$G$2:$G$5000,MATCH($A186,Ventas!$A$2:$A$5000,0)),INDEX(Ventas!$H$2:$H$5000,MATCH($A186,Ventas!$A$2:$A$5000,0)),INDEX(Ventas!$I$2:$I$5000,MATCH($A186,Ventas!$A$2:$A$5000,0)),INDEX(Ventas!$J$2:$J$5000,MATCH($A186,Ventas!$A$2:$A$5000,0)))&gt;0.5*AF186*4,"1 mes = "&amp;TEXT(MAX(INDEX(Ventas!$G$2:$G$5000,MATCH($A186,Ventas!$A$2:$A$5000,0)),INDEX(Ventas!$H$2:$H$5000,MATCH($A186,Ventas!$A$2:$A$5000,0)),INDEX(Ventas!$I$2:$I$5000,MATCH($A186,Ventas!$A$2:$A$5000,0)),INDEX(Ventas!$J$2:$J$5000,MATCH($A186,Ventas!$A$2:$A$5000,0)))/(AF186*4),"0%")&amp;" de 4 meses",""))</f>
        <v/>
      </c>
      <c r="AD186" s="62" t="str">
        <f t="shared" si="7"/>
        <v/>
      </c>
      <c r="AE186" s="62" t="str">
        <f t="array" ref="AE186">IF(X186="","",IF(AND(E186=0,AVERAGE(INDEX(Ventas!$C$2:$I$5000,MATCH($A186,Ventas!$A$2:$A$5000,0),0))&gt;0,INDEX(Ventas!$J$2:$J$5000,MATCH($A186,Ventas!$A$2:$A$5000,0))&lt;0.5*AVERAGE(INDEX(Ventas!$C$2:$I$5000,MATCH($A186,Ventas!$A$2:$A$5000,0),0))),"SÍ — stock 0 y Sep cayó (prom Feb-Ago "&amp;TEXT(AVERAGE(INDEX(Ventas!$C$2:$I$5000,MATCH($A186,Ventas!$A$2:$A$5000,0),0)),"#,##0")&amp;")",""))</f>
        <v/>
      </c>
      <c r="AF186" s="60" t="str">
        <f t="array" ref="AF186">IF(X186="","",IF(AE186&lt;&gt;"",MAX(X186,AVERAGE(INDEX(Ventas!$C$2:$I$5000,MATCH($A186,Ventas!$A$2:$A$5000,0),0))),X186))</f>
        <v/>
      </c>
      <c r="AG186" s="60" t="str">
        <f t="shared" si="8"/>
        <v/>
      </c>
      <c r="AH186" s="63" t="str">
        <f t="shared" si="9"/>
        <v/>
      </c>
    </row>
    <row r="187" ht="13.5" customHeight="1">
      <c r="A187" s="87"/>
      <c r="B187" s="65" t="s">
        <v>183</v>
      </c>
      <c r="C187" s="65" t="s">
        <v>3713</v>
      </c>
      <c r="D187" s="65" t="s">
        <v>1329</v>
      </c>
      <c r="E187" s="51">
        <v>0.0</v>
      </c>
      <c r="F187" s="66"/>
      <c r="G187" s="53"/>
      <c r="H187" s="55"/>
      <c r="I187" s="55"/>
      <c r="J187" s="53"/>
      <c r="K187" s="53"/>
      <c r="L187" s="55"/>
      <c r="M187" s="53"/>
      <c r="N187" s="73"/>
      <c r="O187" s="57" t="str">
        <f t="shared" si="1"/>
        <v>SIN SKU — cargar código para calcular</v>
      </c>
      <c r="P187" s="58">
        <f t="shared" si="2"/>
        <v>0</v>
      </c>
      <c r="Q187" s="1"/>
      <c r="R187" s="1"/>
      <c r="S187" s="1"/>
      <c r="T187" s="1"/>
      <c r="U187" s="1"/>
      <c r="V187" s="1"/>
      <c r="W187" s="1"/>
      <c r="X187" s="60" t="str">
        <f>IFERROR(VLOOKUP($A187,Ventas!$A$2:$L$5000,12,FALSE()),"")</f>
        <v/>
      </c>
      <c r="Y187" s="60" t="str">
        <f t="shared" si="3"/>
        <v/>
      </c>
      <c r="Z187" s="61" t="str">
        <f t="shared" si="4"/>
        <v/>
      </c>
      <c r="AA187" s="60" t="str">
        <f t="shared" si="5"/>
        <v/>
      </c>
      <c r="AB187" s="62" t="str">
        <f t="shared" si="6"/>
        <v/>
      </c>
      <c r="AC187" s="62" t="str">
        <f t="array" ref="AC187">IF(AH187&lt;&gt;"COMPRAR","",IF(MAX(INDEX(Ventas!$G$2:$G$5000,MATCH($A187,Ventas!$A$2:$A$5000,0)),INDEX(Ventas!$H$2:$H$5000,MATCH($A187,Ventas!$A$2:$A$5000,0)),INDEX(Ventas!$I$2:$I$5000,MATCH($A187,Ventas!$A$2:$A$5000,0)),INDEX(Ventas!$J$2:$J$5000,MATCH($A187,Ventas!$A$2:$A$5000,0)))&gt;0.5*AF187*4,"1 mes = "&amp;TEXT(MAX(INDEX(Ventas!$G$2:$G$5000,MATCH($A187,Ventas!$A$2:$A$5000,0)),INDEX(Ventas!$H$2:$H$5000,MATCH($A187,Ventas!$A$2:$A$5000,0)),INDEX(Ventas!$I$2:$I$5000,MATCH($A187,Ventas!$A$2:$A$5000,0)),INDEX(Ventas!$J$2:$J$5000,MATCH($A187,Ventas!$A$2:$A$5000,0)))/(AF187*4),"0%")&amp;" de 4 meses",""))</f>
        <v/>
      </c>
      <c r="AD187" s="62" t="str">
        <f t="shared" si="7"/>
        <v/>
      </c>
      <c r="AE187" s="62" t="str">
        <f t="array" ref="AE187">IF(X187="","",IF(AND(E187=0,AVERAGE(INDEX(Ventas!$C$2:$I$5000,MATCH($A187,Ventas!$A$2:$A$5000,0),0))&gt;0,INDEX(Ventas!$J$2:$J$5000,MATCH($A187,Ventas!$A$2:$A$5000,0))&lt;0.5*AVERAGE(INDEX(Ventas!$C$2:$I$5000,MATCH($A187,Ventas!$A$2:$A$5000,0),0))),"SÍ — stock 0 y Sep cayó (prom Feb-Ago "&amp;TEXT(AVERAGE(INDEX(Ventas!$C$2:$I$5000,MATCH($A187,Ventas!$A$2:$A$5000,0),0)),"#,##0")&amp;")",""))</f>
        <v/>
      </c>
      <c r="AF187" s="60" t="str">
        <f t="array" ref="AF187">IF(X187="","",IF(AE187&lt;&gt;"",MAX(X187,AVERAGE(INDEX(Ventas!$C$2:$I$5000,MATCH($A187,Ventas!$A$2:$A$5000,0),0))),X187))</f>
        <v/>
      </c>
      <c r="AG187" s="60" t="str">
        <f t="shared" si="8"/>
        <v/>
      </c>
      <c r="AH187" s="63" t="str">
        <f t="shared" si="9"/>
        <v/>
      </c>
    </row>
    <row r="188" ht="13.5" customHeight="1">
      <c r="A188" s="49" t="s">
        <v>2213</v>
      </c>
      <c r="B188" s="50" t="s">
        <v>183</v>
      </c>
      <c r="C188" s="50" t="s">
        <v>3715</v>
      </c>
      <c r="D188" s="50" t="s">
        <v>1329</v>
      </c>
      <c r="E188" s="51">
        <v>9562.0</v>
      </c>
      <c r="F188" s="52"/>
      <c r="G188" s="53"/>
      <c r="H188" s="55"/>
      <c r="I188" s="55">
        <v>2000.0</v>
      </c>
      <c r="J188" s="53"/>
      <c r="K188" s="53"/>
      <c r="L188" s="55"/>
      <c r="M188" s="53"/>
      <c r="N188" s="74"/>
      <c r="O188" s="57" t="str">
        <f t="shared" si="1"/>
        <v>PEDIR MENOS — sobran 6,636 m; revisar pedidos sin facturar (2,000 m)</v>
      </c>
      <c r="P188" s="58">
        <f t="shared" si="2"/>
        <v>11562</v>
      </c>
      <c r="Q188" s="1"/>
      <c r="R188" s="1"/>
      <c r="S188" s="1"/>
      <c r="T188" s="1"/>
      <c r="U188" s="1"/>
      <c r="V188" s="1"/>
      <c r="W188" s="1"/>
      <c r="X188" s="60">
        <f>IFERROR(VLOOKUP($A188,Ventas!$A$2:$L$5000,12,FALSE()),"")</f>
        <v>1231.375</v>
      </c>
      <c r="Y188" s="60">
        <f t="shared" si="3"/>
        <v>4926</v>
      </c>
      <c r="Z188" s="61">
        <f t="shared" si="4"/>
        <v>9.4</v>
      </c>
      <c r="AA188" s="60">
        <f t="shared" si="5"/>
        <v>-6636</v>
      </c>
      <c r="AB188" s="62" t="str">
        <f t="shared" si="6"/>
        <v/>
      </c>
      <c r="AC188" s="62" t="str">
        <f t="array" ref="AC188">IF(AH188&lt;&gt;"COMPRAR","",IF(MAX(INDEX(Ventas!$G$2:$G$5000,MATCH($A188,Ventas!$A$2:$A$5000,0)),INDEX(Ventas!$H$2:$H$5000,MATCH($A188,Ventas!$A$2:$A$5000,0)),INDEX(Ventas!$I$2:$I$5000,MATCH($A188,Ventas!$A$2:$A$5000,0)),INDEX(Ventas!$J$2:$J$5000,MATCH($A188,Ventas!$A$2:$A$5000,0)))&gt;0.5*AF188*4,"1 mes = "&amp;TEXT(MAX(INDEX(Ventas!$G$2:$G$5000,MATCH($A188,Ventas!$A$2:$A$5000,0)),INDEX(Ventas!$H$2:$H$5000,MATCH($A188,Ventas!$A$2:$A$5000,0)),INDEX(Ventas!$I$2:$I$5000,MATCH($A188,Ventas!$A$2:$A$5000,0)),INDEX(Ventas!$J$2:$J$5000,MATCH($A188,Ventas!$A$2:$A$5000,0)))/(AF188*4),"0%")&amp;" de 4 meses",""))</f>
        <v/>
      </c>
      <c r="AD188" s="62" t="str">
        <f t="shared" si="7"/>
        <v/>
      </c>
      <c r="AE188" s="62" t="str">
        <f t="array" ref="AE188">IF(X188="","",IF(AND(E188=0,AVERAGE(INDEX(Ventas!$C$2:$I$5000,MATCH($A188,Ventas!$A$2:$A$5000,0),0))&gt;0,INDEX(Ventas!$J$2:$J$5000,MATCH($A188,Ventas!$A$2:$A$5000,0))&lt;0.5*AVERAGE(INDEX(Ventas!$C$2:$I$5000,MATCH($A188,Ventas!$A$2:$A$5000,0),0))),"SÍ — stock 0 y Sep cayó (prom Feb-Ago "&amp;TEXT(AVERAGE(INDEX(Ventas!$C$2:$I$5000,MATCH($A188,Ventas!$A$2:$A$5000,0),0)),"#,##0")&amp;")",""))</f>
        <v/>
      </c>
      <c r="AF188" s="60">
        <f t="array" ref="AF188">IF(X188="","",IF(AE188&lt;&gt;"",MAX(X188,AVERAGE(INDEX(Ventas!$C$2:$I$5000,MATCH($A188,Ventas!$A$2:$A$5000,0),0))),X188))</f>
        <v>1231.375</v>
      </c>
      <c r="AG188" s="60">
        <f t="shared" si="8"/>
        <v>-6636</v>
      </c>
      <c r="AH188" s="63" t="str">
        <f t="shared" si="9"/>
        <v>PEDIR MENOS</v>
      </c>
    </row>
    <row r="189" ht="13.5" customHeight="1">
      <c r="A189" s="64" t="s">
        <v>2215</v>
      </c>
      <c r="B189" s="65" t="s">
        <v>183</v>
      </c>
      <c r="C189" s="65" t="s">
        <v>3715</v>
      </c>
      <c r="D189" s="65" t="s">
        <v>1911</v>
      </c>
      <c r="E189" s="51">
        <v>3911.0</v>
      </c>
      <c r="F189" s="66"/>
      <c r="G189" s="53"/>
      <c r="H189" s="55"/>
      <c r="I189" s="55">
        <v>2000.0</v>
      </c>
      <c r="J189" s="53"/>
      <c r="K189" s="53"/>
      <c r="L189" s="55"/>
      <c r="M189" s="53"/>
      <c r="N189" s="73"/>
      <c r="O189" s="57" t="str">
        <f t="shared" si="1"/>
        <v>PEDIR MENOS — sobran 1,220 m; revisar pedidos sin facturar (2,000 m)</v>
      </c>
      <c r="P189" s="58">
        <f t="shared" si="2"/>
        <v>5911</v>
      </c>
      <c r="Q189" s="1"/>
      <c r="R189" s="1"/>
      <c r="S189" s="1"/>
      <c r="T189" s="1"/>
      <c r="U189" s="1"/>
      <c r="V189" s="1"/>
      <c r="W189" s="1"/>
      <c r="X189" s="60">
        <f>IFERROR(VLOOKUP($A189,Ventas!$A$2:$L$5000,12,FALSE()),"")</f>
        <v>1172.625</v>
      </c>
      <c r="Y189" s="60">
        <f t="shared" si="3"/>
        <v>4691</v>
      </c>
      <c r="Z189" s="61">
        <f t="shared" si="4"/>
        <v>5</v>
      </c>
      <c r="AA189" s="60">
        <f t="shared" si="5"/>
        <v>-1220</v>
      </c>
      <c r="AB189" s="62" t="str">
        <f t="shared" si="6"/>
        <v/>
      </c>
      <c r="AC189" s="62" t="str">
        <f t="array" ref="AC189">IF(AH189&lt;&gt;"COMPRAR","",IF(MAX(INDEX(Ventas!$G$2:$G$5000,MATCH($A189,Ventas!$A$2:$A$5000,0)),INDEX(Ventas!$H$2:$H$5000,MATCH($A189,Ventas!$A$2:$A$5000,0)),INDEX(Ventas!$I$2:$I$5000,MATCH($A189,Ventas!$A$2:$A$5000,0)),INDEX(Ventas!$J$2:$J$5000,MATCH($A189,Ventas!$A$2:$A$5000,0)))&gt;0.5*AF189*4,"1 mes = "&amp;TEXT(MAX(INDEX(Ventas!$G$2:$G$5000,MATCH($A189,Ventas!$A$2:$A$5000,0)),INDEX(Ventas!$H$2:$H$5000,MATCH($A189,Ventas!$A$2:$A$5000,0)),INDEX(Ventas!$I$2:$I$5000,MATCH($A189,Ventas!$A$2:$A$5000,0)),INDEX(Ventas!$J$2:$J$5000,MATCH($A189,Ventas!$A$2:$A$5000,0)))/(AF189*4),"0%")&amp;" de 4 meses",""))</f>
        <v/>
      </c>
      <c r="AD189" s="62" t="str">
        <f t="shared" si="7"/>
        <v/>
      </c>
      <c r="AE189" s="62" t="str">
        <f t="array" ref="AE189">IF(X189="","",IF(AND(E189=0,AVERAGE(INDEX(Ventas!$C$2:$I$5000,MATCH($A189,Ventas!$A$2:$A$5000,0),0))&gt;0,INDEX(Ventas!$J$2:$J$5000,MATCH($A189,Ventas!$A$2:$A$5000,0))&lt;0.5*AVERAGE(INDEX(Ventas!$C$2:$I$5000,MATCH($A189,Ventas!$A$2:$A$5000,0),0))),"SÍ — stock 0 y Sep cayó (prom Feb-Ago "&amp;TEXT(AVERAGE(INDEX(Ventas!$C$2:$I$5000,MATCH($A189,Ventas!$A$2:$A$5000,0),0)),"#,##0")&amp;")",""))</f>
        <v/>
      </c>
      <c r="AF189" s="60">
        <f t="array" ref="AF189">IF(X189="","",IF(AE189&lt;&gt;"",MAX(X189,AVERAGE(INDEX(Ventas!$C$2:$I$5000,MATCH($A189,Ventas!$A$2:$A$5000,0),0))),X189))</f>
        <v>1172.625</v>
      </c>
      <c r="AG189" s="60">
        <f t="shared" si="8"/>
        <v>-1220</v>
      </c>
      <c r="AH189" s="63" t="str">
        <f t="shared" si="9"/>
        <v>PEDIR MENOS</v>
      </c>
    </row>
    <row r="190" ht="13.5" customHeight="1">
      <c r="A190" s="49" t="s">
        <v>2207</v>
      </c>
      <c r="B190" s="50" t="s">
        <v>183</v>
      </c>
      <c r="C190" s="50" t="s">
        <v>3715</v>
      </c>
      <c r="D190" s="50" t="s">
        <v>2949</v>
      </c>
      <c r="E190" s="51">
        <v>0.0</v>
      </c>
      <c r="F190" s="52"/>
      <c r="G190" s="53"/>
      <c r="H190" s="55"/>
      <c r="I190" s="55"/>
      <c r="J190" s="53"/>
      <c r="K190" s="53"/>
      <c r="L190" s="55"/>
      <c r="M190" s="53"/>
      <c r="N190" s="74"/>
      <c r="O190" s="57" t="str">
        <f t="shared" si="1"/>
        <v>COMPRAR — faltan 616 m para 4 meses</v>
      </c>
      <c r="P190" s="58">
        <f t="shared" si="2"/>
        <v>0</v>
      </c>
      <c r="Q190" s="1"/>
      <c r="R190" s="1"/>
      <c r="S190" s="1"/>
      <c r="T190" s="1"/>
      <c r="U190" s="1"/>
      <c r="V190" s="1"/>
      <c r="W190" s="1"/>
      <c r="X190" s="60">
        <f>IFERROR(VLOOKUP($A190,Ventas!$A$2:$L$5000,12,FALSE()),"")</f>
        <v>154</v>
      </c>
      <c r="Y190" s="60">
        <f t="shared" si="3"/>
        <v>616</v>
      </c>
      <c r="Z190" s="61">
        <f t="shared" si="4"/>
        <v>0</v>
      </c>
      <c r="AA190" s="60">
        <f t="shared" si="5"/>
        <v>616</v>
      </c>
      <c r="AB190" s="62" t="str">
        <f t="shared" si="6"/>
        <v/>
      </c>
      <c r="AC190" s="62" t="str">
        <f t="array" ref="AC190">IF(AH190&lt;&gt;"COMPRAR","",IF(MAX(INDEX(Ventas!$G$2:$G$5000,MATCH($A190,Ventas!$A$2:$A$5000,0)),INDEX(Ventas!$H$2:$H$5000,MATCH($A190,Ventas!$A$2:$A$5000,0)),INDEX(Ventas!$I$2:$I$5000,MATCH($A190,Ventas!$A$2:$A$5000,0)),INDEX(Ventas!$J$2:$J$5000,MATCH($A190,Ventas!$A$2:$A$5000,0)))&gt;0.5*AF190*4,"1 mes = "&amp;TEXT(MAX(INDEX(Ventas!$G$2:$G$5000,MATCH($A190,Ventas!$A$2:$A$5000,0)),INDEX(Ventas!$H$2:$H$5000,MATCH($A190,Ventas!$A$2:$A$5000,0)),INDEX(Ventas!$I$2:$I$5000,MATCH($A190,Ventas!$A$2:$A$5000,0)),INDEX(Ventas!$J$2:$J$5000,MATCH($A190,Ventas!$A$2:$A$5000,0)))/(AF190*4),"0%")&amp;" de 4 meses",""))</f>
        <v/>
      </c>
      <c r="AD190" s="62" t="str">
        <f t="shared" si="7"/>
        <v>SÍ — 0 m vs 82 m</v>
      </c>
      <c r="AE190" s="62" t="str">
        <f t="array" ref="AE190">IF(X190="","",IF(AND(E190=0,AVERAGE(INDEX(Ventas!$C$2:$I$5000,MATCH($A190,Ventas!$A$2:$A$5000,0),0))&gt;0,INDEX(Ventas!$J$2:$J$5000,MATCH($A190,Ventas!$A$2:$A$5000,0))&lt;0.5*AVERAGE(INDEX(Ventas!$C$2:$I$5000,MATCH($A190,Ventas!$A$2:$A$5000,0),0))),"SÍ — stock 0 y Sep cayó (prom Feb-Ago "&amp;TEXT(AVERAGE(INDEX(Ventas!$C$2:$I$5000,MATCH($A190,Ventas!$A$2:$A$5000,0),0)),"#,##0")&amp;")",""))</f>
        <v/>
      </c>
      <c r="AF190" s="60">
        <f t="array" ref="AF190">IF(X190="","",IF(AE190&lt;&gt;"",MAX(X190,AVERAGE(INDEX(Ventas!$C$2:$I$5000,MATCH($A190,Ventas!$A$2:$A$5000,0),0))),X190))</f>
        <v>154</v>
      </c>
      <c r="AG190" s="60">
        <f t="shared" si="8"/>
        <v>616</v>
      </c>
      <c r="AH190" s="63" t="str">
        <f t="shared" si="9"/>
        <v>COMPRAR</v>
      </c>
    </row>
    <row r="191" ht="13.5" customHeight="1">
      <c r="A191" s="64" t="s">
        <v>2217</v>
      </c>
      <c r="B191" s="65" t="s">
        <v>183</v>
      </c>
      <c r="C191" s="65" t="s">
        <v>3715</v>
      </c>
      <c r="D191" s="65" t="s">
        <v>524</v>
      </c>
      <c r="E191" s="51">
        <v>0.0</v>
      </c>
      <c r="F191" s="66"/>
      <c r="G191" s="53"/>
      <c r="H191" s="55"/>
      <c r="I191" s="55"/>
      <c r="J191" s="53"/>
      <c r="K191" s="53"/>
      <c r="L191" s="55"/>
      <c r="M191" s="53"/>
      <c r="N191" s="73"/>
      <c r="O191" s="57" t="str">
        <f t="shared" si="1"/>
        <v>COMPRAR — faltan 350 m para 4 meses</v>
      </c>
      <c r="P191" s="58">
        <f t="shared" si="2"/>
        <v>0</v>
      </c>
      <c r="Q191" s="1"/>
      <c r="R191" s="1"/>
      <c r="S191" s="1"/>
      <c r="T191" s="1"/>
      <c r="U191" s="1"/>
      <c r="V191" s="1"/>
      <c r="W191" s="1"/>
      <c r="X191" s="60">
        <f>IFERROR(VLOOKUP($A191,Ventas!$A$2:$L$5000,12,FALSE()),"")</f>
        <v>87.5</v>
      </c>
      <c r="Y191" s="60">
        <f t="shared" si="3"/>
        <v>350</v>
      </c>
      <c r="Z191" s="61">
        <f t="shared" si="4"/>
        <v>0</v>
      </c>
      <c r="AA191" s="60">
        <f t="shared" si="5"/>
        <v>350</v>
      </c>
      <c r="AB191" s="62" t="str">
        <f t="shared" si="6"/>
        <v/>
      </c>
      <c r="AC191" s="62" t="str">
        <f t="array" ref="AC191">IF(AH191&lt;&gt;"COMPRAR","",IF(MAX(INDEX(Ventas!$G$2:$G$5000,MATCH($A191,Ventas!$A$2:$A$5000,0)),INDEX(Ventas!$H$2:$H$5000,MATCH($A191,Ventas!$A$2:$A$5000,0)),INDEX(Ventas!$I$2:$I$5000,MATCH($A191,Ventas!$A$2:$A$5000,0)),INDEX(Ventas!$J$2:$J$5000,MATCH($A191,Ventas!$A$2:$A$5000,0)))&gt;0.5*AF191*4,"1 mes = "&amp;TEXT(MAX(INDEX(Ventas!$G$2:$G$5000,MATCH($A191,Ventas!$A$2:$A$5000,0)),INDEX(Ventas!$H$2:$H$5000,MATCH($A191,Ventas!$A$2:$A$5000,0)),INDEX(Ventas!$I$2:$I$5000,MATCH($A191,Ventas!$A$2:$A$5000,0)),INDEX(Ventas!$J$2:$J$5000,MATCH($A191,Ventas!$A$2:$A$5000,0)))/(AF191*4),"0%")&amp;" de 4 meses",""))</f>
        <v/>
      </c>
      <c r="AD191" s="62" t="str">
        <f t="shared" si="7"/>
        <v>SÍ — 0 m vs 46 m</v>
      </c>
      <c r="AE191" s="62" t="str">
        <f t="array" ref="AE191">IF(X191="","",IF(AND(E191=0,AVERAGE(INDEX(Ventas!$C$2:$I$5000,MATCH($A191,Ventas!$A$2:$A$5000,0),0))&gt;0,INDEX(Ventas!$J$2:$J$5000,MATCH($A191,Ventas!$A$2:$A$5000,0))&lt;0.5*AVERAGE(INDEX(Ventas!$C$2:$I$5000,MATCH($A191,Ventas!$A$2:$A$5000,0),0))),"SÍ — stock 0 y Sep cayó (prom Feb-Ago "&amp;TEXT(AVERAGE(INDEX(Ventas!$C$2:$I$5000,MATCH($A191,Ventas!$A$2:$A$5000,0),0)),"#,##0")&amp;")",""))</f>
        <v>SÍ — stock 0 y Sep cayó (prom Feb-Ago 371)</v>
      </c>
      <c r="AF191" s="60">
        <f t="array" ref="AF191">IF(X191="","",IF(AE191&lt;&gt;"",MAX(X191,AVERAGE(INDEX(Ventas!$C$2:$I$5000,MATCH($A191,Ventas!$A$2:$A$5000,0),0))),X191))</f>
        <v>370.8571429</v>
      </c>
      <c r="AG191" s="60">
        <f t="shared" si="8"/>
        <v>1483</v>
      </c>
      <c r="AH191" s="63" t="str">
        <f t="shared" si="9"/>
        <v>COMPRAR</v>
      </c>
    </row>
    <row r="192" ht="13.5" customHeight="1">
      <c r="A192" s="49" t="s">
        <v>2209</v>
      </c>
      <c r="B192" s="50" t="s">
        <v>183</v>
      </c>
      <c r="C192" s="50" t="s">
        <v>3715</v>
      </c>
      <c r="D192" s="50" t="s">
        <v>1009</v>
      </c>
      <c r="E192" s="51">
        <v>5540.0</v>
      </c>
      <c r="F192" s="52"/>
      <c r="G192" s="53"/>
      <c r="H192" s="55"/>
      <c r="I192" s="55">
        <v>3500.0</v>
      </c>
      <c r="J192" s="53"/>
      <c r="K192" s="53"/>
      <c r="L192" s="55"/>
      <c r="M192" s="53"/>
      <c r="N192" s="74"/>
      <c r="O192" s="57" t="str">
        <f t="shared" si="1"/>
        <v>PEDIR MENOS — sobran 5,472 m; revisar pedidos sin facturar (3,500 m)</v>
      </c>
      <c r="P192" s="58">
        <f t="shared" si="2"/>
        <v>9040</v>
      </c>
      <c r="Q192" s="1"/>
      <c r="R192" s="1"/>
      <c r="S192" s="1"/>
      <c r="T192" s="1"/>
      <c r="U192" s="1"/>
      <c r="V192" s="1"/>
      <c r="W192" s="1"/>
      <c r="X192" s="60">
        <f>IFERROR(VLOOKUP($A192,Ventas!$A$2:$L$5000,12,FALSE()),"")</f>
        <v>891.875</v>
      </c>
      <c r="Y192" s="60">
        <f t="shared" si="3"/>
        <v>3568</v>
      </c>
      <c r="Z192" s="61">
        <f t="shared" si="4"/>
        <v>10.1</v>
      </c>
      <c r="AA192" s="60">
        <f t="shared" si="5"/>
        <v>-5472</v>
      </c>
      <c r="AB192" s="62" t="str">
        <f t="shared" si="6"/>
        <v/>
      </c>
      <c r="AC192" s="62" t="str">
        <f t="array" ref="AC192">IF(AH192&lt;&gt;"COMPRAR","",IF(MAX(INDEX(Ventas!$G$2:$G$5000,MATCH($A192,Ventas!$A$2:$A$5000,0)),INDEX(Ventas!$H$2:$H$5000,MATCH($A192,Ventas!$A$2:$A$5000,0)),INDEX(Ventas!$I$2:$I$5000,MATCH($A192,Ventas!$A$2:$A$5000,0)),INDEX(Ventas!$J$2:$J$5000,MATCH($A192,Ventas!$A$2:$A$5000,0)))&gt;0.5*AF192*4,"1 mes = "&amp;TEXT(MAX(INDEX(Ventas!$G$2:$G$5000,MATCH($A192,Ventas!$A$2:$A$5000,0)),INDEX(Ventas!$H$2:$H$5000,MATCH($A192,Ventas!$A$2:$A$5000,0)),INDEX(Ventas!$I$2:$I$5000,MATCH($A192,Ventas!$A$2:$A$5000,0)),INDEX(Ventas!$J$2:$J$5000,MATCH($A192,Ventas!$A$2:$A$5000,0)))/(AF192*4),"0%")&amp;" de 4 meses",""))</f>
        <v/>
      </c>
      <c r="AD192" s="62" t="str">
        <f t="shared" si="7"/>
        <v/>
      </c>
      <c r="AE192" s="62" t="str">
        <f t="array" ref="AE192">IF(X192="","",IF(AND(E192=0,AVERAGE(INDEX(Ventas!$C$2:$I$5000,MATCH($A192,Ventas!$A$2:$A$5000,0),0))&gt;0,INDEX(Ventas!$J$2:$J$5000,MATCH($A192,Ventas!$A$2:$A$5000,0))&lt;0.5*AVERAGE(INDEX(Ventas!$C$2:$I$5000,MATCH($A192,Ventas!$A$2:$A$5000,0),0))),"SÍ — stock 0 y Sep cayó (prom Feb-Ago "&amp;TEXT(AVERAGE(INDEX(Ventas!$C$2:$I$5000,MATCH($A192,Ventas!$A$2:$A$5000,0),0)),"#,##0")&amp;")",""))</f>
        <v/>
      </c>
      <c r="AF192" s="60">
        <f t="array" ref="AF192">IF(X192="","",IF(AE192&lt;&gt;"",MAX(X192,AVERAGE(INDEX(Ventas!$C$2:$I$5000,MATCH($A192,Ventas!$A$2:$A$5000,0),0))),X192))</f>
        <v>891.875</v>
      </c>
      <c r="AG192" s="60">
        <f t="shared" si="8"/>
        <v>-5472</v>
      </c>
      <c r="AH192" s="63" t="str">
        <f t="shared" si="9"/>
        <v>PEDIR MENOS</v>
      </c>
    </row>
    <row r="193" ht="13.5" customHeight="1">
      <c r="A193" s="64" t="s">
        <v>2211</v>
      </c>
      <c r="B193" s="65" t="s">
        <v>183</v>
      </c>
      <c r="C193" s="65" t="s">
        <v>3715</v>
      </c>
      <c r="D193" s="65" t="s">
        <v>3716</v>
      </c>
      <c r="E193" s="51">
        <v>4548.0</v>
      </c>
      <c r="F193" s="66"/>
      <c r="G193" s="53"/>
      <c r="H193" s="55"/>
      <c r="I193" s="55"/>
      <c r="J193" s="53"/>
      <c r="K193" s="53"/>
      <c r="L193" s="55"/>
      <c r="M193" s="53"/>
      <c r="N193" s="73"/>
      <c r="O193" s="57" t="str">
        <f t="shared" si="1"/>
        <v>SOBRESTOCK — 30.3 meses de cobertura</v>
      </c>
      <c r="P193" s="58">
        <f t="shared" si="2"/>
        <v>4548</v>
      </c>
      <c r="Q193" s="1"/>
      <c r="R193" s="1"/>
      <c r="S193" s="1"/>
      <c r="T193" s="1"/>
      <c r="U193" s="1"/>
      <c r="V193" s="1"/>
      <c r="W193" s="1"/>
      <c r="X193" s="60">
        <f>IFERROR(VLOOKUP($A193,Ventas!$A$2:$L$5000,12,FALSE()),"")</f>
        <v>150</v>
      </c>
      <c r="Y193" s="60">
        <f t="shared" si="3"/>
        <v>600</v>
      </c>
      <c r="Z193" s="61">
        <f t="shared" si="4"/>
        <v>30.3</v>
      </c>
      <c r="AA193" s="60">
        <f t="shared" si="5"/>
        <v>-3948</v>
      </c>
      <c r="AB193" s="62" t="str">
        <f t="shared" si="6"/>
        <v/>
      </c>
      <c r="AC193" s="62" t="str">
        <f t="array" ref="AC193">IF(AH193&lt;&gt;"COMPRAR","",IF(MAX(INDEX(Ventas!$G$2:$G$5000,MATCH($A193,Ventas!$A$2:$A$5000,0)),INDEX(Ventas!$H$2:$H$5000,MATCH($A193,Ventas!$A$2:$A$5000,0)),INDEX(Ventas!$I$2:$I$5000,MATCH($A193,Ventas!$A$2:$A$5000,0)),INDEX(Ventas!$J$2:$J$5000,MATCH($A193,Ventas!$A$2:$A$5000,0)))&gt;0.5*AF193*4,"1 mes = "&amp;TEXT(MAX(INDEX(Ventas!$G$2:$G$5000,MATCH($A193,Ventas!$A$2:$A$5000,0)),INDEX(Ventas!$H$2:$H$5000,MATCH($A193,Ventas!$A$2:$A$5000,0)),INDEX(Ventas!$I$2:$I$5000,MATCH($A193,Ventas!$A$2:$A$5000,0)),INDEX(Ventas!$J$2:$J$5000,MATCH($A193,Ventas!$A$2:$A$5000,0)))/(AF193*4),"0%")&amp;" de 4 meses",""))</f>
        <v/>
      </c>
      <c r="AD193" s="62" t="str">
        <f t="shared" si="7"/>
        <v/>
      </c>
      <c r="AE193" s="62" t="str">
        <f t="array" ref="AE193">IF(X193="","",IF(AND(E193=0,AVERAGE(INDEX(Ventas!$C$2:$I$5000,MATCH($A193,Ventas!$A$2:$A$5000,0),0))&gt;0,INDEX(Ventas!$J$2:$J$5000,MATCH($A193,Ventas!$A$2:$A$5000,0))&lt;0.5*AVERAGE(INDEX(Ventas!$C$2:$I$5000,MATCH($A193,Ventas!$A$2:$A$5000,0),0))),"SÍ — stock 0 y Sep cayó (prom Feb-Ago "&amp;TEXT(AVERAGE(INDEX(Ventas!$C$2:$I$5000,MATCH($A193,Ventas!$A$2:$A$5000,0),0)),"#,##0")&amp;")",""))</f>
        <v/>
      </c>
      <c r="AF193" s="60">
        <f t="array" ref="AF193">IF(X193="","",IF(AE193&lt;&gt;"",MAX(X193,AVERAGE(INDEX(Ventas!$C$2:$I$5000,MATCH($A193,Ventas!$A$2:$A$5000,0),0))),X193))</f>
        <v>150</v>
      </c>
      <c r="AG193" s="60">
        <f t="shared" si="8"/>
        <v>-3948</v>
      </c>
      <c r="AH193" s="63" t="str">
        <f t="shared" si="9"/>
        <v>SOBRESTOCK</v>
      </c>
    </row>
    <row r="194" ht="13.5" customHeight="1">
      <c r="A194" s="49" t="s">
        <v>2223</v>
      </c>
      <c r="B194" s="50" t="s">
        <v>183</v>
      </c>
      <c r="C194" s="50" t="s">
        <v>3717</v>
      </c>
      <c r="D194" s="50" t="s">
        <v>1329</v>
      </c>
      <c r="E194" s="51">
        <v>3923.0</v>
      </c>
      <c r="F194" s="52"/>
      <c r="G194" s="53"/>
      <c r="H194" s="55"/>
      <c r="I194" s="55"/>
      <c r="J194" s="53"/>
      <c r="K194" s="53"/>
      <c r="L194" s="55"/>
      <c r="M194" s="53"/>
      <c r="N194" s="74"/>
      <c r="O194" s="57" t="str">
        <f t="shared" si="1"/>
        <v>SOBRESTOCK — 10.2 meses de cobertura</v>
      </c>
      <c r="P194" s="58">
        <f t="shared" si="2"/>
        <v>3923</v>
      </c>
      <c r="Q194" s="1"/>
      <c r="R194" s="1"/>
      <c r="S194" s="1"/>
      <c r="T194" s="1"/>
      <c r="U194" s="1"/>
      <c r="V194" s="1"/>
      <c r="W194" s="1"/>
      <c r="X194" s="60">
        <f>IFERROR(VLOOKUP($A194,Ventas!$A$2:$L$5000,12,FALSE()),"")</f>
        <v>384.25</v>
      </c>
      <c r="Y194" s="60">
        <f t="shared" si="3"/>
        <v>1537</v>
      </c>
      <c r="Z194" s="61">
        <f t="shared" si="4"/>
        <v>10.2</v>
      </c>
      <c r="AA194" s="60">
        <f t="shared" si="5"/>
        <v>-2386</v>
      </c>
      <c r="AB194" s="62" t="str">
        <f t="shared" si="6"/>
        <v/>
      </c>
      <c r="AC194" s="62" t="str">
        <f t="array" ref="AC194">IF(AH194&lt;&gt;"COMPRAR","",IF(MAX(INDEX(Ventas!$G$2:$G$5000,MATCH($A194,Ventas!$A$2:$A$5000,0)),INDEX(Ventas!$H$2:$H$5000,MATCH($A194,Ventas!$A$2:$A$5000,0)),INDEX(Ventas!$I$2:$I$5000,MATCH($A194,Ventas!$A$2:$A$5000,0)),INDEX(Ventas!$J$2:$J$5000,MATCH($A194,Ventas!$A$2:$A$5000,0)))&gt;0.5*AF194*4,"1 mes = "&amp;TEXT(MAX(INDEX(Ventas!$G$2:$G$5000,MATCH($A194,Ventas!$A$2:$A$5000,0)),INDEX(Ventas!$H$2:$H$5000,MATCH($A194,Ventas!$A$2:$A$5000,0)),INDEX(Ventas!$I$2:$I$5000,MATCH($A194,Ventas!$A$2:$A$5000,0)),INDEX(Ventas!$J$2:$J$5000,MATCH($A194,Ventas!$A$2:$A$5000,0)))/(AF194*4),"0%")&amp;" de 4 meses",""))</f>
        <v/>
      </c>
      <c r="AD194" s="62" t="str">
        <f t="shared" si="7"/>
        <v/>
      </c>
      <c r="AE194" s="62" t="str">
        <f t="array" ref="AE194">IF(X194="","",IF(AND(E194=0,AVERAGE(INDEX(Ventas!$C$2:$I$5000,MATCH($A194,Ventas!$A$2:$A$5000,0),0))&gt;0,INDEX(Ventas!$J$2:$J$5000,MATCH($A194,Ventas!$A$2:$A$5000,0))&lt;0.5*AVERAGE(INDEX(Ventas!$C$2:$I$5000,MATCH($A194,Ventas!$A$2:$A$5000,0),0))),"SÍ — stock 0 y Sep cayó (prom Feb-Ago "&amp;TEXT(AVERAGE(INDEX(Ventas!$C$2:$I$5000,MATCH($A194,Ventas!$A$2:$A$5000,0),0)),"#,##0")&amp;")",""))</f>
        <v/>
      </c>
      <c r="AF194" s="60">
        <f t="array" ref="AF194">IF(X194="","",IF(AE194&lt;&gt;"",MAX(X194,AVERAGE(INDEX(Ventas!$C$2:$I$5000,MATCH($A194,Ventas!$A$2:$A$5000,0),0))),X194))</f>
        <v>384.25</v>
      </c>
      <c r="AG194" s="60">
        <f t="shared" si="8"/>
        <v>-2386</v>
      </c>
      <c r="AH194" s="63" t="str">
        <f t="shared" si="9"/>
        <v>SOBRESTOCK</v>
      </c>
    </row>
    <row r="195" ht="13.5" customHeight="1">
      <c r="A195" s="64" t="s">
        <v>2225</v>
      </c>
      <c r="B195" s="65" t="s">
        <v>183</v>
      </c>
      <c r="C195" s="65" t="s">
        <v>3717</v>
      </c>
      <c r="D195" s="65" t="s">
        <v>3650</v>
      </c>
      <c r="E195" s="51">
        <v>0.0</v>
      </c>
      <c r="F195" s="66"/>
      <c r="G195" s="53"/>
      <c r="H195" s="55"/>
      <c r="I195" s="55"/>
      <c r="J195" s="53"/>
      <c r="K195" s="53"/>
      <c r="L195" s="55">
        <v>800.0</v>
      </c>
      <c r="M195" s="53"/>
      <c r="N195" s="73"/>
      <c r="O195" s="57" t="str">
        <f t="shared" si="1"/>
        <v>COMPRAR — faltan 190 m para 4 meses (ya contando pedidos)</v>
      </c>
      <c r="P195" s="58">
        <f t="shared" si="2"/>
        <v>800</v>
      </c>
      <c r="Q195" s="1"/>
      <c r="R195" s="1"/>
      <c r="S195" s="1"/>
      <c r="T195" s="1"/>
      <c r="U195" s="1"/>
      <c r="V195" s="1"/>
      <c r="W195" s="1"/>
      <c r="X195" s="60">
        <f>IFERROR(VLOOKUP($A195,Ventas!$A$2:$L$5000,12,FALSE()),"")</f>
        <v>247.5</v>
      </c>
      <c r="Y195" s="60">
        <f t="shared" si="3"/>
        <v>990</v>
      </c>
      <c r="Z195" s="61">
        <f t="shared" si="4"/>
        <v>3.2</v>
      </c>
      <c r="AA195" s="60">
        <f t="shared" si="5"/>
        <v>190</v>
      </c>
      <c r="AB195" s="62" t="str">
        <f t="shared" si="6"/>
        <v/>
      </c>
      <c r="AC195" s="62" t="str">
        <f t="array" ref="AC195">IF(AH195&lt;&gt;"COMPRAR","",IF(MAX(INDEX(Ventas!$G$2:$G$5000,MATCH($A195,Ventas!$A$2:$A$5000,0)),INDEX(Ventas!$H$2:$H$5000,MATCH($A195,Ventas!$A$2:$A$5000,0)),INDEX(Ventas!$I$2:$I$5000,MATCH($A195,Ventas!$A$2:$A$5000,0)),INDEX(Ventas!$J$2:$J$5000,MATCH($A195,Ventas!$A$2:$A$5000,0)))&gt;0.5*AF195*4,"1 mes = "&amp;TEXT(MAX(INDEX(Ventas!$G$2:$G$5000,MATCH($A195,Ventas!$A$2:$A$5000,0)),INDEX(Ventas!$H$2:$H$5000,MATCH($A195,Ventas!$A$2:$A$5000,0)),INDEX(Ventas!$I$2:$I$5000,MATCH($A195,Ventas!$A$2:$A$5000,0)),INDEX(Ventas!$J$2:$J$5000,MATCH($A195,Ventas!$A$2:$A$5000,0)))/(AF195*4),"0%")&amp;" de 4 meses",""))</f>
        <v>1 mes = 57% de 4 meses</v>
      </c>
      <c r="AD195" s="62" t="str">
        <f t="shared" si="7"/>
        <v>SÍ — 0 m vs 131 m</v>
      </c>
      <c r="AE195" s="62" t="str">
        <f t="array" ref="AE195">IF(X195="","",IF(AND(E195=0,AVERAGE(INDEX(Ventas!$C$2:$I$5000,MATCH($A195,Ventas!$A$2:$A$5000,0),0))&gt;0,INDEX(Ventas!$J$2:$J$5000,MATCH($A195,Ventas!$A$2:$A$5000,0))&lt;0.5*AVERAGE(INDEX(Ventas!$C$2:$I$5000,MATCH($A195,Ventas!$A$2:$A$5000,0),0))),"SÍ — stock 0 y Sep cayó (prom Feb-Ago "&amp;TEXT(AVERAGE(INDEX(Ventas!$C$2:$I$5000,MATCH($A195,Ventas!$A$2:$A$5000,0),0)),"#,##0")&amp;")",""))</f>
        <v>SÍ — stock 0 y Sep cayó (prom Feb-Ago 323)</v>
      </c>
      <c r="AF195" s="60">
        <f t="array" ref="AF195">IF(X195="","",IF(AE195&lt;&gt;"",MAX(X195,AVERAGE(INDEX(Ventas!$C$2:$I$5000,MATCH($A195,Ventas!$A$2:$A$5000,0),0))),X195))</f>
        <v>323.2857143</v>
      </c>
      <c r="AG195" s="60">
        <f t="shared" si="8"/>
        <v>493</v>
      </c>
      <c r="AH195" s="63" t="str">
        <f t="shared" si="9"/>
        <v>COMPRAR</v>
      </c>
    </row>
    <row r="196" ht="13.5" customHeight="1">
      <c r="A196" s="49" t="s">
        <v>2219</v>
      </c>
      <c r="B196" s="50" t="s">
        <v>183</v>
      </c>
      <c r="C196" s="50" t="s">
        <v>3717</v>
      </c>
      <c r="D196" s="50" t="s">
        <v>3652</v>
      </c>
      <c r="E196" s="51">
        <v>0.0</v>
      </c>
      <c r="F196" s="52"/>
      <c r="G196" s="53"/>
      <c r="H196" s="55"/>
      <c r="I196" s="55"/>
      <c r="J196" s="53"/>
      <c r="K196" s="53"/>
      <c r="L196" s="55">
        <v>800.0</v>
      </c>
      <c r="M196" s="53"/>
      <c r="N196" s="74"/>
      <c r="O196" s="57" t="str">
        <f t="shared" si="1"/>
        <v>PEDIR MENOS — sobran 403 m; revisar pedidos sin facturar (800 m)</v>
      </c>
      <c r="P196" s="58">
        <f t="shared" si="2"/>
        <v>800</v>
      </c>
      <c r="Q196" s="1"/>
      <c r="R196" s="1"/>
      <c r="S196" s="1"/>
      <c r="T196" s="1"/>
      <c r="U196" s="1"/>
      <c r="V196" s="1"/>
      <c r="W196" s="1"/>
      <c r="X196" s="60">
        <f>IFERROR(VLOOKUP($A196,Ventas!$A$2:$L$5000,12,FALSE()),"")</f>
        <v>99.25</v>
      </c>
      <c r="Y196" s="60">
        <f t="shared" si="3"/>
        <v>397</v>
      </c>
      <c r="Z196" s="61">
        <f t="shared" si="4"/>
        <v>8.1</v>
      </c>
      <c r="AA196" s="60">
        <f t="shared" si="5"/>
        <v>-403</v>
      </c>
      <c r="AB196" s="62" t="str">
        <f t="shared" si="6"/>
        <v/>
      </c>
      <c r="AC196" s="62" t="str">
        <f t="array" ref="AC196">IF(AH196&lt;&gt;"COMPRAR","",IF(MAX(INDEX(Ventas!$G$2:$G$5000,MATCH($A196,Ventas!$A$2:$A$5000,0)),INDEX(Ventas!$H$2:$H$5000,MATCH($A196,Ventas!$A$2:$A$5000,0)),INDEX(Ventas!$I$2:$I$5000,MATCH($A196,Ventas!$A$2:$A$5000,0)),INDEX(Ventas!$J$2:$J$5000,MATCH($A196,Ventas!$A$2:$A$5000,0)))&gt;0.5*AF196*4,"1 mes = "&amp;TEXT(MAX(INDEX(Ventas!$G$2:$G$5000,MATCH($A196,Ventas!$A$2:$A$5000,0)),INDEX(Ventas!$H$2:$H$5000,MATCH($A196,Ventas!$A$2:$A$5000,0)),INDEX(Ventas!$I$2:$I$5000,MATCH($A196,Ventas!$A$2:$A$5000,0)),INDEX(Ventas!$J$2:$J$5000,MATCH($A196,Ventas!$A$2:$A$5000,0)))/(AF196*4),"0%")&amp;" de 4 meses",""))</f>
        <v/>
      </c>
      <c r="AD196" s="62" t="str">
        <f t="shared" si="7"/>
        <v>SÍ — 0 m vs 53 m</v>
      </c>
      <c r="AE196" s="62" t="str">
        <f t="array" ref="AE196">IF(X196="","",IF(AND(E196=0,AVERAGE(INDEX(Ventas!$C$2:$I$5000,MATCH($A196,Ventas!$A$2:$A$5000,0),0))&gt;0,INDEX(Ventas!$J$2:$J$5000,MATCH($A196,Ventas!$A$2:$A$5000,0))&lt;0.5*AVERAGE(INDEX(Ventas!$C$2:$I$5000,MATCH($A196,Ventas!$A$2:$A$5000,0),0))),"SÍ — stock 0 y Sep cayó (prom Feb-Ago "&amp;TEXT(AVERAGE(INDEX(Ventas!$C$2:$I$5000,MATCH($A196,Ventas!$A$2:$A$5000,0),0)),"#,##0")&amp;")",""))</f>
        <v>SÍ — stock 0 y Sep cayó (prom Feb-Ago 221)</v>
      </c>
      <c r="AF196" s="60">
        <f t="array" ref="AF196">IF(X196="","",IF(AE196&lt;&gt;"",MAX(X196,AVERAGE(INDEX(Ventas!$C$2:$I$5000,MATCH($A196,Ventas!$A$2:$A$5000,0),0))),X196))</f>
        <v>221.4285714</v>
      </c>
      <c r="AG196" s="60">
        <f t="shared" si="8"/>
        <v>86</v>
      </c>
      <c r="AH196" s="63" t="str">
        <f t="shared" si="9"/>
        <v>OK</v>
      </c>
    </row>
    <row r="197" ht="13.5" customHeight="1">
      <c r="A197" s="64" t="s">
        <v>2221</v>
      </c>
      <c r="B197" s="65" t="s">
        <v>183</v>
      </c>
      <c r="C197" s="65" t="s">
        <v>3717</v>
      </c>
      <c r="D197" s="65" t="s">
        <v>3657</v>
      </c>
      <c r="E197" s="51">
        <v>238.0</v>
      </c>
      <c r="F197" s="66"/>
      <c r="G197" s="53"/>
      <c r="H197" s="55"/>
      <c r="I197" s="55"/>
      <c r="J197" s="53"/>
      <c r="K197" s="53"/>
      <c r="L197" s="55">
        <v>800.0</v>
      </c>
      <c r="M197" s="53"/>
      <c r="N197" s="73"/>
      <c r="O197" s="57" t="str">
        <f t="shared" si="1"/>
        <v>COMPRAR — faltan 1,355 m para 4 meses (ya contando pedidos)</v>
      </c>
      <c r="P197" s="58">
        <f t="shared" si="2"/>
        <v>1038</v>
      </c>
      <c r="Q197" s="1"/>
      <c r="R197" s="1"/>
      <c r="S197" s="1"/>
      <c r="T197" s="1"/>
      <c r="U197" s="1"/>
      <c r="V197" s="1"/>
      <c r="W197" s="1"/>
      <c r="X197" s="60">
        <f>IFERROR(VLOOKUP($A197,Ventas!$A$2:$L$5000,12,FALSE()),"")</f>
        <v>598.25</v>
      </c>
      <c r="Y197" s="60">
        <f t="shared" si="3"/>
        <v>2393</v>
      </c>
      <c r="Z197" s="61">
        <f t="shared" si="4"/>
        <v>1.7</v>
      </c>
      <c r="AA197" s="60">
        <f t="shared" si="5"/>
        <v>1355</v>
      </c>
      <c r="AB197" s="62" t="str">
        <f t="shared" si="6"/>
        <v/>
      </c>
      <c r="AC197" s="62" t="str">
        <f t="array" ref="AC197">IF(AH197&lt;&gt;"COMPRAR","",IF(MAX(INDEX(Ventas!$G$2:$G$5000,MATCH($A197,Ventas!$A$2:$A$5000,0)),INDEX(Ventas!$H$2:$H$5000,MATCH($A197,Ventas!$A$2:$A$5000,0)),INDEX(Ventas!$I$2:$I$5000,MATCH($A197,Ventas!$A$2:$A$5000,0)),INDEX(Ventas!$J$2:$J$5000,MATCH($A197,Ventas!$A$2:$A$5000,0)))&gt;0.5*AF197*4,"1 mes = "&amp;TEXT(MAX(INDEX(Ventas!$G$2:$G$5000,MATCH($A197,Ventas!$A$2:$A$5000,0)),INDEX(Ventas!$H$2:$H$5000,MATCH($A197,Ventas!$A$2:$A$5000,0)),INDEX(Ventas!$I$2:$I$5000,MATCH($A197,Ventas!$A$2:$A$5000,0)),INDEX(Ventas!$J$2:$J$5000,MATCH($A197,Ventas!$A$2:$A$5000,0)))/(AF197*4),"0%")&amp;" de 4 meses",""))</f>
        <v/>
      </c>
      <c r="AD197" s="62" t="str">
        <f t="shared" si="7"/>
        <v>SÍ — 238 m vs 317 m</v>
      </c>
      <c r="AE197" s="62" t="str">
        <f t="array" ref="AE197">IF(X197="","",IF(AND(E197=0,AVERAGE(INDEX(Ventas!$C$2:$I$5000,MATCH($A197,Ventas!$A$2:$A$5000,0),0))&gt;0,INDEX(Ventas!$J$2:$J$5000,MATCH($A197,Ventas!$A$2:$A$5000,0))&lt;0.5*AVERAGE(INDEX(Ventas!$C$2:$I$5000,MATCH($A197,Ventas!$A$2:$A$5000,0),0))),"SÍ — stock 0 y Sep cayó (prom Feb-Ago "&amp;TEXT(AVERAGE(INDEX(Ventas!$C$2:$I$5000,MATCH($A197,Ventas!$A$2:$A$5000,0),0)),"#,##0")&amp;")",""))</f>
        <v/>
      </c>
      <c r="AF197" s="60">
        <f t="array" ref="AF197">IF(X197="","",IF(AE197&lt;&gt;"",MAX(X197,AVERAGE(INDEX(Ventas!$C$2:$I$5000,MATCH($A197,Ventas!$A$2:$A$5000,0),0))),X197))</f>
        <v>598.25</v>
      </c>
      <c r="AG197" s="60">
        <f t="shared" si="8"/>
        <v>1355</v>
      </c>
      <c r="AH197" s="63" t="str">
        <f t="shared" si="9"/>
        <v>COMPRAR</v>
      </c>
    </row>
    <row r="198" ht="13.5" customHeight="1">
      <c r="A198" s="49" t="s">
        <v>1772</v>
      </c>
      <c r="B198" s="50" t="s">
        <v>183</v>
      </c>
      <c r="C198" s="50" t="s">
        <v>3718</v>
      </c>
      <c r="D198" s="50" t="s">
        <v>1329</v>
      </c>
      <c r="E198" s="51">
        <v>600.0</v>
      </c>
      <c r="F198" s="52"/>
      <c r="G198" s="53"/>
      <c r="H198" s="55">
        <v>1880.0</v>
      </c>
      <c r="I198" s="55">
        <v>2220.0</v>
      </c>
      <c r="J198" s="53"/>
      <c r="K198" s="53"/>
      <c r="L198" s="55">
        <v>3500.0</v>
      </c>
      <c r="M198" s="53"/>
      <c r="N198" s="74"/>
      <c r="O198" s="57" t="str">
        <f t="shared" si="1"/>
        <v>PEDIR MENOS — sobran 2,344 m; revisar pedidos sin facturar (5,720 m)</v>
      </c>
      <c r="P198" s="58">
        <f t="shared" si="2"/>
        <v>8200</v>
      </c>
      <c r="Q198" s="59">
        <v>0.0</v>
      </c>
      <c r="R198" s="59">
        <v>0.0</v>
      </c>
      <c r="S198" s="1"/>
      <c r="T198" s="1"/>
      <c r="U198" s="1"/>
      <c r="V198" s="1"/>
      <c r="W198" s="1"/>
      <c r="X198" s="60">
        <f>IFERROR(VLOOKUP($A198,Ventas!$A$2:$L$5000,12,FALSE()),"")</f>
        <v>1464</v>
      </c>
      <c r="Y198" s="60">
        <f t="shared" si="3"/>
        <v>5856</v>
      </c>
      <c r="Z198" s="61">
        <f t="shared" si="4"/>
        <v>5.6</v>
      </c>
      <c r="AA198" s="60">
        <f t="shared" si="5"/>
        <v>-2344</v>
      </c>
      <c r="AB198" s="62" t="str">
        <f t="shared" si="6"/>
        <v/>
      </c>
      <c r="AC198" s="62" t="str">
        <f t="array" ref="AC198">IF(AH198&lt;&gt;"COMPRAR","",IF(MAX(INDEX(Ventas!$G$2:$G$5000,MATCH($A198,Ventas!$A$2:$A$5000,0)),INDEX(Ventas!$H$2:$H$5000,MATCH($A198,Ventas!$A$2:$A$5000,0)),INDEX(Ventas!$I$2:$I$5000,MATCH($A198,Ventas!$A$2:$A$5000,0)),INDEX(Ventas!$J$2:$J$5000,MATCH($A198,Ventas!$A$2:$A$5000,0)))&gt;0.5*AF198*4,"1 mes = "&amp;TEXT(MAX(INDEX(Ventas!$G$2:$G$5000,MATCH($A198,Ventas!$A$2:$A$5000,0)),INDEX(Ventas!$H$2:$H$5000,MATCH($A198,Ventas!$A$2:$A$5000,0)),INDEX(Ventas!$I$2:$I$5000,MATCH($A198,Ventas!$A$2:$A$5000,0)),INDEX(Ventas!$J$2:$J$5000,MATCH($A198,Ventas!$A$2:$A$5000,0)))/(AF198*4),"0%")&amp;" de 4 meses",""))</f>
        <v/>
      </c>
      <c r="AD198" s="62" t="str">
        <f t="shared" si="7"/>
        <v>SÍ — 600 m vs 776 m</v>
      </c>
      <c r="AE198" s="62" t="str">
        <f t="array" ref="AE198">IF(X198="","",IF(AND(E198=0,AVERAGE(INDEX(Ventas!$C$2:$I$5000,MATCH($A198,Ventas!$A$2:$A$5000,0),0))&gt;0,INDEX(Ventas!$J$2:$J$5000,MATCH($A198,Ventas!$A$2:$A$5000,0))&lt;0.5*AVERAGE(INDEX(Ventas!$C$2:$I$5000,MATCH($A198,Ventas!$A$2:$A$5000,0),0))),"SÍ — stock 0 y Sep cayó (prom Feb-Ago "&amp;TEXT(AVERAGE(INDEX(Ventas!$C$2:$I$5000,MATCH($A198,Ventas!$A$2:$A$5000,0),0)),"#,##0")&amp;")",""))</f>
        <v/>
      </c>
      <c r="AF198" s="60">
        <f t="array" ref="AF198">IF(X198="","",IF(AE198&lt;&gt;"",MAX(X198,AVERAGE(INDEX(Ventas!$C$2:$I$5000,MATCH($A198,Ventas!$A$2:$A$5000,0),0))),X198))</f>
        <v>1464</v>
      </c>
      <c r="AG198" s="60">
        <f t="shared" si="8"/>
        <v>-2344</v>
      </c>
      <c r="AH198" s="63" t="str">
        <f t="shared" si="9"/>
        <v>PEDIR MENOS</v>
      </c>
    </row>
    <row r="199" ht="13.5" customHeight="1">
      <c r="A199" s="64" t="s">
        <v>1706</v>
      </c>
      <c r="B199" s="65" t="s">
        <v>183</v>
      </c>
      <c r="C199" s="65" t="s">
        <v>3718</v>
      </c>
      <c r="D199" s="65" t="s">
        <v>336</v>
      </c>
      <c r="E199" s="51">
        <v>1582.0</v>
      </c>
      <c r="F199" s="66"/>
      <c r="G199" s="53"/>
      <c r="H199" s="55"/>
      <c r="I199" s="55"/>
      <c r="J199" s="53"/>
      <c r="K199" s="53"/>
      <c r="L199" s="55"/>
      <c r="M199" s="53"/>
      <c r="N199" s="73"/>
      <c r="O199" s="57" t="str">
        <f t="shared" si="1"/>
        <v>SOBRESTOCK — 9.3 meses de cobertura</v>
      </c>
      <c r="P199" s="58">
        <f t="shared" si="2"/>
        <v>1582</v>
      </c>
      <c r="Q199" s="59">
        <v>1661.0</v>
      </c>
      <c r="R199" s="80">
        <v>598.0</v>
      </c>
      <c r="S199" s="1"/>
      <c r="T199" s="1"/>
      <c r="U199" s="1"/>
      <c r="V199" s="1"/>
      <c r="W199" s="1"/>
      <c r="X199" s="60">
        <f>IFERROR(VLOOKUP($A199,Ventas!$A$2:$L$5000,12,FALSE()),"")</f>
        <v>170</v>
      </c>
      <c r="Y199" s="60">
        <f t="shared" si="3"/>
        <v>680</v>
      </c>
      <c r="Z199" s="61">
        <f t="shared" si="4"/>
        <v>9.3</v>
      </c>
      <c r="AA199" s="60">
        <f t="shared" si="5"/>
        <v>-902</v>
      </c>
      <c r="AB199" s="62" t="str">
        <f t="shared" si="6"/>
        <v/>
      </c>
      <c r="AC199" s="62" t="str">
        <f t="array" ref="AC199">IF(AH199&lt;&gt;"COMPRAR","",IF(MAX(INDEX(Ventas!$G$2:$G$5000,MATCH($A199,Ventas!$A$2:$A$5000,0)),INDEX(Ventas!$H$2:$H$5000,MATCH($A199,Ventas!$A$2:$A$5000,0)),INDEX(Ventas!$I$2:$I$5000,MATCH($A199,Ventas!$A$2:$A$5000,0)),INDEX(Ventas!$J$2:$J$5000,MATCH($A199,Ventas!$A$2:$A$5000,0)))&gt;0.5*AF199*4,"1 mes = "&amp;TEXT(MAX(INDEX(Ventas!$G$2:$G$5000,MATCH($A199,Ventas!$A$2:$A$5000,0)),INDEX(Ventas!$H$2:$H$5000,MATCH($A199,Ventas!$A$2:$A$5000,0)),INDEX(Ventas!$I$2:$I$5000,MATCH($A199,Ventas!$A$2:$A$5000,0)),INDEX(Ventas!$J$2:$J$5000,MATCH($A199,Ventas!$A$2:$A$5000,0)))/(AF199*4),"0%")&amp;" de 4 meses",""))</f>
        <v/>
      </c>
      <c r="AD199" s="62" t="str">
        <f t="shared" si="7"/>
        <v/>
      </c>
      <c r="AE199" s="62" t="str">
        <f t="array" ref="AE199">IF(X199="","",IF(AND(E199=0,AVERAGE(INDEX(Ventas!$C$2:$I$5000,MATCH($A199,Ventas!$A$2:$A$5000,0),0))&gt;0,INDEX(Ventas!$J$2:$J$5000,MATCH($A199,Ventas!$A$2:$A$5000,0))&lt;0.5*AVERAGE(INDEX(Ventas!$C$2:$I$5000,MATCH($A199,Ventas!$A$2:$A$5000,0),0))),"SÍ — stock 0 y Sep cayó (prom Feb-Ago "&amp;TEXT(AVERAGE(INDEX(Ventas!$C$2:$I$5000,MATCH($A199,Ventas!$A$2:$A$5000,0),0)),"#,##0")&amp;")",""))</f>
        <v/>
      </c>
      <c r="AF199" s="60">
        <f t="array" ref="AF199">IF(X199="","",IF(AE199&lt;&gt;"",MAX(X199,AVERAGE(INDEX(Ventas!$C$2:$I$5000,MATCH($A199,Ventas!$A$2:$A$5000,0),0))),X199))</f>
        <v>170</v>
      </c>
      <c r="AG199" s="60">
        <f t="shared" si="8"/>
        <v>-902</v>
      </c>
      <c r="AH199" s="63" t="str">
        <f t="shared" si="9"/>
        <v>SOBRESTOCK</v>
      </c>
    </row>
    <row r="200" ht="13.5" customHeight="1">
      <c r="A200" s="49" t="s">
        <v>1776</v>
      </c>
      <c r="B200" s="50" t="s">
        <v>183</v>
      </c>
      <c r="C200" s="50" t="s">
        <v>3718</v>
      </c>
      <c r="D200" s="50" t="s">
        <v>3719</v>
      </c>
      <c r="E200" s="51">
        <v>40.0</v>
      </c>
      <c r="F200" s="52"/>
      <c r="G200" s="53"/>
      <c r="H200" s="55"/>
      <c r="I200" s="55"/>
      <c r="J200" s="53"/>
      <c r="K200" s="53"/>
      <c r="L200" s="55"/>
      <c r="M200" s="53"/>
      <c r="N200" s="74"/>
      <c r="O200" s="57" t="str">
        <f t="shared" si="1"/>
        <v>SIN VENTAS Jun-Sep — no comprar (40 m disponibles)</v>
      </c>
      <c r="P200" s="58">
        <f t="shared" si="2"/>
        <v>40</v>
      </c>
      <c r="Q200" s="59">
        <v>0.0</v>
      </c>
      <c r="R200" s="80">
        <v>45.0</v>
      </c>
      <c r="S200" s="1"/>
      <c r="T200" s="1"/>
      <c r="U200" s="1"/>
      <c r="V200" s="1"/>
      <c r="W200" s="1"/>
      <c r="X200" s="60">
        <f>IFERROR(VLOOKUP($A200,Ventas!$A$2:$L$5000,12,FALSE()),"")</f>
        <v>0</v>
      </c>
      <c r="Y200" s="60">
        <f t="shared" si="3"/>
        <v>0</v>
      </c>
      <c r="Z200" s="61" t="str">
        <f t="shared" si="4"/>
        <v/>
      </c>
      <c r="AA200" s="60">
        <f t="shared" si="5"/>
        <v>-40</v>
      </c>
      <c r="AB200" s="62" t="str">
        <f t="shared" si="6"/>
        <v/>
      </c>
      <c r="AC200" s="62" t="str">
        <f t="array" ref="AC200">IF(AH200&lt;&gt;"COMPRAR","",IF(MAX(INDEX(Ventas!$G$2:$G$5000,MATCH($A200,Ventas!$A$2:$A$5000,0)),INDEX(Ventas!$H$2:$H$5000,MATCH($A200,Ventas!$A$2:$A$5000,0)),INDEX(Ventas!$I$2:$I$5000,MATCH($A200,Ventas!$A$2:$A$5000,0)),INDEX(Ventas!$J$2:$J$5000,MATCH($A200,Ventas!$A$2:$A$5000,0)))&gt;0.5*AF200*4,"1 mes = "&amp;TEXT(MAX(INDEX(Ventas!$G$2:$G$5000,MATCH($A200,Ventas!$A$2:$A$5000,0)),INDEX(Ventas!$H$2:$H$5000,MATCH($A200,Ventas!$A$2:$A$5000,0)),INDEX(Ventas!$I$2:$I$5000,MATCH($A200,Ventas!$A$2:$A$5000,0)),INDEX(Ventas!$J$2:$J$5000,MATCH($A200,Ventas!$A$2:$A$5000,0)))/(AF200*4),"0%")&amp;" de 4 meses",""))</f>
        <v/>
      </c>
      <c r="AD200" s="62" t="str">
        <f t="shared" si="7"/>
        <v/>
      </c>
      <c r="AE200" s="62" t="str">
        <f t="array" ref="AE200">IF(X200="","",IF(AND(E200=0,AVERAGE(INDEX(Ventas!$C$2:$I$5000,MATCH($A200,Ventas!$A$2:$A$5000,0),0))&gt;0,INDEX(Ventas!$J$2:$J$5000,MATCH($A200,Ventas!$A$2:$A$5000,0))&lt;0.5*AVERAGE(INDEX(Ventas!$C$2:$I$5000,MATCH($A200,Ventas!$A$2:$A$5000,0),0))),"SÍ — stock 0 y Sep cayó (prom Feb-Ago "&amp;TEXT(AVERAGE(INDEX(Ventas!$C$2:$I$5000,MATCH($A200,Ventas!$A$2:$A$5000,0),0)),"#,##0")&amp;")",""))</f>
        <v/>
      </c>
      <c r="AF200" s="60">
        <f t="array" ref="AF200">IF(X200="","",IF(AE200&lt;&gt;"",MAX(X200,AVERAGE(INDEX(Ventas!$C$2:$I$5000,MATCH($A200,Ventas!$A$2:$A$5000,0),0))),X200))</f>
        <v>0</v>
      </c>
      <c r="AG200" s="60">
        <f t="shared" si="8"/>
        <v>-40</v>
      </c>
      <c r="AH200" s="63" t="str">
        <f t="shared" si="9"/>
        <v>SIN VENTAS</v>
      </c>
    </row>
    <row r="201" ht="13.5" customHeight="1">
      <c r="A201" s="64" t="s">
        <v>1744</v>
      </c>
      <c r="B201" s="65" t="s">
        <v>183</v>
      </c>
      <c r="C201" s="65" t="s">
        <v>3718</v>
      </c>
      <c r="D201" s="65" t="s">
        <v>3720</v>
      </c>
      <c r="E201" s="51">
        <v>230.0</v>
      </c>
      <c r="F201" s="66"/>
      <c r="G201" s="53"/>
      <c r="H201" s="55"/>
      <c r="I201" s="55"/>
      <c r="J201" s="53"/>
      <c r="K201" s="53"/>
      <c r="L201" s="55"/>
      <c r="M201" s="53"/>
      <c r="N201" s="73"/>
      <c r="O201" s="57" t="str">
        <f t="shared" si="1"/>
        <v>SOBRESTOCK — 9.4 meses de cobertura</v>
      </c>
      <c r="P201" s="58">
        <f t="shared" si="2"/>
        <v>230</v>
      </c>
      <c r="Q201" s="80">
        <v>0.0</v>
      </c>
      <c r="R201" s="78">
        <v>328.0</v>
      </c>
      <c r="S201" s="1"/>
      <c r="T201" s="1"/>
      <c r="U201" s="1"/>
      <c r="V201" s="1"/>
      <c r="W201" s="1"/>
      <c r="X201" s="60">
        <f>IFERROR(VLOOKUP($A201,Ventas!$A$2:$L$5000,12,FALSE()),"")</f>
        <v>24.5</v>
      </c>
      <c r="Y201" s="60">
        <f t="shared" si="3"/>
        <v>98</v>
      </c>
      <c r="Z201" s="61">
        <f t="shared" si="4"/>
        <v>9.4</v>
      </c>
      <c r="AA201" s="60">
        <f t="shared" si="5"/>
        <v>-132</v>
      </c>
      <c r="AB201" s="62" t="str">
        <f t="shared" si="6"/>
        <v/>
      </c>
      <c r="AC201" s="62" t="str">
        <f t="array" ref="AC201">IF(AH201&lt;&gt;"COMPRAR","",IF(MAX(INDEX(Ventas!$G$2:$G$5000,MATCH($A201,Ventas!$A$2:$A$5000,0)),INDEX(Ventas!$H$2:$H$5000,MATCH($A201,Ventas!$A$2:$A$5000,0)),INDEX(Ventas!$I$2:$I$5000,MATCH($A201,Ventas!$A$2:$A$5000,0)),INDEX(Ventas!$J$2:$J$5000,MATCH($A201,Ventas!$A$2:$A$5000,0)))&gt;0.5*AF201*4,"1 mes = "&amp;TEXT(MAX(INDEX(Ventas!$G$2:$G$5000,MATCH($A201,Ventas!$A$2:$A$5000,0)),INDEX(Ventas!$H$2:$H$5000,MATCH($A201,Ventas!$A$2:$A$5000,0)),INDEX(Ventas!$I$2:$I$5000,MATCH($A201,Ventas!$A$2:$A$5000,0)),INDEX(Ventas!$J$2:$J$5000,MATCH($A201,Ventas!$A$2:$A$5000,0)))/(AF201*4),"0%")&amp;" de 4 meses",""))</f>
        <v/>
      </c>
      <c r="AD201" s="62" t="str">
        <f t="shared" si="7"/>
        <v/>
      </c>
      <c r="AE201" s="62" t="str">
        <f t="array" ref="AE201">IF(X201="","",IF(AND(E201=0,AVERAGE(INDEX(Ventas!$C$2:$I$5000,MATCH($A201,Ventas!$A$2:$A$5000,0),0))&gt;0,INDEX(Ventas!$J$2:$J$5000,MATCH($A201,Ventas!$A$2:$A$5000,0))&lt;0.5*AVERAGE(INDEX(Ventas!$C$2:$I$5000,MATCH($A201,Ventas!$A$2:$A$5000,0),0))),"SÍ — stock 0 y Sep cayó (prom Feb-Ago "&amp;TEXT(AVERAGE(INDEX(Ventas!$C$2:$I$5000,MATCH($A201,Ventas!$A$2:$A$5000,0),0)),"#,##0")&amp;")",""))</f>
        <v/>
      </c>
      <c r="AF201" s="60">
        <f t="array" ref="AF201">IF(X201="","",IF(AE201&lt;&gt;"",MAX(X201,AVERAGE(INDEX(Ventas!$C$2:$I$5000,MATCH($A201,Ventas!$A$2:$A$5000,0),0))),X201))</f>
        <v>24.5</v>
      </c>
      <c r="AG201" s="60">
        <f t="shared" si="8"/>
        <v>-132</v>
      </c>
      <c r="AH201" s="63" t="str">
        <f t="shared" si="9"/>
        <v>SOBRESTOCK</v>
      </c>
    </row>
    <row r="202" ht="13.5" customHeight="1">
      <c r="A202" s="49" t="s">
        <v>1780</v>
      </c>
      <c r="B202" s="50" t="s">
        <v>183</v>
      </c>
      <c r="C202" s="50" t="s">
        <v>3718</v>
      </c>
      <c r="D202" s="50" t="s">
        <v>459</v>
      </c>
      <c r="E202" s="51">
        <v>0.0</v>
      </c>
      <c r="F202" s="52"/>
      <c r="G202" s="53"/>
      <c r="H202" s="55"/>
      <c r="I202" s="55"/>
      <c r="J202" s="53"/>
      <c r="K202" s="53"/>
      <c r="L202" s="55"/>
      <c r="M202" s="53"/>
      <c r="N202" s="74"/>
      <c r="O202" s="57" t="str">
        <f t="shared" si="1"/>
        <v>SIN VENTAS Jun-Sep — no comprar</v>
      </c>
      <c r="P202" s="58">
        <f t="shared" si="2"/>
        <v>0</v>
      </c>
      <c r="Q202" s="80">
        <v>0.0</v>
      </c>
      <c r="R202" s="78">
        <v>123.0</v>
      </c>
      <c r="S202" s="1"/>
      <c r="T202" s="1"/>
      <c r="U202" s="1"/>
      <c r="V202" s="1"/>
      <c r="W202" s="1"/>
      <c r="X202" s="60">
        <f>IFERROR(VLOOKUP($A202,Ventas!$A$2:$L$5000,12,FALSE()),"")</f>
        <v>0</v>
      </c>
      <c r="Y202" s="60">
        <f t="shared" si="3"/>
        <v>0</v>
      </c>
      <c r="Z202" s="61" t="str">
        <f t="shared" si="4"/>
        <v/>
      </c>
      <c r="AA202" s="60">
        <f t="shared" si="5"/>
        <v>0</v>
      </c>
      <c r="AB202" s="62" t="str">
        <f t="shared" si="6"/>
        <v/>
      </c>
      <c r="AC202" s="62" t="str">
        <f t="array" ref="AC202">IF(AH202&lt;&gt;"COMPRAR","",IF(MAX(INDEX(Ventas!$G$2:$G$5000,MATCH($A202,Ventas!$A$2:$A$5000,0)),INDEX(Ventas!$H$2:$H$5000,MATCH($A202,Ventas!$A$2:$A$5000,0)),INDEX(Ventas!$I$2:$I$5000,MATCH($A202,Ventas!$A$2:$A$5000,0)),INDEX(Ventas!$J$2:$J$5000,MATCH($A202,Ventas!$A$2:$A$5000,0)))&gt;0.5*AF202*4,"1 mes = "&amp;TEXT(MAX(INDEX(Ventas!$G$2:$G$5000,MATCH($A202,Ventas!$A$2:$A$5000,0)),INDEX(Ventas!$H$2:$H$5000,MATCH($A202,Ventas!$A$2:$A$5000,0)),INDEX(Ventas!$I$2:$I$5000,MATCH($A202,Ventas!$A$2:$A$5000,0)),INDEX(Ventas!$J$2:$J$5000,MATCH($A202,Ventas!$A$2:$A$5000,0)))/(AF202*4),"0%")&amp;" de 4 meses",""))</f>
        <v/>
      </c>
      <c r="AD202" s="62" t="str">
        <f t="shared" si="7"/>
        <v/>
      </c>
      <c r="AE202" s="62" t="str">
        <f t="array" ref="AE202">IF(X202="","",IF(AND(E202=0,AVERAGE(INDEX(Ventas!$C$2:$I$5000,MATCH($A202,Ventas!$A$2:$A$5000,0),0))&gt;0,INDEX(Ventas!$J$2:$J$5000,MATCH($A202,Ventas!$A$2:$A$5000,0))&lt;0.5*AVERAGE(INDEX(Ventas!$C$2:$I$5000,MATCH($A202,Ventas!$A$2:$A$5000,0),0))),"SÍ — stock 0 y Sep cayó (prom Feb-Ago "&amp;TEXT(AVERAGE(INDEX(Ventas!$C$2:$I$5000,MATCH($A202,Ventas!$A$2:$A$5000,0),0)),"#,##0")&amp;")",""))</f>
        <v/>
      </c>
      <c r="AF202" s="60">
        <f t="array" ref="AF202">IF(X202="","",IF(AE202&lt;&gt;"",MAX(X202,AVERAGE(INDEX(Ventas!$C$2:$I$5000,MATCH($A202,Ventas!$A$2:$A$5000,0),0))),X202))</f>
        <v>0</v>
      </c>
      <c r="AG202" s="60">
        <f t="shared" si="8"/>
        <v>0</v>
      </c>
      <c r="AH202" s="63" t="str">
        <f t="shared" si="9"/>
        <v>SIN VENTAS</v>
      </c>
    </row>
    <row r="203" ht="13.5" customHeight="1">
      <c r="A203" s="64" t="s">
        <v>3721</v>
      </c>
      <c r="B203" s="65" t="s">
        <v>183</v>
      </c>
      <c r="C203" s="65" t="s">
        <v>3718</v>
      </c>
      <c r="D203" s="65" t="s">
        <v>3722</v>
      </c>
      <c r="E203" s="51">
        <v>793.0</v>
      </c>
      <c r="F203" s="66"/>
      <c r="G203" s="53"/>
      <c r="H203" s="55"/>
      <c r="I203" s="55"/>
      <c r="J203" s="53"/>
      <c r="K203" s="53"/>
      <c r="L203" s="55"/>
      <c r="M203" s="53"/>
      <c r="N203" s="73"/>
      <c r="O203" s="57" t="str">
        <f t="shared" si="1"/>
        <v>SIN HISTORIAL DE VENTAS — artículo nuevo o código distinto en Ventas</v>
      </c>
      <c r="P203" s="58">
        <f t="shared" si="2"/>
        <v>793</v>
      </c>
      <c r="Q203" s="1"/>
      <c r="R203" s="78">
        <v>793.0</v>
      </c>
      <c r="S203" s="1"/>
      <c r="T203" s="1"/>
      <c r="U203" s="1"/>
      <c r="V203" s="1"/>
      <c r="W203" s="1"/>
      <c r="X203" s="60" t="str">
        <f>IFERROR(VLOOKUP($A203,Ventas!$A$2:$L$5000,12,FALSE()),"")</f>
        <v/>
      </c>
      <c r="Y203" s="60" t="str">
        <f t="shared" si="3"/>
        <v/>
      </c>
      <c r="Z203" s="61" t="str">
        <f t="shared" si="4"/>
        <v/>
      </c>
      <c r="AA203" s="60" t="str">
        <f t="shared" si="5"/>
        <v/>
      </c>
      <c r="AB203" s="62" t="str">
        <f t="shared" si="6"/>
        <v/>
      </c>
      <c r="AC203" s="62" t="str">
        <f t="array" ref="AC203">IF(AH203&lt;&gt;"COMPRAR","",IF(MAX(INDEX(Ventas!$G$2:$G$5000,MATCH($A203,Ventas!$A$2:$A$5000,0)),INDEX(Ventas!$H$2:$H$5000,MATCH($A203,Ventas!$A$2:$A$5000,0)),INDEX(Ventas!$I$2:$I$5000,MATCH($A203,Ventas!$A$2:$A$5000,0)),INDEX(Ventas!$J$2:$J$5000,MATCH($A203,Ventas!$A$2:$A$5000,0)))&gt;0.5*AF203*4,"1 mes = "&amp;TEXT(MAX(INDEX(Ventas!$G$2:$G$5000,MATCH($A203,Ventas!$A$2:$A$5000,0)),INDEX(Ventas!$H$2:$H$5000,MATCH($A203,Ventas!$A$2:$A$5000,0)),INDEX(Ventas!$I$2:$I$5000,MATCH($A203,Ventas!$A$2:$A$5000,0)),INDEX(Ventas!$J$2:$J$5000,MATCH($A203,Ventas!$A$2:$A$5000,0)))/(AF203*4),"0%")&amp;" de 4 meses",""))</f>
        <v/>
      </c>
      <c r="AD203" s="62" t="str">
        <f t="shared" si="7"/>
        <v/>
      </c>
      <c r="AE203" s="62" t="str">
        <f t="array" ref="AE203">IF(X203="","",IF(AND(E203=0,AVERAGE(INDEX(Ventas!$C$2:$I$5000,MATCH($A203,Ventas!$A$2:$A$5000,0),0))&gt;0,INDEX(Ventas!$J$2:$J$5000,MATCH($A203,Ventas!$A$2:$A$5000,0))&lt;0.5*AVERAGE(INDEX(Ventas!$C$2:$I$5000,MATCH($A203,Ventas!$A$2:$A$5000,0),0))),"SÍ — stock 0 y Sep cayó (prom Feb-Ago "&amp;TEXT(AVERAGE(INDEX(Ventas!$C$2:$I$5000,MATCH($A203,Ventas!$A$2:$A$5000,0),0)),"#,##0")&amp;")",""))</f>
        <v/>
      </c>
      <c r="AF203" s="60" t="str">
        <f t="array" ref="AF203">IF(X203="","",IF(AE203&lt;&gt;"",MAX(X203,AVERAGE(INDEX(Ventas!$C$2:$I$5000,MATCH($A203,Ventas!$A$2:$A$5000,0),0))),X203))</f>
        <v/>
      </c>
      <c r="AG203" s="60" t="str">
        <f t="shared" si="8"/>
        <v/>
      </c>
      <c r="AH203" s="63" t="str">
        <f t="shared" si="9"/>
        <v>SIN HISTORIAL</v>
      </c>
    </row>
    <row r="204" ht="13.5" customHeight="1">
      <c r="A204" s="49" t="s">
        <v>1708</v>
      </c>
      <c r="B204" s="50" t="s">
        <v>183</v>
      </c>
      <c r="C204" s="50" t="s">
        <v>3718</v>
      </c>
      <c r="D204" s="50" t="s">
        <v>3635</v>
      </c>
      <c r="E204" s="51">
        <v>1440.0</v>
      </c>
      <c r="F204" s="52"/>
      <c r="G204" s="53"/>
      <c r="H204" s="39"/>
      <c r="I204" s="55"/>
      <c r="J204" s="53"/>
      <c r="K204" s="53"/>
      <c r="L204" s="55"/>
      <c r="M204" s="53"/>
      <c r="N204" s="74"/>
      <c r="O204" s="57" t="str">
        <f t="shared" si="1"/>
        <v>SOBRESTOCK — 27.3 meses de cobertura</v>
      </c>
      <c r="P204" s="58">
        <f t="shared" si="2"/>
        <v>1440</v>
      </c>
      <c r="Q204" s="1"/>
      <c r="R204" s="1"/>
      <c r="S204" s="1"/>
      <c r="T204" s="1"/>
      <c r="U204" s="1"/>
      <c r="V204" s="1"/>
      <c r="W204" s="1"/>
      <c r="X204" s="60">
        <f>IFERROR(VLOOKUP($A204,Ventas!$A$2:$L$5000,12,FALSE()),"")</f>
        <v>52.75</v>
      </c>
      <c r="Y204" s="60">
        <f t="shared" si="3"/>
        <v>211</v>
      </c>
      <c r="Z204" s="61">
        <f t="shared" si="4"/>
        <v>27.3</v>
      </c>
      <c r="AA204" s="60">
        <f t="shared" si="5"/>
        <v>-1229</v>
      </c>
      <c r="AB204" s="62" t="str">
        <f t="shared" si="6"/>
        <v/>
      </c>
      <c r="AC204" s="62" t="str">
        <f t="array" ref="AC204">IF(AH204&lt;&gt;"COMPRAR","",IF(MAX(INDEX(Ventas!$G$2:$G$5000,MATCH($A204,Ventas!$A$2:$A$5000,0)),INDEX(Ventas!$H$2:$H$5000,MATCH($A204,Ventas!$A$2:$A$5000,0)),INDEX(Ventas!$I$2:$I$5000,MATCH($A204,Ventas!$A$2:$A$5000,0)),INDEX(Ventas!$J$2:$J$5000,MATCH($A204,Ventas!$A$2:$A$5000,0)))&gt;0.5*AF204*4,"1 mes = "&amp;TEXT(MAX(INDEX(Ventas!$G$2:$G$5000,MATCH($A204,Ventas!$A$2:$A$5000,0)),INDEX(Ventas!$H$2:$H$5000,MATCH($A204,Ventas!$A$2:$A$5000,0)),INDEX(Ventas!$I$2:$I$5000,MATCH($A204,Ventas!$A$2:$A$5000,0)),INDEX(Ventas!$J$2:$J$5000,MATCH($A204,Ventas!$A$2:$A$5000,0)))/(AF204*4),"0%")&amp;" de 4 meses",""))</f>
        <v/>
      </c>
      <c r="AD204" s="62" t="str">
        <f t="shared" si="7"/>
        <v/>
      </c>
      <c r="AE204" s="62" t="str">
        <f t="array" ref="AE204">IF(X204="","",IF(AND(E204=0,AVERAGE(INDEX(Ventas!$C$2:$I$5000,MATCH($A204,Ventas!$A$2:$A$5000,0),0))&gt;0,INDEX(Ventas!$J$2:$J$5000,MATCH($A204,Ventas!$A$2:$A$5000,0))&lt;0.5*AVERAGE(INDEX(Ventas!$C$2:$I$5000,MATCH($A204,Ventas!$A$2:$A$5000,0),0))),"SÍ — stock 0 y Sep cayó (prom Feb-Ago "&amp;TEXT(AVERAGE(INDEX(Ventas!$C$2:$I$5000,MATCH($A204,Ventas!$A$2:$A$5000,0),0)),"#,##0")&amp;")",""))</f>
        <v/>
      </c>
      <c r="AF204" s="60">
        <f t="array" ref="AF204">IF(X204="","",IF(AE204&lt;&gt;"",MAX(X204,AVERAGE(INDEX(Ventas!$C$2:$I$5000,MATCH($A204,Ventas!$A$2:$A$5000,0),0))),X204))</f>
        <v>52.75</v>
      </c>
      <c r="AG204" s="60">
        <f t="shared" si="8"/>
        <v>-1229</v>
      </c>
      <c r="AH204" s="63" t="str">
        <f t="shared" si="9"/>
        <v>SOBRESTOCK</v>
      </c>
    </row>
    <row r="205" ht="13.5" customHeight="1">
      <c r="A205" s="64" t="s">
        <v>1752</v>
      </c>
      <c r="B205" s="65" t="s">
        <v>183</v>
      </c>
      <c r="C205" s="65" t="s">
        <v>3718</v>
      </c>
      <c r="D205" s="65" t="s">
        <v>694</v>
      </c>
      <c r="E205" s="51">
        <v>2750.0</v>
      </c>
      <c r="F205" s="66"/>
      <c r="G205" s="53"/>
      <c r="H205" s="55"/>
      <c r="I205" s="55"/>
      <c r="J205" s="53"/>
      <c r="K205" s="53"/>
      <c r="L205" s="55"/>
      <c r="M205" s="53"/>
      <c r="N205" s="73"/>
      <c r="O205" s="57" t="str">
        <f t="shared" si="1"/>
        <v>SOBRESTOCK — 55.0 meses de cobertura</v>
      </c>
      <c r="P205" s="58">
        <f t="shared" si="2"/>
        <v>2750</v>
      </c>
      <c r="Q205" s="59">
        <v>2990.0</v>
      </c>
      <c r="R205" s="80">
        <v>393.0</v>
      </c>
      <c r="S205" s="1"/>
      <c r="T205" s="1"/>
      <c r="U205" s="1"/>
      <c r="V205" s="1"/>
      <c r="W205" s="1"/>
      <c r="X205" s="60">
        <f>IFERROR(VLOOKUP($A205,Ventas!$A$2:$L$5000,12,FALSE()),"")</f>
        <v>50</v>
      </c>
      <c r="Y205" s="60">
        <f t="shared" si="3"/>
        <v>200</v>
      </c>
      <c r="Z205" s="61">
        <f t="shared" si="4"/>
        <v>55</v>
      </c>
      <c r="AA205" s="60">
        <f t="shared" si="5"/>
        <v>-2550</v>
      </c>
      <c r="AB205" s="62" t="str">
        <f t="shared" si="6"/>
        <v/>
      </c>
      <c r="AC205" s="62" t="str">
        <f t="array" ref="AC205">IF(AH205&lt;&gt;"COMPRAR","",IF(MAX(INDEX(Ventas!$G$2:$G$5000,MATCH($A205,Ventas!$A$2:$A$5000,0)),INDEX(Ventas!$H$2:$H$5000,MATCH($A205,Ventas!$A$2:$A$5000,0)),INDEX(Ventas!$I$2:$I$5000,MATCH($A205,Ventas!$A$2:$A$5000,0)),INDEX(Ventas!$J$2:$J$5000,MATCH($A205,Ventas!$A$2:$A$5000,0)))&gt;0.5*AF205*4,"1 mes = "&amp;TEXT(MAX(INDEX(Ventas!$G$2:$G$5000,MATCH($A205,Ventas!$A$2:$A$5000,0)),INDEX(Ventas!$H$2:$H$5000,MATCH($A205,Ventas!$A$2:$A$5000,0)),INDEX(Ventas!$I$2:$I$5000,MATCH($A205,Ventas!$A$2:$A$5000,0)),INDEX(Ventas!$J$2:$J$5000,MATCH($A205,Ventas!$A$2:$A$5000,0)))/(AF205*4),"0%")&amp;" de 4 meses",""))</f>
        <v/>
      </c>
      <c r="AD205" s="62" t="str">
        <f t="shared" si="7"/>
        <v/>
      </c>
      <c r="AE205" s="62" t="str">
        <f t="array" ref="AE205">IF(X205="","",IF(AND(E205=0,AVERAGE(INDEX(Ventas!$C$2:$I$5000,MATCH($A205,Ventas!$A$2:$A$5000,0),0))&gt;0,INDEX(Ventas!$J$2:$J$5000,MATCH($A205,Ventas!$A$2:$A$5000,0))&lt;0.5*AVERAGE(INDEX(Ventas!$C$2:$I$5000,MATCH($A205,Ventas!$A$2:$A$5000,0),0))),"SÍ — stock 0 y Sep cayó (prom Feb-Ago "&amp;TEXT(AVERAGE(INDEX(Ventas!$C$2:$I$5000,MATCH($A205,Ventas!$A$2:$A$5000,0),0)),"#,##0")&amp;")",""))</f>
        <v/>
      </c>
      <c r="AF205" s="60">
        <f t="array" ref="AF205">IF(X205="","",IF(AE205&lt;&gt;"",MAX(X205,AVERAGE(INDEX(Ventas!$C$2:$I$5000,MATCH($A205,Ventas!$A$2:$A$5000,0),0))),X205))</f>
        <v>50</v>
      </c>
      <c r="AG205" s="60">
        <f t="shared" si="8"/>
        <v>-2550</v>
      </c>
      <c r="AH205" s="63" t="str">
        <f t="shared" si="9"/>
        <v>SOBRESTOCK</v>
      </c>
    </row>
    <row r="206" ht="13.5" customHeight="1">
      <c r="A206" s="49" t="s">
        <v>1750</v>
      </c>
      <c r="B206" s="50" t="s">
        <v>183</v>
      </c>
      <c r="C206" s="50" t="s">
        <v>3718</v>
      </c>
      <c r="D206" s="50" t="s">
        <v>3723</v>
      </c>
      <c r="E206" s="51">
        <v>0.0</v>
      </c>
      <c r="F206" s="52"/>
      <c r="G206" s="53"/>
      <c r="H206" s="55"/>
      <c r="I206" s="55"/>
      <c r="J206" s="53"/>
      <c r="K206" s="53"/>
      <c r="L206" s="55"/>
      <c r="M206" s="53"/>
      <c r="N206" s="74"/>
      <c r="O206" s="57" t="str">
        <f t="shared" si="1"/>
        <v>SIN VENTAS Jun-Sep — no comprar</v>
      </c>
      <c r="P206" s="58">
        <f t="shared" si="2"/>
        <v>0</v>
      </c>
      <c r="Q206" s="1"/>
      <c r="R206" s="1"/>
      <c r="S206" s="1"/>
      <c r="T206" s="1"/>
      <c r="U206" s="1"/>
      <c r="V206" s="1"/>
      <c r="W206" s="1"/>
      <c r="X206" s="60">
        <f>IFERROR(VLOOKUP($A206,Ventas!$A$2:$L$5000,12,FALSE()),"")</f>
        <v>0</v>
      </c>
      <c r="Y206" s="60">
        <f t="shared" si="3"/>
        <v>0</v>
      </c>
      <c r="Z206" s="61" t="str">
        <f t="shared" si="4"/>
        <v/>
      </c>
      <c r="AA206" s="60">
        <f t="shared" si="5"/>
        <v>0</v>
      </c>
      <c r="AB206" s="62" t="str">
        <f t="shared" si="6"/>
        <v/>
      </c>
      <c r="AC206" s="62" t="str">
        <f t="array" ref="AC206">IF(AH206&lt;&gt;"COMPRAR","",IF(MAX(INDEX(Ventas!$G$2:$G$5000,MATCH($A206,Ventas!$A$2:$A$5000,0)),INDEX(Ventas!$H$2:$H$5000,MATCH($A206,Ventas!$A$2:$A$5000,0)),INDEX(Ventas!$I$2:$I$5000,MATCH($A206,Ventas!$A$2:$A$5000,0)),INDEX(Ventas!$J$2:$J$5000,MATCH($A206,Ventas!$A$2:$A$5000,0)))&gt;0.5*AF206*4,"1 mes = "&amp;TEXT(MAX(INDEX(Ventas!$G$2:$G$5000,MATCH($A206,Ventas!$A$2:$A$5000,0)),INDEX(Ventas!$H$2:$H$5000,MATCH($A206,Ventas!$A$2:$A$5000,0)),INDEX(Ventas!$I$2:$I$5000,MATCH($A206,Ventas!$A$2:$A$5000,0)),INDEX(Ventas!$J$2:$J$5000,MATCH($A206,Ventas!$A$2:$A$5000,0)))/(AF206*4),"0%")&amp;" de 4 meses",""))</f>
        <v/>
      </c>
      <c r="AD206" s="62" t="str">
        <f t="shared" si="7"/>
        <v/>
      </c>
      <c r="AE206" s="62" t="str">
        <f t="array" ref="AE206">IF(X206="","",IF(AND(E206=0,AVERAGE(INDEX(Ventas!$C$2:$I$5000,MATCH($A206,Ventas!$A$2:$A$5000,0),0))&gt;0,INDEX(Ventas!$J$2:$J$5000,MATCH($A206,Ventas!$A$2:$A$5000,0))&lt;0.5*AVERAGE(INDEX(Ventas!$C$2:$I$5000,MATCH($A206,Ventas!$A$2:$A$5000,0),0))),"SÍ — stock 0 y Sep cayó (prom Feb-Ago "&amp;TEXT(AVERAGE(INDEX(Ventas!$C$2:$I$5000,MATCH($A206,Ventas!$A$2:$A$5000,0),0)),"#,##0")&amp;")",""))</f>
        <v>SÍ — stock 0 y Sep cayó (prom Feb-Ago 5)</v>
      </c>
      <c r="AF206" s="60">
        <f t="array" ref="AF206">IF(X206="","",IF(AE206&lt;&gt;"",MAX(X206,AVERAGE(INDEX(Ventas!$C$2:$I$5000,MATCH($A206,Ventas!$A$2:$A$5000,0),0))),X206))</f>
        <v>5.285714286</v>
      </c>
      <c r="AG206" s="60">
        <f t="shared" si="8"/>
        <v>21</v>
      </c>
      <c r="AH206" s="63" t="str">
        <f t="shared" si="9"/>
        <v>COMPRAR</v>
      </c>
    </row>
    <row r="207" ht="13.5" customHeight="1">
      <c r="A207" s="64" t="s">
        <v>1770</v>
      </c>
      <c r="B207" s="65" t="s">
        <v>183</v>
      </c>
      <c r="C207" s="65" t="s">
        <v>3718</v>
      </c>
      <c r="D207" s="65" t="s">
        <v>844</v>
      </c>
      <c r="E207" s="51">
        <v>450.0</v>
      </c>
      <c r="F207" s="66"/>
      <c r="G207" s="53"/>
      <c r="H207" s="55"/>
      <c r="I207" s="55"/>
      <c r="J207" s="53"/>
      <c r="K207" s="53"/>
      <c r="L207" s="55"/>
      <c r="M207" s="53"/>
      <c r="N207" s="73"/>
      <c r="O207" s="57" t="str">
        <f t="shared" si="1"/>
        <v>SOBRESTOCK — 46.2 meses de cobertura</v>
      </c>
      <c r="P207" s="58">
        <f t="shared" si="2"/>
        <v>450</v>
      </c>
      <c r="Q207" s="1"/>
      <c r="R207" s="1"/>
      <c r="S207" s="1"/>
      <c r="T207" s="1"/>
      <c r="U207" s="1"/>
      <c r="V207" s="1"/>
      <c r="W207" s="1"/>
      <c r="X207" s="60">
        <f>IFERROR(VLOOKUP($A207,Ventas!$A$2:$L$5000,12,FALSE()),"")</f>
        <v>9.75</v>
      </c>
      <c r="Y207" s="60">
        <f t="shared" si="3"/>
        <v>39</v>
      </c>
      <c r="Z207" s="61">
        <f t="shared" si="4"/>
        <v>46.2</v>
      </c>
      <c r="AA207" s="60">
        <f t="shared" si="5"/>
        <v>-411</v>
      </c>
      <c r="AB207" s="62" t="str">
        <f t="shared" si="6"/>
        <v/>
      </c>
      <c r="AC207" s="62" t="str">
        <f t="array" ref="AC207">IF(AH207&lt;&gt;"COMPRAR","",IF(MAX(INDEX(Ventas!$G$2:$G$5000,MATCH($A207,Ventas!$A$2:$A$5000,0)),INDEX(Ventas!$H$2:$H$5000,MATCH($A207,Ventas!$A$2:$A$5000,0)),INDEX(Ventas!$I$2:$I$5000,MATCH($A207,Ventas!$A$2:$A$5000,0)),INDEX(Ventas!$J$2:$J$5000,MATCH($A207,Ventas!$A$2:$A$5000,0)))&gt;0.5*AF207*4,"1 mes = "&amp;TEXT(MAX(INDEX(Ventas!$G$2:$G$5000,MATCH($A207,Ventas!$A$2:$A$5000,0)),INDEX(Ventas!$H$2:$H$5000,MATCH($A207,Ventas!$A$2:$A$5000,0)),INDEX(Ventas!$I$2:$I$5000,MATCH($A207,Ventas!$A$2:$A$5000,0)),INDEX(Ventas!$J$2:$J$5000,MATCH($A207,Ventas!$A$2:$A$5000,0)))/(AF207*4),"0%")&amp;" de 4 meses",""))</f>
        <v/>
      </c>
      <c r="AD207" s="62" t="str">
        <f t="shared" si="7"/>
        <v/>
      </c>
      <c r="AE207" s="62" t="str">
        <f t="array" ref="AE207">IF(X207="","",IF(AND(E207=0,AVERAGE(INDEX(Ventas!$C$2:$I$5000,MATCH($A207,Ventas!$A$2:$A$5000,0),0))&gt;0,INDEX(Ventas!$J$2:$J$5000,MATCH($A207,Ventas!$A$2:$A$5000,0))&lt;0.5*AVERAGE(INDEX(Ventas!$C$2:$I$5000,MATCH($A207,Ventas!$A$2:$A$5000,0),0))),"SÍ — stock 0 y Sep cayó (prom Feb-Ago "&amp;TEXT(AVERAGE(INDEX(Ventas!$C$2:$I$5000,MATCH($A207,Ventas!$A$2:$A$5000,0),0)),"#,##0")&amp;")",""))</f>
        <v/>
      </c>
      <c r="AF207" s="60">
        <f t="array" ref="AF207">IF(X207="","",IF(AE207&lt;&gt;"",MAX(X207,AVERAGE(INDEX(Ventas!$C$2:$I$5000,MATCH($A207,Ventas!$A$2:$A$5000,0),0))),X207))</f>
        <v>9.75</v>
      </c>
      <c r="AG207" s="60">
        <f t="shared" si="8"/>
        <v>-411</v>
      </c>
      <c r="AH207" s="63" t="str">
        <f t="shared" si="9"/>
        <v>SOBRESTOCK</v>
      </c>
    </row>
    <row r="208" ht="13.5" customHeight="1">
      <c r="A208" s="49" t="s">
        <v>1710</v>
      </c>
      <c r="B208" s="50" t="s">
        <v>183</v>
      </c>
      <c r="C208" s="50" t="s">
        <v>3718</v>
      </c>
      <c r="D208" s="50" t="s">
        <v>3724</v>
      </c>
      <c r="E208" s="51">
        <v>0.0</v>
      </c>
      <c r="F208" s="52"/>
      <c r="G208" s="53"/>
      <c r="H208" s="55"/>
      <c r="I208" s="55"/>
      <c r="J208" s="53"/>
      <c r="K208" s="53"/>
      <c r="L208" s="55"/>
      <c r="M208" s="53"/>
      <c r="N208" s="74"/>
      <c r="O208" s="57" t="str">
        <f t="shared" si="1"/>
        <v>COMPRAR — faltan 78 m para 4 meses</v>
      </c>
      <c r="P208" s="58">
        <f t="shared" si="2"/>
        <v>0</v>
      </c>
      <c r="Q208" s="1"/>
      <c r="R208" s="1"/>
      <c r="S208" s="1"/>
      <c r="T208" s="1"/>
      <c r="U208" s="1"/>
      <c r="V208" s="1"/>
      <c r="W208" s="1"/>
      <c r="X208" s="60">
        <f>IFERROR(VLOOKUP($A208,Ventas!$A$2:$L$5000,12,FALSE()),"")</f>
        <v>19.5</v>
      </c>
      <c r="Y208" s="60">
        <f t="shared" si="3"/>
        <v>78</v>
      </c>
      <c r="Z208" s="61">
        <f t="shared" si="4"/>
        <v>0</v>
      </c>
      <c r="AA208" s="60">
        <f t="shared" si="5"/>
        <v>78</v>
      </c>
      <c r="AB208" s="62" t="str">
        <f t="shared" si="6"/>
        <v/>
      </c>
      <c r="AC208" s="62" t="str">
        <f t="array" ref="AC208">IF(AH208&lt;&gt;"COMPRAR","",IF(MAX(INDEX(Ventas!$G$2:$G$5000,MATCH($A208,Ventas!$A$2:$A$5000,0)),INDEX(Ventas!$H$2:$H$5000,MATCH($A208,Ventas!$A$2:$A$5000,0)),INDEX(Ventas!$I$2:$I$5000,MATCH($A208,Ventas!$A$2:$A$5000,0)),INDEX(Ventas!$J$2:$J$5000,MATCH($A208,Ventas!$A$2:$A$5000,0)))&gt;0.5*AF208*4,"1 mes = "&amp;TEXT(MAX(INDEX(Ventas!$G$2:$G$5000,MATCH($A208,Ventas!$A$2:$A$5000,0)),INDEX(Ventas!$H$2:$H$5000,MATCH($A208,Ventas!$A$2:$A$5000,0)),INDEX(Ventas!$I$2:$I$5000,MATCH($A208,Ventas!$A$2:$A$5000,0)),INDEX(Ventas!$J$2:$J$5000,MATCH($A208,Ventas!$A$2:$A$5000,0)))/(AF208*4),"0%")&amp;" de 4 meses",""))</f>
        <v>1 mes = 51% de 4 meses</v>
      </c>
      <c r="AD208" s="62" t="str">
        <f t="shared" si="7"/>
        <v>SÍ — 0 m vs 10 m</v>
      </c>
      <c r="AE208" s="62" t="str">
        <f t="array" ref="AE208">IF(X208="","",IF(AND(E208=0,AVERAGE(INDEX(Ventas!$C$2:$I$5000,MATCH($A208,Ventas!$A$2:$A$5000,0),0))&gt;0,INDEX(Ventas!$J$2:$J$5000,MATCH($A208,Ventas!$A$2:$A$5000,0))&lt;0.5*AVERAGE(INDEX(Ventas!$C$2:$I$5000,MATCH($A208,Ventas!$A$2:$A$5000,0),0))),"SÍ — stock 0 y Sep cayó (prom Feb-Ago "&amp;TEXT(AVERAGE(INDEX(Ventas!$C$2:$I$5000,MATCH($A208,Ventas!$A$2:$A$5000,0),0)),"#,##0")&amp;")",""))</f>
        <v/>
      </c>
      <c r="AF208" s="60">
        <f t="array" ref="AF208">IF(X208="","",IF(AE208&lt;&gt;"",MAX(X208,AVERAGE(INDEX(Ventas!$C$2:$I$5000,MATCH($A208,Ventas!$A$2:$A$5000,0),0))),X208))</f>
        <v>19.5</v>
      </c>
      <c r="AG208" s="60">
        <f t="shared" si="8"/>
        <v>78</v>
      </c>
      <c r="AH208" s="63" t="str">
        <f t="shared" si="9"/>
        <v>COMPRAR</v>
      </c>
    </row>
    <row r="209" ht="13.5" customHeight="1">
      <c r="A209" s="64" t="s">
        <v>1778</v>
      </c>
      <c r="B209" s="65" t="s">
        <v>183</v>
      </c>
      <c r="C209" s="65" t="s">
        <v>3718</v>
      </c>
      <c r="D209" s="65" t="s">
        <v>3643</v>
      </c>
      <c r="E209" s="51">
        <v>159.0</v>
      </c>
      <c r="F209" s="66"/>
      <c r="G209" s="53"/>
      <c r="H209" s="55"/>
      <c r="I209" s="55"/>
      <c r="J209" s="53"/>
      <c r="K209" s="53"/>
      <c r="L209" s="55"/>
      <c r="M209" s="53"/>
      <c r="N209" s="73"/>
      <c r="O209" s="57" t="str">
        <f t="shared" si="1"/>
        <v>OK — cubierto (5.5 meses)</v>
      </c>
      <c r="P209" s="58">
        <f t="shared" si="2"/>
        <v>159</v>
      </c>
      <c r="Q209" s="1"/>
      <c r="R209" s="1"/>
      <c r="S209" s="1"/>
      <c r="T209" s="1"/>
      <c r="U209" s="1"/>
      <c r="V209" s="1"/>
      <c r="W209" s="1"/>
      <c r="X209" s="60">
        <f>IFERROR(VLOOKUP($A209,Ventas!$A$2:$L$5000,12,FALSE()),"")</f>
        <v>28.75</v>
      </c>
      <c r="Y209" s="60">
        <f t="shared" si="3"/>
        <v>115</v>
      </c>
      <c r="Z209" s="61">
        <f t="shared" si="4"/>
        <v>5.5</v>
      </c>
      <c r="AA209" s="60">
        <f t="shared" si="5"/>
        <v>-44</v>
      </c>
      <c r="AB209" s="62" t="str">
        <f t="shared" si="6"/>
        <v/>
      </c>
      <c r="AC209" s="62" t="str">
        <f t="array" ref="AC209">IF(AH209&lt;&gt;"COMPRAR","",IF(MAX(INDEX(Ventas!$G$2:$G$5000,MATCH($A209,Ventas!$A$2:$A$5000,0)),INDEX(Ventas!$H$2:$H$5000,MATCH($A209,Ventas!$A$2:$A$5000,0)),INDEX(Ventas!$I$2:$I$5000,MATCH($A209,Ventas!$A$2:$A$5000,0)),INDEX(Ventas!$J$2:$J$5000,MATCH($A209,Ventas!$A$2:$A$5000,0)))&gt;0.5*AF209*4,"1 mes = "&amp;TEXT(MAX(INDEX(Ventas!$G$2:$G$5000,MATCH($A209,Ventas!$A$2:$A$5000,0)),INDEX(Ventas!$H$2:$H$5000,MATCH($A209,Ventas!$A$2:$A$5000,0)),INDEX(Ventas!$I$2:$I$5000,MATCH($A209,Ventas!$A$2:$A$5000,0)),INDEX(Ventas!$J$2:$J$5000,MATCH($A209,Ventas!$A$2:$A$5000,0)))/(AF209*4),"0%")&amp;" de 4 meses",""))</f>
        <v/>
      </c>
      <c r="AD209" s="62" t="str">
        <f t="shared" si="7"/>
        <v/>
      </c>
      <c r="AE209" s="62" t="str">
        <f t="array" ref="AE209">IF(X209="","",IF(AND(E209=0,AVERAGE(INDEX(Ventas!$C$2:$I$5000,MATCH($A209,Ventas!$A$2:$A$5000,0),0))&gt;0,INDEX(Ventas!$J$2:$J$5000,MATCH($A209,Ventas!$A$2:$A$5000,0))&lt;0.5*AVERAGE(INDEX(Ventas!$C$2:$I$5000,MATCH($A209,Ventas!$A$2:$A$5000,0),0))),"SÍ — stock 0 y Sep cayó (prom Feb-Ago "&amp;TEXT(AVERAGE(INDEX(Ventas!$C$2:$I$5000,MATCH($A209,Ventas!$A$2:$A$5000,0),0)),"#,##0")&amp;")",""))</f>
        <v/>
      </c>
      <c r="AF209" s="60">
        <f t="array" ref="AF209">IF(X209="","",IF(AE209&lt;&gt;"",MAX(X209,AVERAGE(INDEX(Ventas!$C$2:$I$5000,MATCH($A209,Ventas!$A$2:$A$5000,0),0))),X209))</f>
        <v>28.75</v>
      </c>
      <c r="AG209" s="60">
        <f t="shared" si="8"/>
        <v>-44</v>
      </c>
      <c r="AH209" s="63" t="str">
        <f t="shared" si="9"/>
        <v>OK</v>
      </c>
    </row>
    <row r="210" ht="13.5" customHeight="1">
      <c r="A210" s="49" t="s">
        <v>1720</v>
      </c>
      <c r="B210" s="50" t="s">
        <v>183</v>
      </c>
      <c r="C210" s="50" t="s">
        <v>3718</v>
      </c>
      <c r="D210" s="50" t="s">
        <v>3725</v>
      </c>
      <c r="E210" s="51">
        <v>683.0</v>
      </c>
      <c r="F210" s="52"/>
      <c r="G210" s="53"/>
      <c r="H210" s="55"/>
      <c r="I210" s="55"/>
      <c r="J210" s="53"/>
      <c r="K210" s="53"/>
      <c r="L210" s="55"/>
      <c r="M210" s="53"/>
      <c r="N210" s="74"/>
      <c r="O210" s="57" t="str">
        <f t="shared" si="1"/>
        <v>SOBRESTOCK — 94.2 meses de cobertura</v>
      </c>
      <c r="P210" s="58">
        <f t="shared" si="2"/>
        <v>683</v>
      </c>
      <c r="Q210" s="1"/>
      <c r="R210" s="1"/>
      <c r="S210" s="1"/>
      <c r="T210" s="1"/>
      <c r="U210" s="1"/>
      <c r="V210" s="1"/>
      <c r="W210" s="1"/>
      <c r="X210" s="60">
        <f>IFERROR(VLOOKUP($A210,Ventas!$A$2:$L$5000,12,FALSE()),"")</f>
        <v>7.25</v>
      </c>
      <c r="Y210" s="60">
        <f t="shared" si="3"/>
        <v>29</v>
      </c>
      <c r="Z210" s="61">
        <f t="shared" si="4"/>
        <v>94.2</v>
      </c>
      <c r="AA210" s="60">
        <f t="shared" si="5"/>
        <v>-654</v>
      </c>
      <c r="AB210" s="62" t="str">
        <f t="shared" si="6"/>
        <v/>
      </c>
      <c r="AC210" s="62" t="str">
        <f t="array" ref="AC210">IF(AH210&lt;&gt;"COMPRAR","",IF(MAX(INDEX(Ventas!$G$2:$G$5000,MATCH($A210,Ventas!$A$2:$A$5000,0)),INDEX(Ventas!$H$2:$H$5000,MATCH($A210,Ventas!$A$2:$A$5000,0)),INDEX(Ventas!$I$2:$I$5000,MATCH($A210,Ventas!$A$2:$A$5000,0)),INDEX(Ventas!$J$2:$J$5000,MATCH($A210,Ventas!$A$2:$A$5000,0)))&gt;0.5*AF210*4,"1 mes = "&amp;TEXT(MAX(INDEX(Ventas!$G$2:$G$5000,MATCH($A210,Ventas!$A$2:$A$5000,0)),INDEX(Ventas!$H$2:$H$5000,MATCH($A210,Ventas!$A$2:$A$5000,0)),INDEX(Ventas!$I$2:$I$5000,MATCH($A210,Ventas!$A$2:$A$5000,0)),INDEX(Ventas!$J$2:$J$5000,MATCH($A210,Ventas!$A$2:$A$5000,0)))/(AF210*4),"0%")&amp;" de 4 meses",""))</f>
        <v/>
      </c>
      <c r="AD210" s="62" t="str">
        <f t="shared" si="7"/>
        <v/>
      </c>
      <c r="AE210" s="62" t="str">
        <f t="array" ref="AE210">IF(X210="","",IF(AND(E210=0,AVERAGE(INDEX(Ventas!$C$2:$I$5000,MATCH($A210,Ventas!$A$2:$A$5000,0),0))&gt;0,INDEX(Ventas!$J$2:$J$5000,MATCH($A210,Ventas!$A$2:$A$5000,0))&lt;0.5*AVERAGE(INDEX(Ventas!$C$2:$I$5000,MATCH($A210,Ventas!$A$2:$A$5000,0),0))),"SÍ — stock 0 y Sep cayó (prom Feb-Ago "&amp;TEXT(AVERAGE(INDEX(Ventas!$C$2:$I$5000,MATCH($A210,Ventas!$A$2:$A$5000,0),0)),"#,##0")&amp;")",""))</f>
        <v/>
      </c>
      <c r="AF210" s="60">
        <f t="array" ref="AF210">IF(X210="","",IF(AE210&lt;&gt;"",MAX(X210,AVERAGE(INDEX(Ventas!$C$2:$I$5000,MATCH($A210,Ventas!$A$2:$A$5000,0),0))),X210))</f>
        <v>7.25</v>
      </c>
      <c r="AG210" s="60">
        <f t="shared" si="8"/>
        <v>-654</v>
      </c>
      <c r="AH210" s="63" t="str">
        <f t="shared" si="9"/>
        <v>SOBRESTOCK</v>
      </c>
    </row>
    <row r="211" ht="13.5" customHeight="1">
      <c r="A211" s="64" t="s">
        <v>1787</v>
      </c>
      <c r="B211" s="65" t="s">
        <v>183</v>
      </c>
      <c r="C211" s="65" t="s">
        <v>3718</v>
      </c>
      <c r="D211" s="65" t="s">
        <v>890</v>
      </c>
      <c r="E211" s="51">
        <v>853.0</v>
      </c>
      <c r="F211" s="66"/>
      <c r="G211" s="53"/>
      <c r="H211" s="55"/>
      <c r="I211" s="55"/>
      <c r="J211" s="53"/>
      <c r="K211" s="53"/>
      <c r="L211" s="55"/>
      <c r="M211" s="53"/>
      <c r="N211" s="73"/>
      <c r="O211" s="57" t="str">
        <f t="shared" si="1"/>
        <v>SIN VENTAS Jun-Sep — no comprar (853 m disponibles)</v>
      </c>
      <c r="P211" s="58">
        <f t="shared" si="2"/>
        <v>853</v>
      </c>
      <c r="Q211" s="1"/>
      <c r="R211" s="1"/>
      <c r="S211" s="1"/>
      <c r="T211" s="1"/>
      <c r="U211" s="1"/>
      <c r="V211" s="1"/>
      <c r="W211" s="1"/>
      <c r="X211" s="60">
        <f>IFERROR(VLOOKUP($A211,Ventas!$A$2:$L$5000,12,FALSE()),"")</f>
        <v>0</v>
      </c>
      <c r="Y211" s="60">
        <f t="shared" si="3"/>
        <v>0</v>
      </c>
      <c r="Z211" s="61" t="str">
        <f t="shared" si="4"/>
        <v/>
      </c>
      <c r="AA211" s="60">
        <f t="shared" si="5"/>
        <v>-853</v>
      </c>
      <c r="AB211" s="62" t="str">
        <f t="shared" si="6"/>
        <v/>
      </c>
      <c r="AC211" s="62" t="str">
        <f t="array" ref="AC211">IF(AH211&lt;&gt;"COMPRAR","",IF(MAX(INDEX(Ventas!$G$2:$G$5000,MATCH($A211,Ventas!$A$2:$A$5000,0)),INDEX(Ventas!$H$2:$H$5000,MATCH($A211,Ventas!$A$2:$A$5000,0)),INDEX(Ventas!$I$2:$I$5000,MATCH($A211,Ventas!$A$2:$A$5000,0)),INDEX(Ventas!$J$2:$J$5000,MATCH($A211,Ventas!$A$2:$A$5000,0)))&gt;0.5*AF211*4,"1 mes = "&amp;TEXT(MAX(INDEX(Ventas!$G$2:$G$5000,MATCH($A211,Ventas!$A$2:$A$5000,0)),INDEX(Ventas!$H$2:$H$5000,MATCH($A211,Ventas!$A$2:$A$5000,0)),INDEX(Ventas!$I$2:$I$5000,MATCH($A211,Ventas!$A$2:$A$5000,0)),INDEX(Ventas!$J$2:$J$5000,MATCH($A211,Ventas!$A$2:$A$5000,0)))/(AF211*4),"0%")&amp;" de 4 meses",""))</f>
        <v/>
      </c>
      <c r="AD211" s="62" t="str">
        <f t="shared" si="7"/>
        <v/>
      </c>
      <c r="AE211" s="62" t="str">
        <f t="array" ref="AE211">IF(X211="","",IF(AND(E211=0,AVERAGE(INDEX(Ventas!$C$2:$I$5000,MATCH($A211,Ventas!$A$2:$A$5000,0),0))&gt;0,INDEX(Ventas!$J$2:$J$5000,MATCH($A211,Ventas!$A$2:$A$5000,0))&lt;0.5*AVERAGE(INDEX(Ventas!$C$2:$I$5000,MATCH($A211,Ventas!$A$2:$A$5000,0),0))),"SÍ — stock 0 y Sep cayó (prom Feb-Ago "&amp;TEXT(AVERAGE(INDEX(Ventas!$C$2:$I$5000,MATCH($A211,Ventas!$A$2:$A$5000,0),0)),"#,##0")&amp;")",""))</f>
        <v/>
      </c>
      <c r="AF211" s="60">
        <f t="array" ref="AF211">IF(X211="","",IF(AE211&lt;&gt;"",MAX(X211,AVERAGE(INDEX(Ventas!$C$2:$I$5000,MATCH($A211,Ventas!$A$2:$A$5000,0),0))),X211))</f>
        <v>0</v>
      </c>
      <c r="AG211" s="60">
        <f t="shared" si="8"/>
        <v>-853</v>
      </c>
      <c r="AH211" s="63" t="str">
        <f t="shared" si="9"/>
        <v>SIN VENTAS</v>
      </c>
    </row>
    <row r="212" ht="13.5" customHeight="1">
      <c r="A212" s="49" t="s">
        <v>1718</v>
      </c>
      <c r="B212" s="50" t="s">
        <v>183</v>
      </c>
      <c r="C212" s="50" t="s">
        <v>3718</v>
      </c>
      <c r="D212" s="50" t="s">
        <v>948</v>
      </c>
      <c r="E212" s="51">
        <v>401.0</v>
      </c>
      <c r="F212" s="52"/>
      <c r="G212" s="53"/>
      <c r="H212" s="55"/>
      <c r="I212" s="55"/>
      <c r="J212" s="53"/>
      <c r="K212" s="53"/>
      <c r="L212" s="55"/>
      <c r="M212" s="53"/>
      <c r="N212" s="74"/>
      <c r="O212" s="57" t="str">
        <f t="shared" si="1"/>
        <v>SIN VENTAS Jun-Sep — no comprar (401 m disponibles)</v>
      </c>
      <c r="P212" s="58">
        <f t="shared" si="2"/>
        <v>401</v>
      </c>
      <c r="Q212" s="1"/>
      <c r="R212" s="1"/>
      <c r="S212" s="1"/>
      <c r="T212" s="1"/>
      <c r="U212" s="1"/>
      <c r="V212" s="1"/>
      <c r="W212" s="1"/>
      <c r="X212" s="60">
        <f>IFERROR(VLOOKUP($A212,Ventas!$A$2:$L$5000,12,FALSE()),"")</f>
        <v>0</v>
      </c>
      <c r="Y212" s="60">
        <f t="shared" si="3"/>
        <v>0</v>
      </c>
      <c r="Z212" s="61" t="str">
        <f t="shared" si="4"/>
        <v/>
      </c>
      <c r="AA212" s="60">
        <f t="shared" si="5"/>
        <v>-401</v>
      </c>
      <c r="AB212" s="62" t="str">
        <f t="shared" si="6"/>
        <v/>
      </c>
      <c r="AC212" s="62" t="str">
        <f t="array" ref="AC212">IF(AH212&lt;&gt;"COMPRAR","",IF(MAX(INDEX(Ventas!$G$2:$G$5000,MATCH($A212,Ventas!$A$2:$A$5000,0)),INDEX(Ventas!$H$2:$H$5000,MATCH($A212,Ventas!$A$2:$A$5000,0)),INDEX(Ventas!$I$2:$I$5000,MATCH($A212,Ventas!$A$2:$A$5000,0)),INDEX(Ventas!$J$2:$J$5000,MATCH($A212,Ventas!$A$2:$A$5000,0)))&gt;0.5*AF212*4,"1 mes = "&amp;TEXT(MAX(INDEX(Ventas!$G$2:$G$5000,MATCH($A212,Ventas!$A$2:$A$5000,0)),INDEX(Ventas!$H$2:$H$5000,MATCH($A212,Ventas!$A$2:$A$5000,0)),INDEX(Ventas!$I$2:$I$5000,MATCH($A212,Ventas!$A$2:$A$5000,0)),INDEX(Ventas!$J$2:$J$5000,MATCH($A212,Ventas!$A$2:$A$5000,0)))/(AF212*4),"0%")&amp;" de 4 meses",""))</f>
        <v/>
      </c>
      <c r="AD212" s="62" t="str">
        <f t="shared" si="7"/>
        <v/>
      </c>
      <c r="AE212" s="62" t="str">
        <f t="array" ref="AE212">IF(X212="","",IF(AND(E212=0,AVERAGE(INDEX(Ventas!$C$2:$I$5000,MATCH($A212,Ventas!$A$2:$A$5000,0),0))&gt;0,INDEX(Ventas!$J$2:$J$5000,MATCH($A212,Ventas!$A$2:$A$5000,0))&lt;0.5*AVERAGE(INDEX(Ventas!$C$2:$I$5000,MATCH($A212,Ventas!$A$2:$A$5000,0),0))),"SÍ — stock 0 y Sep cayó (prom Feb-Ago "&amp;TEXT(AVERAGE(INDEX(Ventas!$C$2:$I$5000,MATCH($A212,Ventas!$A$2:$A$5000,0),0)),"#,##0")&amp;")",""))</f>
        <v/>
      </c>
      <c r="AF212" s="60">
        <f t="array" ref="AF212">IF(X212="","",IF(AE212&lt;&gt;"",MAX(X212,AVERAGE(INDEX(Ventas!$C$2:$I$5000,MATCH($A212,Ventas!$A$2:$A$5000,0),0))),X212))</f>
        <v>0</v>
      </c>
      <c r="AG212" s="60">
        <f t="shared" si="8"/>
        <v>-401</v>
      </c>
      <c r="AH212" s="63" t="str">
        <f t="shared" si="9"/>
        <v>SIN VENTAS</v>
      </c>
    </row>
    <row r="213" ht="13.5" customHeight="1">
      <c r="A213" s="64" t="s">
        <v>1789</v>
      </c>
      <c r="B213" s="65" t="s">
        <v>183</v>
      </c>
      <c r="C213" s="65" t="s">
        <v>3718</v>
      </c>
      <c r="D213" s="65" t="s">
        <v>3726</v>
      </c>
      <c r="E213" s="51">
        <v>2854.0</v>
      </c>
      <c r="F213" s="66"/>
      <c r="G213" s="53"/>
      <c r="H213" s="55"/>
      <c r="I213" s="55"/>
      <c r="J213" s="53"/>
      <c r="K213" s="53"/>
      <c r="L213" s="55"/>
      <c r="M213" s="53"/>
      <c r="N213" s="73"/>
      <c r="O213" s="57" t="str">
        <f t="shared" si="1"/>
        <v>SOBRESTOCK — 95.1 meses de cobertura</v>
      </c>
      <c r="P213" s="58">
        <f t="shared" si="2"/>
        <v>2854</v>
      </c>
      <c r="Q213" s="1"/>
      <c r="R213" s="1"/>
      <c r="S213" s="1"/>
      <c r="T213" s="1"/>
      <c r="U213" s="1"/>
      <c r="V213" s="1"/>
      <c r="W213" s="1"/>
      <c r="X213" s="60">
        <f>IFERROR(VLOOKUP($A213,Ventas!$A$2:$L$5000,12,FALSE()),"")</f>
        <v>30</v>
      </c>
      <c r="Y213" s="60">
        <f t="shared" si="3"/>
        <v>120</v>
      </c>
      <c r="Z213" s="61">
        <f t="shared" si="4"/>
        <v>95.1</v>
      </c>
      <c r="AA213" s="60">
        <f t="shared" si="5"/>
        <v>-2734</v>
      </c>
      <c r="AB213" s="62" t="str">
        <f t="shared" si="6"/>
        <v/>
      </c>
      <c r="AC213" s="62" t="str">
        <f t="array" ref="AC213">IF(AH213&lt;&gt;"COMPRAR","",IF(MAX(INDEX(Ventas!$G$2:$G$5000,MATCH($A213,Ventas!$A$2:$A$5000,0)),INDEX(Ventas!$H$2:$H$5000,MATCH($A213,Ventas!$A$2:$A$5000,0)),INDEX(Ventas!$I$2:$I$5000,MATCH($A213,Ventas!$A$2:$A$5000,0)),INDEX(Ventas!$J$2:$J$5000,MATCH($A213,Ventas!$A$2:$A$5000,0)))&gt;0.5*AF213*4,"1 mes = "&amp;TEXT(MAX(INDEX(Ventas!$G$2:$G$5000,MATCH($A213,Ventas!$A$2:$A$5000,0)),INDEX(Ventas!$H$2:$H$5000,MATCH($A213,Ventas!$A$2:$A$5000,0)),INDEX(Ventas!$I$2:$I$5000,MATCH($A213,Ventas!$A$2:$A$5000,0)),INDEX(Ventas!$J$2:$J$5000,MATCH($A213,Ventas!$A$2:$A$5000,0)))/(AF213*4),"0%")&amp;" de 4 meses",""))</f>
        <v/>
      </c>
      <c r="AD213" s="62" t="str">
        <f t="shared" si="7"/>
        <v/>
      </c>
      <c r="AE213" s="62" t="str">
        <f t="array" ref="AE213">IF(X213="","",IF(AND(E213=0,AVERAGE(INDEX(Ventas!$C$2:$I$5000,MATCH($A213,Ventas!$A$2:$A$5000,0),0))&gt;0,INDEX(Ventas!$J$2:$J$5000,MATCH($A213,Ventas!$A$2:$A$5000,0))&lt;0.5*AVERAGE(INDEX(Ventas!$C$2:$I$5000,MATCH($A213,Ventas!$A$2:$A$5000,0),0))),"SÍ — stock 0 y Sep cayó (prom Feb-Ago "&amp;TEXT(AVERAGE(INDEX(Ventas!$C$2:$I$5000,MATCH($A213,Ventas!$A$2:$A$5000,0),0)),"#,##0")&amp;")",""))</f>
        <v/>
      </c>
      <c r="AF213" s="60">
        <f t="array" ref="AF213">IF(X213="","",IF(AE213&lt;&gt;"",MAX(X213,AVERAGE(INDEX(Ventas!$C$2:$I$5000,MATCH($A213,Ventas!$A$2:$A$5000,0),0))),X213))</f>
        <v>30</v>
      </c>
      <c r="AG213" s="60">
        <f t="shared" si="8"/>
        <v>-2734</v>
      </c>
      <c r="AH213" s="63" t="str">
        <f t="shared" si="9"/>
        <v>SOBRESTOCK</v>
      </c>
    </row>
    <row r="214" ht="13.5" customHeight="1">
      <c r="A214" s="49" t="s">
        <v>1734</v>
      </c>
      <c r="B214" s="50" t="s">
        <v>183</v>
      </c>
      <c r="C214" s="50" t="s">
        <v>3718</v>
      </c>
      <c r="D214" s="50" t="s">
        <v>3727</v>
      </c>
      <c r="E214" s="51">
        <v>1880.0</v>
      </c>
      <c r="F214" s="52"/>
      <c r="G214" s="53"/>
      <c r="H214" s="55"/>
      <c r="I214" s="55"/>
      <c r="J214" s="53"/>
      <c r="K214" s="53"/>
      <c r="L214" s="55"/>
      <c r="M214" s="53"/>
      <c r="N214" s="74"/>
      <c r="O214" s="57" t="str">
        <f t="shared" si="1"/>
        <v>SOBRESTOCK — 12.6 meses de cobertura</v>
      </c>
      <c r="P214" s="58">
        <f t="shared" si="2"/>
        <v>1880</v>
      </c>
      <c r="Q214" s="1"/>
      <c r="R214" s="1"/>
      <c r="S214" s="1"/>
      <c r="T214" s="1"/>
      <c r="U214" s="1"/>
      <c r="V214" s="1"/>
      <c r="W214" s="1"/>
      <c r="X214" s="60">
        <f>IFERROR(VLOOKUP($A214,Ventas!$A$2:$L$5000,12,FALSE()),"")</f>
        <v>149.25</v>
      </c>
      <c r="Y214" s="60">
        <f t="shared" si="3"/>
        <v>597</v>
      </c>
      <c r="Z214" s="61">
        <f t="shared" si="4"/>
        <v>12.6</v>
      </c>
      <c r="AA214" s="60">
        <f t="shared" si="5"/>
        <v>-1283</v>
      </c>
      <c r="AB214" s="62" t="str">
        <f t="shared" si="6"/>
        <v/>
      </c>
      <c r="AC214" s="62" t="str">
        <f t="array" ref="AC214">IF(AH214&lt;&gt;"COMPRAR","",IF(MAX(INDEX(Ventas!$G$2:$G$5000,MATCH($A214,Ventas!$A$2:$A$5000,0)),INDEX(Ventas!$H$2:$H$5000,MATCH($A214,Ventas!$A$2:$A$5000,0)),INDEX(Ventas!$I$2:$I$5000,MATCH($A214,Ventas!$A$2:$A$5000,0)),INDEX(Ventas!$J$2:$J$5000,MATCH($A214,Ventas!$A$2:$A$5000,0)))&gt;0.5*AF214*4,"1 mes = "&amp;TEXT(MAX(INDEX(Ventas!$G$2:$G$5000,MATCH($A214,Ventas!$A$2:$A$5000,0)),INDEX(Ventas!$H$2:$H$5000,MATCH($A214,Ventas!$A$2:$A$5000,0)),INDEX(Ventas!$I$2:$I$5000,MATCH($A214,Ventas!$A$2:$A$5000,0)),INDEX(Ventas!$J$2:$J$5000,MATCH($A214,Ventas!$A$2:$A$5000,0)))/(AF214*4),"0%")&amp;" de 4 meses",""))</f>
        <v/>
      </c>
      <c r="AD214" s="62" t="str">
        <f t="shared" si="7"/>
        <v/>
      </c>
      <c r="AE214" s="62" t="str">
        <f t="array" ref="AE214">IF(X214="","",IF(AND(E214=0,AVERAGE(INDEX(Ventas!$C$2:$I$5000,MATCH($A214,Ventas!$A$2:$A$5000,0),0))&gt;0,INDEX(Ventas!$J$2:$J$5000,MATCH($A214,Ventas!$A$2:$A$5000,0))&lt;0.5*AVERAGE(INDEX(Ventas!$C$2:$I$5000,MATCH($A214,Ventas!$A$2:$A$5000,0),0))),"SÍ — stock 0 y Sep cayó (prom Feb-Ago "&amp;TEXT(AVERAGE(INDEX(Ventas!$C$2:$I$5000,MATCH($A214,Ventas!$A$2:$A$5000,0),0)),"#,##0")&amp;")",""))</f>
        <v/>
      </c>
      <c r="AF214" s="60">
        <f t="array" ref="AF214">IF(X214="","",IF(AE214&lt;&gt;"",MAX(X214,AVERAGE(INDEX(Ventas!$C$2:$I$5000,MATCH($A214,Ventas!$A$2:$A$5000,0),0))),X214))</f>
        <v>149.25</v>
      </c>
      <c r="AG214" s="60">
        <f t="shared" si="8"/>
        <v>-1283</v>
      </c>
      <c r="AH214" s="63" t="str">
        <f t="shared" si="9"/>
        <v>SOBRESTOCK</v>
      </c>
    </row>
    <row r="215" ht="13.5" customHeight="1">
      <c r="A215" s="64" t="s">
        <v>1785</v>
      </c>
      <c r="B215" s="65" t="s">
        <v>183</v>
      </c>
      <c r="C215" s="65" t="s">
        <v>3718</v>
      </c>
      <c r="D215" s="65" t="s">
        <v>3629</v>
      </c>
      <c r="E215" s="51">
        <v>402.0</v>
      </c>
      <c r="F215" s="66"/>
      <c r="G215" s="53"/>
      <c r="H215" s="55"/>
      <c r="I215" s="55"/>
      <c r="J215" s="53"/>
      <c r="K215" s="53"/>
      <c r="L215" s="55"/>
      <c r="M215" s="53"/>
      <c r="N215" s="73"/>
      <c r="O215" s="57" t="str">
        <f t="shared" si="1"/>
        <v>SOBRESTOCK — 20.1 meses de cobertura</v>
      </c>
      <c r="P215" s="58">
        <f t="shared" si="2"/>
        <v>402</v>
      </c>
      <c r="Q215" s="1"/>
      <c r="R215" s="1"/>
      <c r="S215" s="1"/>
      <c r="T215" s="1"/>
      <c r="U215" s="1"/>
      <c r="V215" s="1"/>
      <c r="W215" s="1"/>
      <c r="X215" s="60">
        <f>IFERROR(VLOOKUP($A215,Ventas!$A$2:$L$5000,12,FALSE()),"")</f>
        <v>20</v>
      </c>
      <c r="Y215" s="60">
        <f t="shared" si="3"/>
        <v>80</v>
      </c>
      <c r="Z215" s="61">
        <f t="shared" si="4"/>
        <v>20.1</v>
      </c>
      <c r="AA215" s="60">
        <f t="shared" si="5"/>
        <v>-322</v>
      </c>
      <c r="AB215" s="62" t="str">
        <f t="shared" si="6"/>
        <v/>
      </c>
      <c r="AC215" s="62" t="str">
        <f t="array" ref="AC215">IF(AH215&lt;&gt;"COMPRAR","",IF(MAX(INDEX(Ventas!$G$2:$G$5000,MATCH($A215,Ventas!$A$2:$A$5000,0)),INDEX(Ventas!$H$2:$H$5000,MATCH($A215,Ventas!$A$2:$A$5000,0)),INDEX(Ventas!$I$2:$I$5000,MATCH($A215,Ventas!$A$2:$A$5000,0)),INDEX(Ventas!$J$2:$J$5000,MATCH($A215,Ventas!$A$2:$A$5000,0)))&gt;0.5*AF215*4,"1 mes = "&amp;TEXT(MAX(INDEX(Ventas!$G$2:$G$5000,MATCH($A215,Ventas!$A$2:$A$5000,0)),INDEX(Ventas!$H$2:$H$5000,MATCH($A215,Ventas!$A$2:$A$5000,0)),INDEX(Ventas!$I$2:$I$5000,MATCH($A215,Ventas!$A$2:$A$5000,0)),INDEX(Ventas!$J$2:$J$5000,MATCH($A215,Ventas!$A$2:$A$5000,0)))/(AF215*4),"0%")&amp;" de 4 meses",""))</f>
        <v/>
      </c>
      <c r="AD215" s="62" t="str">
        <f t="shared" si="7"/>
        <v/>
      </c>
      <c r="AE215" s="62" t="str">
        <f t="array" ref="AE215">IF(X215="","",IF(AND(E215=0,AVERAGE(INDEX(Ventas!$C$2:$I$5000,MATCH($A215,Ventas!$A$2:$A$5000,0),0))&gt;0,INDEX(Ventas!$J$2:$J$5000,MATCH($A215,Ventas!$A$2:$A$5000,0))&lt;0.5*AVERAGE(INDEX(Ventas!$C$2:$I$5000,MATCH($A215,Ventas!$A$2:$A$5000,0),0))),"SÍ — stock 0 y Sep cayó (prom Feb-Ago "&amp;TEXT(AVERAGE(INDEX(Ventas!$C$2:$I$5000,MATCH($A215,Ventas!$A$2:$A$5000,0),0)),"#,##0")&amp;")",""))</f>
        <v/>
      </c>
      <c r="AF215" s="60">
        <f t="array" ref="AF215">IF(X215="","",IF(AE215&lt;&gt;"",MAX(X215,AVERAGE(INDEX(Ventas!$C$2:$I$5000,MATCH($A215,Ventas!$A$2:$A$5000,0),0))),X215))</f>
        <v>20</v>
      </c>
      <c r="AG215" s="60">
        <f t="shared" si="8"/>
        <v>-322</v>
      </c>
      <c r="AH215" s="63" t="str">
        <f t="shared" si="9"/>
        <v>SOBRESTOCK</v>
      </c>
    </row>
    <row r="216" ht="13.5" customHeight="1">
      <c r="A216" s="49" t="s">
        <v>1782</v>
      </c>
      <c r="B216" s="50" t="s">
        <v>183</v>
      </c>
      <c r="C216" s="50" t="s">
        <v>3718</v>
      </c>
      <c r="D216" s="50" t="s">
        <v>3728</v>
      </c>
      <c r="E216" s="51">
        <v>1324.0</v>
      </c>
      <c r="F216" s="52"/>
      <c r="G216" s="53"/>
      <c r="H216" s="55"/>
      <c r="I216" s="55"/>
      <c r="J216" s="53"/>
      <c r="K216" s="53"/>
      <c r="L216" s="55"/>
      <c r="M216" s="53"/>
      <c r="N216" s="74"/>
      <c r="O216" s="57" t="str">
        <f t="shared" si="1"/>
        <v>SOBRESTOCK — 44.1 meses de cobertura</v>
      </c>
      <c r="P216" s="58">
        <f t="shared" si="2"/>
        <v>1324</v>
      </c>
      <c r="Q216" s="1"/>
      <c r="R216" s="1"/>
      <c r="S216" s="1"/>
      <c r="T216" s="1"/>
      <c r="U216" s="1"/>
      <c r="V216" s="1"/>
      <c r="W216" s="1"/>
      <c r="X216" s="60">
        <f>IFERROR(VLOOKUP($A216,Ventas!$A$2:$L$5000,12,FALSE()),"")</f>
        <v>30</v>
      </c>
      <c r="Y216" s="60">
        <f t="shared" si="3"/>
        <v>120</v>
      </c>
      <c r="Z216" s="61">
        <f t="shared" si="4"/>
        <v>44.1</v>
      </c>
      <c r="AA216" s="60">
        <f t="shared" si="5"/>
        <v>-1204</v>
      </c>
      <c r="AB216" s="62" t="str">
        <f t="shared" si="6"/>
        <v/>
      </c>
      <c r="AC216" s="62" t="str">
        <f t="array" ref="AC216">IF(AH216&lt;&gt;"COMPRAR","",IF(MAX(INDEX(Ventas!$G$2:$G$5000,MATCH($A216,Ventas!$A$2:$A$5000,0)),INDEX(Ventas!$H$2:$H$5000,MATCH($A216,Ventas!$A$2:$A$5000,0)),INDEX(Ventas!$I$2:$I$5000,MATCH($A216,Ventas!$A$2:$A$5000,0)),INDEX(Ventas!$J$2:$J$5000,MATCH($A216,Ventas!$A$2:$A$5000,0)))&gt;0.5*AF216*4,"1 mes = "&amp;TEXT(MAX(INDEX(Ventas!$G$2:$G$5000,MATCH($A216,Ventas!$A$2:$A$5000,0)),INDEX(Ventas!$H$2:$H$5000,MATCH($A216,Ventas!$A$2:$A$5000,0)),INDEX(Ventas!$I$2:$I$5000,MATCH($A216,Ventas!$A$2:$A$5000,0)),INDEX(Ventas!$J$2:$J$5000,MATCH($A216,Ventas!$A$2:$A$5000,0)))/(AF216*4),"0%")&amp;" de 4 meses",""))</f>
        <v/>
      </c>
      <c r="AD216" s="62" t="str">
        <f t="shared" si="7"/>
        <v/>
      </c>
      <c r="AE216" s="62" t="str">
        <f t="array" ref="AE216">IF(X216="","",IF(AND(E216=0,AVERAGE(INDEX(Ventas!$C$2:$I$5000,MATCH($A216,Ventas!$A$2:$A$5000,0),0))&gt;0,INDEX(Ventas!$J$2:$J$5000,MATCH($A216,Ventas!$A$2:$A$5000,0))&lt;0.5*AVERAGE(INDEX(Ventas!$C$2:$I$5000,MATCH($A216,Ventas!$A$2:$A$5000,0),0))),"SÍ — stock 0 y Sep cayó (prom Feb-Ago "&amp;TEXT(AVERAGE(INDEX(Ventas!$C$2:$I$5000,MATCH($A216,Ventas!$A$2:$A$5000,0),0)),"#,##0")&amp;")",""))</f>
        <v/>
      </c>
      <c r="AF216" s="60">
        <f t="array" ref="AF216">IF(X216="","",IF(AE216&lt;&gt;"",MAX(X216,AVERAGE(INDEX(Ventas!$C$2:$I$5000,MATCH($A216,Ventas!$A$2:$A$5000,0),0))),X216))</f>
        <v>30</v>
      </c>
      <c r="AG216" s="60">
        <f t="shared" si="8"/>
        <v>-1204</v>
      </c>
      <c r="AH216" s="63" t="str">
        <f t="shared" si="9"/>
        <v>SOBRESTOCK</v>
      </c>
    </row>
    <row r="217" ht="13.5" customHeight="1">
      <c r="A217" s="64" t="s">
        <v>1716</v>
      </c>
      <c r="B217" s="65" t="s">
        <v>183</v>
      </c>
      <c r="C217" s="65" t="s">
        <v>3718</v>
      </c>
      <c r="D217" s="65" t="s">
        <v>1009</v>
      </c>
      <c r="E217" s="51">
        <v>1751.0</v>
      </c>
      <c r="F217" s="66"/>
      <c r="G217" s="53"/>
      <c r="H217" s="55"/>
      <c r="I217" s="55"/>
      <c r="J217" s="53"/>
      <c r="K217" s="53"/>
      <c r="L217" s="55"/>
      <c r="M217" s="53"/>
      <c r="N217" s="73"/>
      <c r="O217" s="57" t="str">
        <f t="shared" si="1"/>
        <v>COMPRAR — faltan 479 m para 4 meses</v>
      </c>
      <c r="P217" s="58">
        <f t="shared" si="2"/>
        <v>1751</v>
      </c>
      <c r="Q217" s="1"/>
      <c r="R217" s="1"/>
      <c r="S217" s="1"/>
      <c r="T217" s="1"/>
      <c r="U217" s="1"/>
      <c r="V217" s="1"/>
      <c r="W217" s="1"/>
      <c r="X217" s="60">
        <f>IFERROR(VLOOKUP($A217,Ventas!$A$2:$L$5000,12,FALSE()),"")</f>
        <v>557.5</v>
      </c>
      <c r="Y217" s="60">
        <f t="shared" si="3"/>
        <v>2230</v>
      </c>
      <c r="Z217" s="61">
        <f t="shared" si="4"/>
        <v>3.1</v>
      </c>
      <c r="AA217" s="60">
        <f t="shared" si="5"/>
        <v>479</v>
      </c>
      <c r="AB217" s="62" t="str">
        <f t="shared" si="6"/>
        <v/>
      </c>
      <c r="AC217" s="62" t="str">
        <f t="array" ref="AC217">IF(AH217&lt;&gt;"COMPRAR","",IF(MAX(INDEX(Ventas!$G$2:$G$5000,MATCH($A217,Ventas!$A$2:$A$5000,0)),INDEX(Ventas!$H$2:$H$5000,MATCH($A217,Ventas!$A$2:$A$5000,0)),INDEX(Ventas!$I$2:$I$5000,MATCH($A217,Ventas!$A$2:$A$5000,0)),INDEX(Ventas!$J$2:$J$5000,MATCH($A217,Ventas!$A$2:$A$5000,0)))&gt;0.5*AF217*4,"1 mes = "&amp;TEXT(MAX(INDEX(Ventas!$G$2:$G$5000,MATCH($A217,Ventas!$A$2:$A$5000,0)),INDEX(Ventas!$H$2:$H$5000,MATCH($A217,Ventas!$A$2:$A$5000,0)),INDEX(Ventas!$I$2:$I$5000,MATCH($A217,Ventas!$A$2:$A$5000,0)),INDEX(Ventas!$J$2:$J$5000,MATCH($A217,Ventas!$A$2:$A$5000,0)))/(AF217*4),"0%")&amp;" de 4 meses",""))</f>
        <v/>
      </c>
      <c r="AD217" s="62" t="str">
        <f t="shared" si="7"/>
        <v/>
      </c>
      <c r="AE217" s="62" t="str">
        <f t="array" ref="AE217">IF(X217="","",IF(AND(E217=0,AVERAGE(INDEX(Ventas!$C$2:$I$5000,MATCH($A217,Ventas!$A$2:$A$5000,0),0))&gt;0,INDEX(Ventas!$J$2:$J$5000,MATCH($A217,Ventas!$A$2:$A$5000,0))&lt;0.5*AVERAGE(INDEX(Ventas!$C$2:$I$5000,MATCH($A217,Ventas!$A$2:$A$5000,0),0))),"SÍ — stock 0 y Sep cayó (prom Feb-Ago "&amp;TEXT(AVERAGE(INDEX(Ventas!$C$2:$I$5000,MATCH($A217,Ventas!$A$2:$A$5000,0),0)),"#,##0")&amp;")",""))</f>
        <v/>
      </c>
      <c r="AF217" s="60">
        <f t="array" ref="AF217">IF(X217="","",IF(AE217&lt;&gt;"",MAX(X217,AVERAGE(INDEX(Ventas!$C$2:$I$5000,MATCH($A217,Ventas!$A$2:$A$5000,0),0))),X217))</f>
        <v>557.5</v>
      </c>
      <c r="AG217" s="60">
        <f t="shared" si="8"/>
        <v>479</v>
      </c>
      <c r="AH217" s="63" t="str">
        <f t="shared" si="9"/>
        <v>COMPRAR</v>
      </c>
    </row>
    <row r="218" ht="13.5" customHeight="1">
      <c r="A218" s="49" t="s">
        <v>1730</v>
      </c>
      <c r="B218" s="50" t="s">
        <v>183</v>
      </c>
      <c r="C218" s="50" t="s">
        <v>3729</v>
      </c>
      <c r="D218" s="50" t="s">
        <v>3643</v>
      </c>
      <c r="E218" s="51">
        <v>60.0</v>
      </c>
      <c r="F218" s="52"/>
      <c r="G218" s="53"/>
      <c r="H218" s="55"/>
      <c r="I218" s="55"/>
      <c r="J218" s="53"/>
      <c r="K218" s="53"/>
      <c r="L218" s="55"/>
      <c r="M218" s="53"/>
      <c r="N218" s="74"/>
      <c r="O218" s="57" t="str">
        <f t="shared" si="1"/>
        <v>SIN VENTAS Jun-Sep — no comprar (60 m disponibles)</v>
      </c>
      <c r="P218" s="58">
        <f t="shared" si="2"/>
        <v>60</v>
      </c>
      <c r="Q218" s="1"/>
      <c r="R218" s="1"/>
      <c r="S218" s="1"/>
      <c r="T218" s="1"/>
      <c r="U218" s="1"/>
      <c r="V218" s="1"/>
      <c r="W218" s="1"/>
      <c r="X218" s="60">
        <f>IFERROR(VLOOKUP($A218,Ventas!$A$2:$L$5000,12,FALSE()),"")</f>
        <v>0</v>
      </c>
      <c r="Y218" s="60">
        <f t="shared" si="3"/>
        <v>0</v>
      </c>
      <c r="Z218" s="61" t="str">
        <f t="shared" si="4"/>
        <v/>
      </c>
      <c r="AA218" s="60">
        <f t="shared" si="5"/>
        <v>-60</v>
      </c>
      <c r="AB218" s="62" t="str">
        <f t="shared" si="6"/>
        <v/>
      </c>
      <c r="AC218" s="62" t="str">
        <f t="array" ref="AC218">IF(AH218&lt;&gt;"COMPRAR","",IF(MAX(INDEX(Ventas!$G$2:$G$5000,MATCH($A218,Ventas!$A$2:$A$5000,0)),INDEX(Ventas!$H$2:$H$5000,MATCH($A218,Ventas!$A$2:$A$5000,0)),INDEX(Ventas!$I$2:$I$5000,MATCH($A218,Ventas!$A$2:$A$5000,0)),INDEX(Ventas!$J$2:$J$5000,MATCH($A218,Ventas!$A$2:$A$5000,0)))&gt;0.5*AF218*4,"1 mes = "&amp;TEXT(MAX(INDEX(Ventas!$G$2:$G$5000,MATCH($A218,Ventas!$A$2:$A$5000,0)),INDEX(Ventas!$H$2:$H$5000,MATCH($A218,Ventas!$A$2:$A$5000,0)),INDEX(Ventas!$I$2:$I$5000,MATCH($A218,Ventas!$A$2:$A$5000,0)),INDEX(Ventas!$J$2:$J$5000,MATCH($A218,Ventas!$A$2:$A$5000,0)))/(AF218*4),"0%")&amp;" de 4 meses",""))</f>
        <v/>
      </c>
      <c r="AD218" s="62" t="str">
        <f t="shared" si="7"/>
        <v/>
      </c>
      <c r="AE218" s="62" t="str">
        <f t="array" ref="AE218">IF(X218="","",IF(AND(E218=0,AVERAGE(INDEX(Ventas!$C$2:$I$5000,MATCH($A218,Ventas!$A$2:$A$5000,0),0))&gt;0,INDEX(Ventas!$J$2:$J$5000,MATCH($A218,Ventas!$A$2:$A$5000,0))&lt;0.5*AVERAGE(INDEX(Ventas!$C$2:$I$5000,MATCH($A218,Ventas!$A$2:$A$5000,0),0))),"SÍ — stock 0 y Sep cayó (prom Feb-Ago "&amp;TEXT(AVERAGE(INDEX(Ventas!$C$2:$I$5000,MATCH($A218,Ventas!$A$2:$A$5000,0),0)),"#,##0")&amp;")",""))</f>
        <v/>
      </c>
      <c r="AF218" s="60">
        <f t="array" ref="AF218">IF(X218="","",IF(AE218&lt;&gt;"",MAX(X218,AVERAGE(INDEX(Ventas!$C$2:$I$5000,MATCH($A218,Ventas!$A$2:$A$5000,0),0))),X218))</f>
        <v>0</v>
      </c>
      <c r="AG218" s="60">
        <f t="shared" si="8"/>
        <v>-60</v>
      </c>
      <c r="AH218" s="63" t="str">
        <f t="shared" si="9"/>
        <v>SIN VENTAS</v>
      </c>
    </row>
    <row r="219" ht="13.5" customHeight="1">
      <c r="A219" s="64" t="s">
        <v>1714</v>
      </c>
      <c r="B219" s="65" t="s">
        <v>183</v>
      </c>
      <c r="C219" s="65" t="s">
        <v>3730</v>
      </c>
      <c r="D219" s="65" t="s">
        <v>3731</v>
      </c>
      <c r="E219" s="51">
        <v>2150.0</v>
      </c>
      <c r="F219" s="66"/>
      <c r="G219" s="53"/>
      <c r="H219" s="55"/>
      <c r="I219" s="55"/>
      <c r="J219" s="53"/>
      <c r="K219" s="53"/>
      <c r="L219" s="55"/>
      <c r="M219" s="53"/>
      <c r="N219" s="73"/>
      <c r="O219" s="57" t="str">
        <f t="shared" si="1"/>
        <v>COMPRAR — faltan 1,298 m para 4 meses</v>
      </c>
      <c r="P219" s="58">
        <f t="shared" si="2"/>
        <v>2150</v>
      </c>
      <c r="Q219" s="1"/>
      <c r="R219" s="1"/>
      <c r="S219" s="1"/>
      <c r="T219" s="1"/>
      <c r="U219" s="1"/>
      <c r="V219" s="1"/>
      <c r="W219" s="1"/>
      <c r="X219" s="60">
        <f>IFERROR(VLOOKUP($A219,Ventas!$A$2:$L$5000,12,FALSE()),"")</f>
        <v>862</v>
      </c>
      <c r="Y219" s="60">
        <f t="shared" si="3"/>
        <v>3448</v>
      </c>
      <c r="Z219" s="61">
        <f t="shared" si="4"/>
        <v>2.5</v>
      </c>
      <c r="AA219" s="60">
        <f t="shared" si="5"/>
        <v>1298</v>
      </c>
      <c r="AB219" s="62" t="str">
        <f t="shared" si="6"/>
        <v/>
      </c>
      <c r="AC219" s="62" t="str">
        <f t="array" ref="AC219">IF(AH219&lt;&gt;"COMPRAR","",IF(MAX(INDEX(Ventas!$G$2:$G$5000,MATCH($A219,Ventas!$A$2:$A$5000,0)),INDEX(Ventas!$H$2:$H$5000,MATCH($A219,Ventas!$A$2:$A$5000,0)),INDEX(Ventas!$I$2:$I$5000,MATCH($A219,Ventas!$A$2:$A$5000,0)),INDEX(Ventas!$J$2:$J$5000,MATCH($A219,Ventas!$A$2:$A$5000,0)))&gt;0.5*AF219*4,"1 mes = "&amp;TEXT(MAX(INDEX(Ventas!$G$2:$G$5000,MATCH($A219,Ventas!$A$2:$A$5000,0)),INDEX(Ventas!$H$2:$H$5000,MATCH($A219,Ventas!$A$2:$A$5000,0)),INDEX(Ventas!$I$2:$I$5000,MATCH($A219,Ventas!$A$2:$A$5000,0)),INDEX(Ventas!$J$2:$J$5000,MATCH($A219,Ventas!$A$2:$A$5000,0)))/(AF219*4),"0%")&amp;" de 4 meses",""))</f>
        <v/>
      </c>
      <c r="AD219" s="62" t="str">
        <f t="shared" si="7"/>
        <v/>
      </c>
      <c r="AE219" s="62" t="str">
        <f t="array" ref="AE219">IF(X219="","",IF(AND(E219=0,AVERAGE(INDEX(Ventas!$C$2:$I$5000,MATCH($A219,Ventas!$A$2:$A$5000,0),0))&gt;0,INDEX(Ventas!$J$2:$J$5000,MATCH($A219,Ventas!$A$2:$A$5000,0))&lt;0.5*AVERAGE(INDEX(Ventas!$C$2:$I$5000,MATCH($A219,Ventas!$A$2:$A$5000,0),0))),"SÍ — stock 0 y Sep cayó (prom Feb-Ago "&amp;TEXT(AVERAGE(INDEX(Ventas!$C$2:$I$5000,MATCH($A219,Ventas!$A$2:$A$5000,0),0)),"#,##0")&amp;")",""))</f>
        <v/>
      </c>
      <c r="AF219" s="60">
        <f t="array" ref="AF219">IF(X219="","",IF(AE219&lt;&gt;"",MAX(X219,AVERAGE(INDEX(Ventas!$C$2:$I$5000,MATCH($A219,Ventas!$A$2:$A$5000,0),0))),X219))</f>
        <v>862</v>
      </c>
      <c r="AG219" s="60">
        <f t="shared" si="8"/>
        <v>1298</v>
      </c>
      <c r="AH219" s="63" t="str">
        <f t="shared" si="9"/>
        <v>COMPRAR</v>
      </c>
    </row>
    <row r="220" ht="13.5" customHeight="1">
      <c r="A220" s="49" t="s">
        <v>1712</v>
      </c>
      <c r="B220" s="50" t="s">
        <v>183</v>
      </c>
      <c r="C220" s="50" t="s">
        <v>3730</v>
      </c>
      <c r="D220" s="50" t="s">
        <v>336</v>
      </c>
      <c r="E220" s="51">
        <v>0.0</v>
      </c>
      <c r="F220" s="52"/>
      <c r="G220" s="53"/>
      <c r="H220" s="55"/>
      <c r="I220" s="55"/>
      <c r="J220" s="53"/>
      <c r="K220" s="53"/>
      <c r="L220" s="55"/>
      <c r="M220" s="53"/>
      <c r="N220" s="74"/>
      <c r="O220" s="57" t="str">
        <f t="shared" si="1"/>
        <v>COMPRAR — faltan 400 m para 4 meses</v>
      </c>
      <c r="P220" s="58">
        <f t="shared" si="2"/>
        <v>0</v>
      </c>
      <c r="Q220" s="1"/>
      <c r="R220" s="1"/>
      <c r="S220" s="1"/>
      <c r="T220" s="1"/>
      <c r="U220" s="1"/>
      <c r="V220" s="1"/>
      <c r="W220" s="1"/>
      <c r="X220" s="60">
        <f>IFERROR(VLOOKUP($A220,Ventas!$A$2:$L$5000,12,FALSE()),"")</f>
        <v>100</v>
      </c>
      <c r="Y220" s="60">
        <f t="shared" si="3"/>
        <v>400</v>
      </c>
      <c r="Z220" s="61">
        <f t="shared" si="4"/>
        <v>0</v>
      </c>
      <c r="AA220" s="60">
        <f t="shared" si="5"/>
        <v>400</v>
      </c>
      <c r="AB220" s="62" t="str">
        <f t="shared" si="6"/>
        <v/>
      </c>
      <c r="AC220" s="62" t="str">
        <f t="array" ref="AC220">IF(AH220&lt;&gt;"COMPRAR","",IF(MAX(INDEX(Ventas!$G$2:$G$5000,MATCH($A220,Ventas!$A$2:$A$5000,0)),INDEX(Ventas!$H$2:$H$5000,MATCH($A220,Ventas!$A$2:$A$5000,0)),INDEX(Ventas!$I$2:$I$5000,MATCH($A220,Ventas!$A$2:$A$5000,0)),INDEX(Ventas!$J$2:$J$5000,MATCH($A220,Ventas!$A$2:$A$5000,0)))&gt;0.5*AF220*4,"1 mes = "&amp;TEXT(MAX(INDEX(Ventas!$G$2:$G$5000,MATCH($A220,Ventas!$A$2:$A$5000,0)),INDEX(Ventas!$H$2:$H$5000,MATCH($A220,Ventas!$A$2:$A$5000,0)),INDEX(Ventas!$I$2:$I$5000,MATCH($A220,Ventas!$A$2:$A$5000,0)),INDEX(Ventas!$J$2:$J$5000,MATCH($A220,Ventas!$A$2:$A$5000,0)))/(AF220*4),"0%")&amp;" de 4 meses",""))</f>
        <v>1 mes = 100% de 4 meses</v>
      </c>
      <c r="AD220" s="62" t="str">
        <f t="shared" si="7"/>
        <v>SÍ — 0 m vs 53 m</v>
      </c>
      <c r="AE220" s="62" t="str">
        <f t="array" ref="AE220">IF(X220="","",IF(AND(E220=0,AVERAGE(INDEX(Ventas!$C$2:$I$5000,MATCH($A220,Ventas!$A$2:$A$5000,0),0))&gt;0,INDEX(Ventas!$J$2:$J$5000,MATCH($A220,Ventas!$A$2:$A$5000,0))&lt;0.5*AVERAGE(INDEX(Ventas!$C$2:$I$5000,MATCH($A220,Ventas!$A$2:$A$5000,0),0))),"SÍ — stock 0 y Sep cayó (prom Feb-Ago "&amp;TEXT(AVERAGE(INDEX(Ventas!$C$2:$I$5000,MATCH($A220,Ventas!$A$2:$A$5000,0),0)),"#,##0")&amp;")",""))</f>
        <v>SÍ — stock 0 y Sep cayó (prom Feb-Ago 64)</v>
      </c>
      <c r="AF220" s="60">
        <f t="array" ref="AF220">IF(X220="","",IF(AE220&lt;&gt;"",MAX(X220,AVERAGE(INDEX(Ventas!$C$2:$I$5000,MATCH($A220,Ventas!$A$2:$A$5000,0),0))),X220))</f>
        <v>100</v>
      </c>
      <c r="AG220" s="60">
        <f t="shared" si="8"/>
        <v>400</v>
      </c>
      <c r="AH220" s="63" t="str">
        <f t="shared" si="9"/>
        <v>COMPRAR</v>
      </c>
    </row>
    <row r="221" ht="13.5" customHeight="1">
      <c r="A221" s="64" t="s">
        <v>1700</v>
      </c>
      <c r="B221" s="65" t="s">
        <v>3732</v>
      </c>
      <c r="C221" s="65" t="s">
        <v>3733</v>
      </c>
      <c r="D221" s="65" t="s">
        <v>3734</v>
      </c>
      <c r="E221" s="51">
        <v>0.0</v>
      </c>
      <c r="F221" s="66"/>
      <c r="G221" s="53"/>
      <c r="H221" s="55"/>
      <c r="I221" s="55"/>
      <c r="J221" s="53"/>
      <c r="K221" s="53"/>
      <c r="L221" s="55"/>
      <c r="M221" s="53"/>
      <c r="N221" s="73"/>
      <c r="O221" s="57" t="str">
        <f t="shared" si="1"/>
        <v>COMPRAR — faltan 3,155 m para 4 meses</v>
      </c>
      <c r="P221" s="58">
        <f t="shared" si="2"/>
        <v>0</v>
      </c>
      <c r="Q221" s="1"/>
      <c r="R221" s="1"/>
      <c r="S221" s="1"/>
      <c r="T221" s="1"/>
      <c r="U221" s="1"/>
      <c r="V221" s="1"/>
      <c r="W221" s="1"/>
      <c r="X221" s="60">
        <f>IFERROR(VLOOKUP($A221,Ventas!$A$2:$L$5000,12,FALSE()),"")</f>
        <v>788.75</v>
      </c>
      <c r="Y221" s="60">
        <f t="shared" si="3"/>
        <v>3155</v>
      </c>
      <c r="Z221" s="61">
        <f t="shared" si="4"/>
        <v>0</v>
      </c>
      <c r="AA221" s="60">
        <f t="shared" si="5"/>
        <v>3155</v>
      </c>
      <c r="AB221" s="62" t="str">
        <f t="shared" si="6"/>
        <v/>
      </c>
      <c r="AC221" s="62" t="str">
        <f t="array" ref="AC221">IF(AH221&lt;&gt;"COMPRAR","",IF(MAX(INDEX(Ventas!$G$2:$G$5000,MATCH($A221,Ventas!$A$2:$A$5000,0)),INDEX(Ventas!$H$2:$H$5000,MATCH($A221,Ventas!$A$2:$A$5000,0)),INDEX(Ventas!$I$2:$I$5000,MATCH($A221,Ventas!$A$2:$A$5000,0)),INDEX(Ventas!$J$2:$J$5000,MATCH($A221,Ventas!$A$2:$A$5000,0)))&gt;0.5*AF221*4,"1 mes = "&amp;TEXT(MAX(INDEX(Ventas!$G$2:$G$5000,MATCH($A221,Ventas!$A$2:$A$5000,0)),INDEX(Ventas!$H$2:$H$5000,MATCH($A221,Ventas!$A$2:$A$5000,0)),INDEX(Ventas!$I$2:$I$5000,MATCH($A221,Ventas!$A$2:$A$5000,0)),INDEX(Ventas!$J$2:$J$5000,MATCH($A221,Ventas!$A$2:$A$5000,0)))/(AF221*4),"0%")&amp;" de 4 meses",""))</f>
        <v>1 mes = 91% de 4 meses</v>
      </c>
      <c r="AD221" s="62" t="str">
        <f t="shared" si="7"/>
        <v>SÍ — 0 m vs 418 m</v>
      </c>
      <c r="AE221" s="62" t="str">
        <f t="array" ref="AE221">IF(X221="","",IF(AND(E221=0,AVERAGE(INDEX(Ventas!$C$2:$I$5000,MATCH($A221,Ventas!$A$2:$A$5000,0),0))&gt;0,INDEX(Ventas!$J$2:$J$5000,MATCH($A221,Ventas!$A$2:$A$5000,0))&lt;0.5*AVERAGE(INDEX(Ventas!$C$2:$I$5000,MATCH($A221,Ventas!$A$2:$A$5000,0),0))),"SÍ — stock 0 y Sep cayó (prom Feb-Ago "&amp;TEXT(AVERAGE(INDEX(Ventas!$C$2:$I$5000,MATCH($A221,Ventas!$A$2:$A$5000,0),0)),"#,##0")&amp;")",""))</f>
        <v>SÍ — stock 0 y Sep cayó (prom Feb-Ago 554)</v>
      </c>
      <c r="AF221" s="60">
        <f t="array" ref="AF221">IF(X221="","",IF(AE221&lt;&gt;"",MAX(X221,AVERAGE(INDEX(Ventas!$C$2:$I$5000,MATCH($A221,Ventas!$A$2:$A$5000,0),0))),X221))</f>
        <v>788.75</v>
      </c>
      <c r="AG221" s="60">
        <f t="shared" si="8"/>
        <v>3155</v>
      </c>
      <c r="AH221" s="63" t="str">
        <f t="shared" si="9"/>
        <v>COMPRAR</v>
      </c>
    </row>
    <row r="222" ht="13.5" customHeight="1">
      <c r="A222" s="49" t="s">
        <v>1704</v>
      </c>
      <c r="B222" s="50" t="s">
        <v>3732</v>
      </c>
      <c r="C222" s="50" t="s">
        <v>3733</v>
      </c>
      <c r="D222" s="50" t="s">
        <v>3735</v>
      </c>
      <c r="E222" s="51">
        <v>158.0</v>
      </c>
      <c r="F222" s="52"/>
      <c r="G222" s="53"/>
      <c r="H222" s="55"/>
      <c r="I222" s="55"/>
      <c r="J222" s="53"/>
      <c r="K222" s="53"/>
      <c r="L222" s="55"/>
      <c r="M222" s="53"/>
      <c r="N222" s="74"/>
      <c r="O222" s="57" t="str">
        <f t="shared" si="1"/>
        <v>OK — cubierto (6.3 meses)</v>
      </c>
      <c r="P222" s="58">
        <f t="shared" si="2"/>
        <v>158</v>
      </c>
      <c r="Q222" s="1"/>
      <c r="R222" s="1"/>
      <c r="S222" s="1"/>
      <c r="T222" s="1"/>
      <c r="U222" s="1"/>
      <c r="V222" s="1"/>
      <c r="W222" s="1"/>
      <c r="X222" s="60">
        <f>IFERROR(VLOOKUP($A222,Ventas!$A$2:$L$5000,12,FALSE()),"")</f>
        <v>25</v>
      </c>
      <c r="Y222" s="60">
        <f t="shared" si="3"/>
        <v>100</v>
      </c>
      <c r="Z222" s="61">
        <f t="shared" si="4"/>
        <v>6.3</v>
      </c>
      <c r="AA222" s="60">
        <f t="shared" si="5"/>
        <v>-58</v>
      </c>
      <c r="AB222" s="62" t="str">
        <f t="shared" si="6"/>
        <v/>
      </c>
      <c r="AC222" s="62" t="str">
        <f t="array" ref="AC222">IF(AH222&lt;&gt;"COMPRAR","",IF(MAX(INDEX(Ventas!$G$2:$G$5000,MATCH($A222,Ventas!$A$2:$A$5000,0)),INDEX(Ventas!$H$2:$H$5000,MATCH($A222,Ventas!$A$2:$A$5000,0)),INDEX(Ventas!$I$2:$I$5000,MATCH($A222,Ventas!$A$2:$A$5000,0)),INDEX(Ventas!$J$2:$J$5000,MATCH($A222,Ventas!$A$2:$A$5000,0)))&gt;0.5*AF222*4,"1 mes = "&amp;TEXT(MAX(INDEX(Ventas!$G$2:$G$5000,MATCH($A222,Ventas!$A$2:$A$5000,0)),INDEX(Ventas!$H$2:$H$5000,MATCH($A222,Ventas!$A$2:$A$5000,0)),INDEX(Ventas!$I$2:$I$5000,MATCH($A222,Ventas!$A$2:$A$5000,0)),INDEX(Ventas!$J$2:$J$5000,MATCH($A222,Ventas!$A$2:$A$5000,0)))/(AF222*4),"0%")&amp;" de 4 meses",""))</f>
        <v/>
      </c>
      <c r="AD222" s="62" t="str">
        <f t="shared" si="7"/>
        <v/>
      </c>
      <c r="AE222" s="62" t="str">
        <f t="array" ref="AE222">IF(X222="","",IF(AND(E222=0,AVERAGE(INDEX(Ventas!$C$2:$I$5000,MATCH($A222,Ventas!$A$2:$A$5000,0),0))&gt;0,INDEX(Ventas!$J$2:$J$5000,MATCH($A222,Ventas!$A$2:$A$5000,0))&lt;0.5*AVERAGE(INDEX(Ventas!$C$2:$I$5000,MATCH($A222,Ventas!$A$2:$A$5000,0),0))),"SÍ — stock 0 y Sep cayó (prom Feb-Ago "&amp;TEXT(AVERAGE(INDEX(Ventas!$C$2:$I$5000,MATCH($A222,Ventas!$A$2:$A$5000,0),0)),"#,##0")&amp;")",""))</f>
        <v/>
      </c>
      <c r="AF222" s="60">
        <f t="array" ref="AF222">IF(X222="","",IF(AE222&lt;&gt;"",MAX(X222,AVERAGE(INDEX(Ventas!$C$2:$I$5000,MATCH($A222,Ventas!$A$2:$A$5000,0),0))),X222))</f>
        <v>25</v>
      </c>
      <c r="AG222" s="60">
        <f t="shared" si="8"/>
        <v>-58</v>
      </c>
      <c r="AH222" s="63" t="str">
        <f t="shared" si="9"/>
        <v>OK</v>
      </c>
    </row>
    <row r="223" ht="13.5" customHeight="1">
      <c r="A223" s="64" t="s">
        <v>1702</v>
      </c>
      <c r="B223" s="65" t="s">
        <v>3732</v>
      </c>
      <c r="C223" s="65" t="s">
        <v>3733</v>
      </c>
      <c r="D223" s="65" t="s">
        <v>2572</v>
      </c>
      <c r="E223" s="51">
        <v>950.0</v>
      </c>
      <c r="F223" s="66"/>
      <c r="G223" s="53"/>
      <c r="H223" s="55"/>
      <c r="I223" s="55"/>
      <c r="J223" s="53"/>
      <c r="K223" s="53"/>
      <c r="L223" s="55"/>
      <c r="M223" s="53"/>
      <c r="N223" s="73"/>
      <c r="O223" s="57" t="str">
        <f t="shared" si="1"/>
        <v>SOBRESTOCK — 54.3 meses de cobertura</v>
      </c>
      <c r="P223" s="58">
        <f t="shared" si="2"/>
        <v>950</v>
      </c>
      <c r="Q223" s="1"/>
      <c r="R223" s="1"/>
      <c r="S223" s="1"/>
      <c r="T223" s="1"/>
      <c r="U223" s="1"/>
      <c r="V223" s="1"/>
      <c r="W223" s="1"/>
      <c r="X223" s="60">
        <f>IFERROR(VLOOKUP($A223,Ventas!$A$2:$L$5000,12,FALSE()),"")</f>
        <v>17.5</v>
      </c>
      <c r="Y223" s="60">
        <f t="shared" si="3"/>
        <v>70</v>
      </c>
      <c r="Z223" s="61">
        <f t="shared" si="4"/>
        <v>54.3</v>
      </c>
      <c r="AA223" s="60">
        <f t="shared" si="5"/>
        <v>-880</v>
      </c>
      <c r="AB223" s="62" t="str">
        <f t="shared" si="6"/>
        <v/>
      </c>
      <c r="AC223" s="62" t="str">
        <f t="array" ref="AC223">IF(AH223&lt;&gt;"COMPRAR","",IF(MAX(INDEX(Ventas!$G$2:$G$5000,MATCH($A223,Ventas!$A$2:$A$5000,0)),INDEX(Ventas!$H$2:$H$5000,MATCH($A223,Ventas!$A$2:$A$5000,0)),INDEX(Ventas!$I$2:$I$5000,MATCH($A223,Ventas!$A$2:$A$5000,0)),INDEX(Ventas!$J$2:$J$5000,MATCH($A223,Ventas!$A$2:$A$5000,0)))&gt;0.5*AF223*4,"1 mes = "&amp;TEXT(MAX(INDEX(Ventas!$G$2:$G$5000,MATCH($A223,Ventas!$A$2:$A$5000,0)),INDEX(Ventas!$H$2:$H$5000,MATCH($A223,Ventas!$A$2:$A$5000,0)),INDEX(Ventas!$I$2:$I$5000,MATCH($A223,Ventas!$A$2:$A$5000,0)),INDEX(Ventas!$J$2:$J$5000,MATCH($A223,Ventas!$A$2:$A$5000,0)))/(AF223*4),"0%")&amp;" de 4 meses",""))</f>
        <v/>
      </c>
      <c r="AD223" s="62" t="str">
        <f t="shared" si="7"/>
        <v/>
      </c>
      <c r="AE223" s="62" t="str">
        <f t="array" ref="AE223">IF(X223="","",IF(AND(E223=0,AVERAGE(INDEX(Ventas!$C$2:$I$5000,MATCH($A223,Ventas!$A$2:$A$5000,0),0))&gt;0,INDEX(Ventas!$J$2:$J$5000,MATCH($A223,Ventas!$A$2:$A$5000,0))&lt;0.5*AVERAGE(INDEX(Ventas!$C$2:$I$5000,MATCH($A223,Ventas!$A$2:$A$5000,0),0))),"SÍ — stock 0 y Sep cayó (prom Feb-Ago "&amp;TEXT(AVERAGE(INDEX(Ventas!$C$2:$I$5000,MATCH($A223,Ventas!$A$2:$A$5000,0),0)),"#,##0")&amp;")",""))</f>
        <v/>
      </c>
      <c r="AF223" s="60">
        <f t="array" ref="AF223">IF(X223="","",IF(AE223&lt;&gt;"",MAX(X223,AVERAGE(INDEX(Ventas!$C$2:$I$5000,MATCH($A223,Ventas!$A$2:$A$5000,0),0))),X223))</f>
        <v>17.5</v>
      </c>
      <c r="AG223" s="60">
        <f t="shared" si="8"/>
        <v>-880</v>
      </c>
      <c r="AH223" s="63" t="str">
        <f t="shared" si="9"/>
        <v>SOBRESTOCK</v>
      </c>
    </row>
    <row r="224" ht="13.5" customHeight="1">
      <c r="A224" s="49" t="s">
        <v>1698</v>
      </c>
      <c r="B224" s="50" t="s">
        <v>3732</v>
      </c>
      <c r="C224" s="50" t="s">
        <v>3736</v>
      </c>
      <c r="D224" s="50" t="s">
        <v>3734</v>
      </c>
      <c r="E224" s="51">
        <v>350.0</v>
      </c>
      <c r="F224" s="52"/>
      <c r="G224" s="53"/>
      <c r="H224" s="55"/>
      <c r="I224" s="55"/>
      <c r="J224" s="53"/>
      <c r="K224" s="53"/>
      <c r="L224" s="55"/>
      <c r="M224" s="53"/>
      <c r="N224" s="74"/>
      <c r="O224" s="57" t="str">
        <f t="shared" si="1"/>
        <v>COMPRAR — faltan 1,350 m para 4 meses</v>
      </c>
      <c r="P224" s="58">
        <f t="shared" si="2"/>
        <v>350</v>
      </c>
      <c r="Q224" s="1"/>
      <c r="R224" s="1"/>
      <c r="S224" s="1"/>
      <c r="T224" s="1"/>
      <c r="U224" s="1"/>
      <c r="V224" s="1"/>
      <c r="W224" s="1"/>
      <c r="X224" s="60">
        <f>IFERROR(VLOOKUP($A224,Ventas!$A$2:$L$5000,12,FALSE()),"")</f>
        <v>425</v>
      </c>
      <c r="Y224" s="60">
        <f t="shared" si="3"/>
        <v>1700</v>
      </c>
      <c r="Z224" s="61">
        <f t="shared" si="4"/>
        <v>0.8</v>
      </c>
      <c r="AA224" s="60">
        <f t="shared" si="5"/>
        <v>1350</v>
      </c>
      <c r="AB224" s="62" t="str">
        <f t="shared" si="6"/>
        <v/>
      </c>
      <c r="AC224" s="62" t="str">
        <f t="array" ref="AC224">IF(AH224&lt;&gt;"COMPRAR","",IF(MAX(INDEX(Ventas!$G$2:$G$5000,MATCH($A224,Ventas!$A$2:$A$5000,0)),INDEX(Ventas!$H$2:$H$5000,MATCH($A224,Ventas!$A$2:$A$5000,0)),INDEX(Ventas!$I$2:$I$5000,MATCH($A224,Ventas!$A$2:$A$5000,0)),INDEX(Ventas!$J$2:$J$5000,MATCH($A224,Ventas!$A$2:$A$5000,0)))&gt;0.5*AF224*4,"1 mes = "&amp;TEXT(MAX(INDEX(Ventas!$G$2:$G$5000,MATCH($A224,Ventas!$A$2:$A$5000,0)),INDEX(Ventas!$H$2:$H$5000,MATCH($A224,Ventas!$A$2:$A$5000,0)),INDEX(Ventas!$I$2:$I$5000,MATCH($A224,Ventas!$A$2:$A$5000,0)),INDEX(Ventas!$J$2:$J$5000,MATCH($A224,Ventas!$A$2:$A$5000,0)))/(AF224*4),"0%")&amp;" de 4 meses",""))</f>
        <v>1 mes = 88% de 4 meses</v>
      </c>
      <c r="AD224" s="62" t="str">
        <f t="shared" si="7"/>
        <v/>
      </c>
      <c r="AE224" s="62" t="str">
        <f t="array" ref="AE224">IF(X224="","",IF(AND(E224=0,AVERAGE(INDEX(Ventas!$C$2:$I$5000,MATCH($A224,Ventas!$A$2:$A$5000,0),0))&gt;0,INDEX(Ventas!$J$2:$J$5000,MATCH($A224,Ventas!$A$2:$A$5000,0))&lt;0.5*AVERAGE(INDEX(Ventas!$C$2:$I$5000,MATCH($A224,Ventas!$A$2:$A$5000,0),0))),"SÍ — stock 0 y Sep cayó (prom Feb-Ago "&amp;TEXT(AVERAGE(INDEX(Ventas!$C$2:$I$5000,MATCH($A224,Ventas!$A$2:$A$5000,0),0)),"#,##0")&amp;")",""))</f>
        <v/>
      </c>
      <c r="AF224" s="60">
        <f t="array" ref="AF224">IF(X224="","",IF(AE224&lt;&gt;"",MAX(X224,AVERAGE(INDEX(Ventas!$C$2:$I$5000,MATCH($A224,Ventas!$A$2:$A$5000,0),0))),X224))</f>
        <v>425</v>
      </c>
      <c r="AG224" s="60">
        <f t="shared" si="8"/>
        <v>1350</v>
      </c>
      <c r="AH224" s="63" t="str">
        <f t="shared" si="9"/>
        <v>COMPRAR</v>
      </c>
    </row>
    <row r="225" ht="13.5" customHeight="1">
      <c r="A225" s="64" t="s">
        <v>110</v>
      </c>
      <c r="B225" s="65" t="s">
        <v>3732</v>
      </c>
      <c r="C225" s="65" t="s">
        <v>3737</v>
      </c>
      <c r="D225" s="65" t="s">
        <v>3734</v>
      </c>
      <c r="E225" s="51">
        <v>46.0</v>
      </c>
      <c r="F225" s="66"/>
      <c r="G225" s="53"/>
      <c r="H225" s="55"/>
      <c r="I225" s="55"/>
      <c r="J225" s="53"/>
      <c r="K225" s="53"/>
      <c r="L225" s="55"/>
      <c r="M225" s="53"/>
      <c r="N225" s="73"/>
      <c r="O225" s="57" t="str">
        <f t="shared" si="1"/>
        <v>SIN VENTAS Jun-Sep — no comprar (46 m disponibles)</v>
      </c>
      <c r="P225" s="58">
        <f t="shared" si="2"/>
        <v>46</v>
      </c>
      <c r="Q225" s="1"/>
      <c r="R225" s="1"/>
      <c r="S225" s="1"/>
      <c r="T225" s="1"/>
      <c r="U225" s="1"/>
      <c r="V225" s="1"/>
      <c r="W225" s="1"/>
      <c r="X225" s="60">
        <f>IFERROR(VLOOKUP($A225,Ventas!$A$2:$L$5000,12,FALSE()),"")</f>
        <v>0</v>
      </c>
      <c r="Y225" s="60">
        <f t="shared" si="3"/>
        <v>0</v>
      </c>
      <c r="Z225" s="61" t="str">
        <f t="shared" si="4"/>
        <v/>
      </c>
      <c r="AA225" s="60">
        <f t="shared" si="5"/>
        <v>-46</v>
      </c>
      <c r="AB225" s="62" t="str">
        <f t="shared" si="6"/>
        <v/>
      </c>
      <c r="AC225" s="62" t="str">
        <f t="array" ref="AC225">IF(AH225&lt;&gt;"COMPRAR","",IF(MAX(INDEX(Ventas!$G$2:$G$5000,MATCH($A225,Ventas!$A$2:$A$5000,0)),INDEX(Ventas!$H$2:$H$5000,MATCH($A225,Ventas!$A$2:$A$5000,0)),INDEX(Ventas!$I$2:$I$5000,MATCH($A225,Ventas!$A$2:$A$5000,0)),INDEX(Ventas!$J$2:$J$5000,MATCH($A225,Ventas!$A$2:$A$5000,0)))&gt;0.5*AF225*4,"1 mes = "&amp;TEXT(MAX(INDEX(Ventas!$G$2:$G$5000,MATCH($A225,Ventas!$A$2:$A$5000,0)),INDEX(Ventas!$H$2:$H$5000,MATCH($A225,Ventas!$A$2:$A$5000,0)),INDEX(Ventas!$I$2:$I$5000,MATCH($A225,Ventas!$A$2:$A$5000,0)),INDEX(Ventas!$J$2:$J$5000,MATCH($A225,Ventas!$A$2:$A$5000,0)))/(AF225*4),"0%")&amp;" de 4 meses",""))</f>
        <v/>
      </c>
      <c r="AD225" s="62" t="str">
        <f t="shared" si="7"/>
        <v/>
      </c>
      <c r="AE225" s="62" t="str">
        <f t="array" ref="AE225">IF(X225="","",IF(AND(E225=0,AVERAGE(INDEX(Ventas!$C$2:$I$5000,MATCH($A225,Ventas!$A$2:$A$5000,0),0))&gt;0,INDEX(Ventas!$J$2:$J$5000,MATCH($A225,Ventas!$A$2:$A$5000,0))&lt;0.5*AVERAGE(INDEX(Ventas!$C$2:$I$5000,MATCH($A225,Ventas!$A$2:$A$5000,0),0))),"SÍ — stock 0 y Sep cayó (prom Feb-Ago "&amp;TEXT(AVERAGE(INDEX(Ventas!$C$2:$I$5000,MATCH($A225,Ventas!$A$2:$A$5000,0),0)),"#,##0")&amp;")",""))</f>
        <v/>
      </c>
      <c r="AF225" s="60">
        <f t="array" ref="AF225">IF(X225="","",IF(AE225&lt;&gt;"",MAX(X225,AVERAGE(INDEX(Ventas!$C$2:$I$5000,MATCH($A225,Ventas!$A$2:$A$5000,0),0))),X225))</f>
        <v>0</v>
      </c>
      <c r="AG225" s="60">
        <f t="shared" si="8"/>
        <v>-46</v>
      </c>
      <c r="AH225" s="63" t="str">
        <f t="shared" si="9"/>
        <v>SIN VENTAS</v>
      </c>
    </row>
    <row r="226" ht="13.5" customHeight="1">
      <c r="A226" s="49" t="s">
        <v>2341</v>
      </c>
      <c r="B226" s="50" t="s">
        <v>183</v>
      </c>
      <c r="C226" s="50" t="s">
        <v>3738</v>
      </c>
      <c r="D226" s="50" t="s">
        <v>3739</v>
      </c>
      <c r="E226" s="51">
        <v>444.0</v>
      </c>
      <c r="F226" s="52"/>
      <c r="G226" s="53"/>
      <c r="H226" s="55"/>
      <c r="I226" s="55"/>
      <c r="J226" s="53"/>
      <c r="K226" s="53"/>
      <c r="L226" s="55"/>
      <c r="M226" s="53"/>
      <c r="N226" s="74"/>
      <c r="O226" s="57" t="str">
        <f t="shared" si="1"/>
        <v>COMPRAR — faltan 61 m para 4 meses</v>
      </c>
      <c r="P226" s="58">
        <f t="shared" si="2"/>
        <v>444</v>
      </c>
      <c r="Q226" s="1"/>
      <c r="R226" s="1"/>
      <c r="S226" s="1"/>
      <c r="T226" s="1"/>
      <c r="U226" s="1"/>
      <c r="V226" s="1"/>
      <c r="W226" s="1"/>
      <c r="X226" s="60">
        <f>IFERROR(VLOOKUP($A226,Ventas!$A$2:$L$5000,12,FALSE()),"")</f>
        <v>126.25</v>
      </c>
      <c r="Y226" s="60">
        <f t="shared" si="3"/>
        <v>505</v>
      </c>
      <c r="Z226" s="61">
        <f t="shared" si="4"/>
        <v>3.5</v>
      </c>
      <c r="AA226" s="60">
        <f t="shared" si="5"/>
        <v>61</v>
      </c>
      <c r="AB226" s="62" t="str">
        <f t="shared" si="6"/>
        <v/>
      </c>
      <c r="AC226" s="62" t="str">
        <f t="array" ref="AC226">IF(AH226&lt;&gt;"COMPRAR","",IF(MAX(INDEX(Ventas!$G$2:$G$5000,MATCH($A226,Ventas!$A$2:$A$5000,0)),INDEX(Ventas!$H$2:$H$5000,MATCH($A226,Ventas!$A$2:$A$5000,0)),INDEX(Ventas!$I$2:$I$5000,MATCH($A226,Ventas!$A$2:$A$5000,0)),INDEX(Ventas!$J$2:$J$5000,MATCH($A226,Ventas!$A$2:$A$5000,0)))&gt;0.5*AF226*4,"1 mes = "&amp;TEXT(MAX(INDEX(Ventas!$G$2:$G$5000,MATCH($A226,Ventas!$A$2:$A$5000,0)),INDEX(Ventas!$H$2:$H$5000,MATCH($A226,Ventas!$A$2:$A$5000,0)),INDEX(Ventas!$I$2:$I$5000,MATCH($A226,Ventas!$A$2:$A$5000,0)),INDEX(Ventas!$J$2:$J$5000,MATCH($A226,Ventas!$A$2:$A$5000,0)))/(AF226*4),"0%")&amp;" de 4 meses",""))</f>
        <v/>
      </c>
      <c r="AD226" s="62" t="str">
        <f t="shared" si="7"/>
        <v/>
      </c>
      <c r="AE226" s="62" t="str">
        <f t="array" ref="AE226">IF(X226="","",IF(AND(E226=0,AVERAGE(INDEX(Ventas!$C$2:$I$5000,MATCH($A226,Ventas!$A$2:$A$5000,0),0))&gt;0,INDEX(Ventas!$J$2:$J$5000,MATCH($A226,Ventas!$A$2:$A$5000,0))&lt;0.5*AVERAGE(INDEX(Ventas!$C$2:$I$5000,MATCH($A226,Ventas!$A$2:$A$5000,0),0))),"SÍ — stock 0 y Sep cayó (prom Feb-Ago "&amp;TEXT(AVERAGE(INDEX(Ventas!$C$2:$I$5000,MATCH($A226,Ventas!$A$2:$A$5000,0),0)),"#,##0")&amp;")",""))</f>
        <v/>
      </c>
      <c r="AF226" s="60">
        <f t="array" ref="AF226">IF(X226="","",IF(AE226&lt;&gt;"",MAX(X226,AVERAGE(INDEX(Ventas!$C$2:$I$5000,MATCH($A226,Ventas!$A$2:$A$5000,0),0))),X226))</f>
        <v>126.25</v>
      </c>
      <c r="AG226" s="60">
        <f t="shared" si="8"/>
        <v>61</v>
      </c>
      <c r="AH226" s="63" t="str">
        <f t="shared" si="9"/>
        <v>COMPRAR</v>
      </c>
    </row>
    <row r="227" ht="13.5" customHeight="1">
      <c r="A227" s="64" t="s">
        <v>2347</v>
      </c>
      <c r="B227" s="65" t="s">
        <v>183</v>
      </c>
      <c r="C227" s="65" t="s">
        <v>3738</v>
      </c>
      <c r="D227" s="65" t="s">
        <v>3740</v>
      </c>
      <c r="E227" s="51">
        <v>482.0</v>
      </c>
      <c r="F227" s="66"/>
      <c r="G227" s="53"/>
      <c r="H227" s="55"/>
      <c r="I227" s="55"/>
      <c r="J227" s="53"/>
      <c r="K227" s="53"/>
      <c r="L227" s="55"/>
      <c r="M227" s="53"/>
      <c r="N227" s="73"/>
      <c r="O227" s="57" t="str">
        <f t="shared" si="1"/>
        <v>SOBRESTOCK — 19.3 meses de cobertura</v>
      </c>
      <c r="P227" s="58">
        <f t="shared" si="2"/>
        <v>482</v>
      </c>
      <c r="Q227" s="1"/>
      <c r="R227" s="1"/>
      <c r="S227" s="1"/>
      <c r="T227" s="1"/>
      <c r="U227" s="1"/>
      <c r="V227" s="1"/>
      <c r="W227" s="1"/>
      <c r="X227" s="60">
        <f>IFERROR(VLOOKUP($A227,Ventas!$A$2:$L$5000,12,FALSE()),"")</f>
        <v>25</v>
      </c>
      <c r="Y227" s="60">
        <f t="shared" si="3"/>
        <v>100</v>
      </c>
      <c r="Z227" s="61">
        <f t="shared" si="4"/>
        <v>19.3</v>
      </c>
      <c r="AA227" s="60">
        <f t="shared" si="5"/>
        <v>-382</v>
      </c>
      <c r="AB227" s="62" t="str">
        <f t="shared" si="6"/>
        <v/>
      </c>
      <c r="AC227" s="62" t="str">
        <f t="array" ref="AC227">IF(AH227&lt;&gt;"COMPRAR","",IF(MAX(INDEX(Ventas!$G$2:$G$5000,MATCH($A227,Ventas!$A$2:$A$5000,0)),INDEX(Ventas!$H$2:$H$5000,MATCH($A227,Ventas!$A$2:$A$5000,0)),INDEX(Ventas!$I$2:$I$5000,MATCH($A227,Ventas!$A$2:$A$5000,0)),INDEX(Ventas!$J$2:$J$5000,MATCH($A227,Ventas!$A$2:$A$5000,0)))&gt;0.5*AF227*4,"1 mes = "&amp;TEXT(MAX(INDEX(Ventas!$G$2:$G$5000,MATCH($A227,Ventas!$A$2:$A$5000,0)),INDEX(Ventas!$H$2:$H$5000,MATCH($A227,Ventas!$A$2:$A$5000,0)),INDEX(Ventas!$I$2:$I$5000,MATCH($A227,Ventas!$A$2:$A$5000,0)),INDEX(Ventas!$J$2:$J$5000,MATCH($A227,Ventas!$A$2:$A$5000,0)))/(AF227*4),"0%")&amp;" de 4 meses",""))</f>
        <v/>
      </c>
      <c r="AD227" s="62" t="str">
        <f t="shared" si="7"/>
        <v/>
      </c>
      <c r="AE227" s="62" t="str">
        <f t="array" ref="AE227">IF(X227="","",IF(AND(E227=0,AVERAGE(INDEX(Ventas!$C$2:$I$5000,MATCH($A227,Ventas!$A$2:$A$5000,0),0))&gt;0,INDEX(Ventas!$J$2:$J$5000,MATCH($A227,Ventas!$A$2:$A$5000,0))&lt;0.5*AVERAGE(INDEX(Ventas!$C$2:$I$5000,MATCH($A227,Ventas!$A$2:$A$5000,0),0))),"SÍ — stock 0 y Sep cayó (prom Feb-Ago "&amp;TEXT(AVERAGE(INDEX(Ventas!$C$2:$I$5000,MATCH($A227,Ventas!$A$2:$A$5000,0),0)),"#,##0")&amp;")",""))</f>
        <v/>
      </c>
      <c r="AF227" s="60">
        <f t="array" ref="AF227">IF(X227="","",IF(AE227&lt;&gt;"",MAX(X227,AVERAGE(INDEX(Ventas!$C$2:$I$5000,MATCH($A227,Ventas!$A$2:$A$5000,0),0))),X227))</f>
        <v>25</v>
      </c>
      <c r="AG227" s="60">
        <f t="shared" si="8"/>
        <v>-382</v>
      </c>
      <c r="AH227" s="63" t="str">
        <f t="shared" si="9"/>
        <v>SOBRESTOCK</v>
      </c>
    </row>
    <row r="228" ht="13.5" customHeight="1">
      <c r="A228" s="49" t="s">
        <v>2345</v>
      </c>
      <c r="B228" s="50" t="s">
        <v>183</v>
      </c>
      <c r="C228" s="50" t="s">
        <v>3738</v>
      </c>
      <c r="D228" s="50" t="s">
        <v>3741</v>
      </c>
      <c r="E228" s="51">
        <v>3792.0</v>
      </c>
      <c r="F228" s="52"/>
      <c r="G228" s="53"/>
      <c r="H228" s="55"/>
      <c r="I228" s="55"/>
      <c r="J228" s="53"/>
      <c r="K228" s="53"/>
      <c r="L228" s="55"/>
      <c r="M228" s="53"/>
      <c r="N228" s="74"/>
      <c r="O228" s="57" t="str">
        <f t="shared" si="1"/>
        <v>SOBRESTOCK — 303.4 meses de cobertura</v>
      </c>
      <c r="P228" s="58">
        <f t="shared" si="2"/>
        <v>3792</v>
      </c>
      <c r="Q228" s="1"/>
      <c r="R228" s="1"/>
      <c r="S228" s="1"/>
      <c r="T228" s="1"/>
      <c r="U228" s="1"/>
      <c r="V228" s="1"/>
      <c r="W228" s="1"/>
      <c r="X228" s="60">
        <f>IFERROR(VLOOKUP($A228,Ventas!$A$2:$L$5000,12,FALSE()),"")</f>
        <v>12.5</v>
      </c>
      <c r="Y228" s="60">
        <f t="shared" si="3"/>
        <v>50</v>
      </c>
      <c r="Z228" s="61">
        <f t="shared" si="4"/>
        <v>303.4</v>
      </c>
      <c r="AA228" s="60">
        <f t="shared" si="5"/>
        <v>-3742</v>
      </c>
      <c r="AB228" s="62" t="str">
        <f t="shared" si="6"/>
        <v/>
      </c>
      <c r="AC228" s="62" t="str">
        <f t="array" ref="AC228">IF(AH228&lt;&gt;"COMPRAR","",IF(MAX(INDEX(Ventas!$G$2:$G$5000,MATCH($A228,Ventas!$A$2:$A$5000,0)),INDEX(Ventas!$H$2:$H$5000,MATCH($A228,Ventas!$A$2:$A$5000,0)),INDEX(Ventas!$I$2:$I$5000,MATCH($A228,Ventas!$A$2:$A$5000,0)),INDEX(Ventas!$J$2:$J$5000,MATCH($A228,Ventas!$A$2:$A$5000,0)))&gt;0.5*AF228*4,"1 mes = "&amp;TEXT(MAX(INDEX(Ventas!$G$2:$G$5000,MATCH($A228,Ventas!$A$2:$A$5000,0)),INDEX(Ventas!$H$2:$H$5000,MATCH($A228,Ventas!$A$2:$A$5000,0)),INDEX(Ventas!$I$2:$I$5000,MATCH($A228,Ventas!$A$2:$A$5000,0)),INDEX(Ventas!$J$2:$J$5000,MATCH($A228,Ventas!$A$2:$A$5000,0)))/(AF228*4),"0%")&amp;" de 4 meses",""))</f>
        <v/>
      </c>
      <c r="AD228" s="62" t="str">
        <f t="shared" si="7"/>
        <v/>
      </c>
      <c r="AE228" s="62" t="str">
        <f t="array" ref="AE228">IF(X228="","",IF(AND(E228=0,AVERAGE(INDEX(Ventas!$C$2:$I$5000,MATCH($A228,Ventas!$A$2:$A$5000,0),0))&gt;0,INDEX(Ventas!$J$2:$J$5000,MATCH($A228,Ventas!$A$2:$A$5000,0))&lt;0.5*AVERAGE(INDEX(Ventas!$C$2:$I$5000,MATCH($A228,Ventas!$A$2:$A$5000,0),0))),"SÍ — stock 0 y Sep cayó (prom Feb-Ago "&amp;TEXT(AVERAGE(INDEX(Ventas!$C$2:$I$5000,MATCH($A228,Ventas!$A$2:$A$5000,0),0)),"#,##0")&amp;")",""))</f>
        <v/>
      </c>
      <c r="AF228" s="60">
        <f t="array" ref="AF228">IF(X228="","",IF(AE228&lt;&gt;"",MAX(X228,AVERAGE(INDEX(Ventas!$C$2:$I$5000,MATCH($A228,Ventas!$A$2:$A$5000,0),0))),X228))</f>
        <v>12.5</v>
      </c>
      <c r="AG228" s="60">
        <f t="shared" si="8"/>
        <v>-3742</v>
      </c>
      <c r="AH228" s="63" t="str">
        <f t="shared" si="9"/>
        <v>SOBRESTOCK</v>
      </c>
    </row>
    <row r="229" ht="13.5" customHeight="1">
      <c r="A229" s="64" t="s">
        <v>2339</v>
      </c>
      <c r="B229" s="65" t="s">
        <v>183</v>
      </c>
      <c r="C229" s="65" t="s">
        <v>3738</v>
      </c>
      <c r="D229" s="65" t="s">
        <v>3742</v>
      </c>
      <c r="E229" s="51">
        <v>300.0</v>
      </c>
      <c r="F229" s="66"/>
      <c r="G229" s="53"/>
      <c r="H229" s="55"/>
      <c r="I229" s="55"/>
      <c r="J229" s="53"/>
      <c r="K229" s="53"/>
      <c r="L229" s="55"/>
      <c r="M229" s="53"/>
      <c r="N229" s="73"/>
      <c r="O229" s="57" t="str">
        <f t="shared" si="1"/>
        <v>SIN VENTAS Jun-Sep — no comprar (300 m disponibles)</v>
      </c>
      <c r="P229" s="58">
        <f t="shared" si="2"/>
        <v>300</v>
      </c>
      <c r="Q229" s="1"/>
      <c r="R229" s="1"/>
      <c r="S229" s="1"/>
      <c r="T229" s="1"/>
      <c r="U229" s="1"/>
      <c r="V229" s="1"/>
      <c r="W229" s="1"/>
      <c r="X229" s="60">
        <f>IFERROR(VLOOKUP($A229,Ventas!$A$2:$L$5000,12,FALSE()),"")</f>
        <v>0</v>
      </c>
      <c r="Y229" s="60">
        <f t="shared" si="3"/>
        <v>0</v>
      </c>
      <c r="Z229" s="61" t="str">
        <f t="shared" si="4"/>
        <v/>
      </c>
      <c r="AA229" s="60">
        <f t="shared" si="5"/>
        <v>-300</v>
      </c>
      <c r="AB229" s="62" t="str">
        <f t="shared" si="6"/>
        <v/>
      </c>
      <c r="AC229" s="62" t="str">
        <f t="array" ref="AC229">IF(AH229&lt;&gt;"COMPRAR","",IF(MAX(INDEX(Ventas!$G$2:$G$5000,MATCH($A229,Ventas!$A$2:$A$5000,0)),INDEX(Ventas!$H$2:$H$5000,MATCH($A229,Ventas!$A$2:$A$5000,0)),INDEX(Ventas!$I$2:$I$5000,MATCH($A229,Ventas!$A$2:$A$5000,0)),INDEX(Ventas!$J$2:$J$5000,MATCH($A229,Ventas!$A$2:$A$5000,0)))&gt;0.5*AF229*4,"1 mes = "&amp;TEXT(MAX(INDEX(Ventas!$G$2:$G$5000,MATCH($A229,Ventas!$A$2:$A$5000,0)),INDEX(Ventas!$H$2:$H$5000,MATCH($A229,Ventas!$A$2:$A$5000,0)),INDEX(Ventas!$I$2:$I$5000,MATCH($A229,Ventas!$A$2:$A$5000,0)),INDEX(Ventas!$J$2:$J$5000,MATCH($A229,Ventas!$A$2:$A$5000,0)))/(AF229*4),"0%")&amp;" de 4 meses",""))</f>
        <v/>
      </c>
      <c r="AD229" s="62" t="str">
        <f t="shared" si="7"/>
        <v/>
      </c>
      <c r="AE229" s="62" t="str">
        <f t="array" ref="AE229">IF(X229="","",IF(AND(E229=0,AVERAGE(INDEX(Ventas!$C$2:$I$5000,MATCH($A229,Ventas!$A$2:$A$5000,0),0))&gt;0,INDEX(Ventas!$J$2:$J$5000,MATCH($A229,Ventas!$A$2:$A$5000,0))&lt;0.5*AVERAGE(INDEX(Ventas!$C$2:$I$5000,MATCH($A229,Ventas!$A$2:$A$5000,0),0))),"SÍ — stock 0 y Sep cayó (prom Feb-Ago "&amp;TEXT(AVERAGE(INDEX(Ventas!$C$2:$I$5000,MATCH($A229,Ventas!$A$2:$A$5000,0),0)),"#,##0")&amp;")",""))</f>
        <v/>
      </c>
      <c r="AF229" s="60">
        <f t="array" ref="AF229">IF(X229="","",IF(AE229&lt;&gt;"",MAX(X229,AVERAGE(INDEX(Ventas!$C$2:$I$5000,MATCH($A229,Ventas!$A$2:$A$5000,0),0))),X229))</f>
        <v>0</v>
      </c>
      <c r="AG229" s="60">
        <f t="shared" si="8"/>
        <v>-300</v>
      </c>
      <c r="AH229" s="63" t="str">
        <f t="shared" si="9"/>
        <v>SIN VENTAS</v>
      </c>
    </row>
    <row r="230" ht="13.5" customHeight="1">
      <c r="A230" s="49" t="s">
        <v>2343</v>
      </c>
      <c r="B230" s="50" t="s">
        <v>183</v>
      </c>
      <c r="C230" s="50" t="s">
        <v>3738</v>
      </c>
      <c r="D230" s="50" t="s">
        <v>3743</v>
      </c>
      <c r="E230" s="51">
        <v>400.0</v>
      </c>
      <c r="F230" s="52"/>
      <c r="G230" s="53"/>
      <c r="H230" s="55"/>
      <c r="I230" s="55"/>
      <c r="J230" s="53"/>
      <c r="K230" s="53"/>
      <c r="L230" s="55"/>
      <c r="M230" s="53"/>
      <c r="N230" s="74"/>
      <c r="O230" s="57" t="str">
        <f t="shared" si="1"/>
        <v>SOBRESTOCK — 11.3 meses de cobertura</v>
      </c>
      <c r="P230" s="58">
        <f t="shared" si="2"/>
        <v>400</v>
      </c>
      <c r="Q230" s="1"/>
      <c r="R230" s="1"/>
      <c r="S230" s="1"/>
      <c r="T230" s="1"/>
      <c r="U230" s="1"/>
      <c r="V230" s="1"/>
      <c r="W230" s="1"/>
      <c r="X230" s="60">
        <f>IFERROR(VLOOKUP($A230,Ventas!$A$2:$L$5000,12,FALSE()),"")</f>
        <v>35.5</v>
      </c>
      <c r="Y230" s="60">
        <f t="shared" si="3"/>
        <v>142</v>
      </c>
      <c r="Z230" s="61">
        <f t="shared" si="4"/>
        <v>11.3</v>
      </c>
      <c r="AA230" s="60">
        <f t="shared" si="5"/>
        <v>-258</v>
      </c>
      <c r="AB230" s="62" t="str">
        <f t="shared" si="6"/>
        <v/>
      </c>
      <c r="AC230" s="62" t="str">
        <f t="array" ref="AC230">IF(AH230&lt;&gt;"COMPRAR","",IF(MAX(INDEX(Ventas!$G$2:$G$5000,MATCH($A230,Ventas!$A$2:$A$5000,0)),INDEX(Ventas!$H$2:$H$5000,MATCH($A230,Ventas!$A$2:$A$5000,0)),INDEX(Ventas!$I$2:$I$5000,MATCH($A230,Ventas!$A$2:$A$5000,0)),INDEX(Ventas!$J$2:$J$5000,MATCH($A230,Ventas!$A$2:$A$5000,0)))&gt;0.5*AF230*4,"1 mes = "&amp;TEXT(MAX(INDEX(Ventas!$G$2:$G$5000,MATCH($A230,Ventas!$A$2:$A$5000,0)),INDEX(Ventas!$H$2:$H$5000,MATCH($A230,Ventas!$A$2:$A$5000,0)),INDEX(Ventas!$I$2:$I$5000,MATCH($A230,Ventas!$A$2:$A$5000,0)),INDEX(Ventas!$J$2:$J$5000,MATCH($A230,Ventas!$A$2:$A$5000,0)))/(AF230*4),"0%")&amp;" de 4 meses",""))</f>
        <v/>
      </c>
      <c r="AD230" s="62" t="str">
        <f t="shared" si="7"/>
        <v/>
      </c>
      <c r="AE230" s="62" t="str">
        <f t="array" ref="AE230">IF(X230="","",IF(AND(E230=0,AVERAGE(INDEX(Ventas!$C$2:$I$5000,MATCH($A230,Ventas!$A$2:$A$5000,0),0))&gt;0,INDEX(Ventas!$J$2:$J$5000,MATCH($A230,Ventas!$A$2:$A$5000,0))&lt;0.5*AVERAGE(INDEX(Ventas!$C$2:$I$5000,MATCH($A230,Ventas!$A$2:$A$5000,0),0))),"SÍ — stock 0 y Sep cayó (prom Feb-Ago "&amp;TEXT(AVERAGE(INDEX(Ventas!$C$2:$I$5000,MATCH($A230,Ventas!$A$2:$A$5000,0),0)),"#,##0")&amp;")",""))</f>
        <v/>
      </c>
      <c r="AF230" s="60">
        <f t="array" ref="AF230">IF(X230="","",IF(AE230&lt;&gt;"",MAX(X230,AVERAGE(INDEX(Ventas!$C$2:$I$5000,MATCH($A230,Ventas!$A$2:$A$5000,0),0))),X230))</f>
        <v>35.5</v>
      </c>
      <c r="AG230" s="60">
        <f t="shared" si="8"/>
        <v>-258</v>
      </c>
      <c r="AH230" s="63" t="str">
        <f t="shared" si="9"/>
        <v>SOBRESTOCK</v>
      </c>
    </row>
    <row r="231" ht="13.5" customHeight="1">
      <c r="A231" s="64" t="s">
        <v>2357</v>
      </c>
      <c r="B231" s="65" t="s">
        <v>183</v>
      </c>
      <c r="C231" s="65" t="s">
        <v>3744</v>
      </c>
      <c r="D231" s="65" t="s">
        <v>1329</v>
      </c>
      <c r="E231" s="51">
        <v>1988.0</v>
      </c>
      <c r="F231" s="66"/>
      <c r="G231" s="53"/>
      <c r="H231" s="55"/>
      <c r="I231" s="55">
        <v>2000.0</v>
      </c>
      <c r="J231" s="53"/>
      <c r="K231" s="53"/>
      <c r="L231" s="55"/>
      <c r="M231" s="53"/>
      <c r="N231" s="73"/>
      <c r="O231" s="57" t="str">
        <f t="shared" si="1"/>
        <v>PEDIR MENOS — sobran 3,288 m; revisar pedidos sin facturar (2,000 m)</v>
      </c>
      <c r="P231" s="58">
        <f t="shared" si="2"/>
        <v>3988</v>
      </c>
      <c r="Q231" s="1"/>
      <c r="R231" s="1"/>
      <c r="S231" s="1"/>
      <c r="T231" s="1"/>
      <c r="U231" s="1"/>
      <c r="V231" s="1"/>
      <c r="W231" s="1"/>
      <c r="X231" s="60">
        <f>IFERROR(VLOOKUP($A231,Ventas!$A$2:$L$5000,12,FALSE()),"")</f>
        <v>175</v>
      </c>
      <c r="Y231" s="60">
        <f t="shared" si="3"/>
        <v>700</v>
      </c>
      <c r="Z231" s="61">
        <f t="shared" si="4"/>
        <v>22.8</v>
      </c>
      <c r="AA231" s="60">
        <f t="shared" si="5"/>
        <v>-3288</v>
      </c>
      <c r="AB231" s="62" t="str">
        <f t="shared" si="6"/>
        <v/>
      </c>
      <c r="AC231" s="62" t="str">
        <f t="array" ref="AC231">IF(AH231&lt;&gt;"COMPRAR","",IF(MAX(INDEX(Ventas!$G$2:$G$5000,MATCH($A231,Ventas!$A$2:$A$5000,0)),INDEX(Ventas!$H$2:$H$5000,MATCH($A231,Ventas!$A$2:$A$5000,0)),INDEX(Ventas!$I$2:$I$5000,MATCH($A231,Ventas!$A$2:$A$5000,0)),INDEX(Ventas!$J$2:$J$5000,MATCH($A231,Ventas!$A$2:$A$5000,0)))&gt;0.5*AF231*4,"1 mes = "&amp;TEXT(MAX(INDEX(Ventas!$G$2:$G$5000,MATCH($A231,Ventas!$A$2:$A$5000,0)),INDEX(Ventas!$H$2:$H$5000,MATCH($A231,Ventas!$A$2:$A$5000,0)),INDEX(Ventas!$I$2:$I$5000,MATCH($A231,Ventas!$A$2:$A$5000,0)),INDEX(Ventas!$J$2:$J$5000,MATCH($A231,Ventas!$A$2:$A$5000,0)))/(AF231*4),"0%")&amp;" de 4 meses",""))</f>
        <v/>
      </c>
      <c r="AD231" s="62" t="str">
        <f t="shared" si="7"/>
        <v/>
      </c>
      <c r="AE231" s="62" t="str">
        <f t="array" ref="AE231">IF(X231="","",IF(AND(E231=0,AVERAGE(INDEX(Ventas!$C$2:$I$5000,MATCH($A231,Ventas!$A$2:$A$5000,0),0))&gt;0,INDEX(Ventas!$J$2:$J$5000,MATCH($A231,Ventas!$A$2:$A$5000,0))&lt;0.5*AVERAGE(INDEX(Ventas!$C$2:$I$5000,MATCH($A231,Ventas!$A$2:$A$5000,0),0))),"SÍ — stock 0 y Sep cayó (prom Feb-Ago "&amp;TEXT(AVERAGE(INDEX(Ventas!$C$2:$I$5000,MATCH($A231,Ventas!$A$2:$A$5000,0),0)),"#,##0")&amp;")",""))</f>
        <v/>
      </c>
      <c r="AF231" s="60">
        <f t="array" ref="AF231">IF(X231="","",IF(AE231&lt;&gt;"",MAX(X231,AVERAGE(INDEX(Ventas!$C$2:$I$5000,MATCH($A231,Ventas!$A$2:$A$5000,0),0))),X231))</f>
        <v>175</v>
      </c>
      <c r="AG231" s="60">
        <f t="shared" si="8"/>
        <v>-3288</v>
      </c>
      <c r="AH231" s="63" t="str">
        <f t="shared" si="9"/>
        <v>PEDIR MENOS</v>
      </c>
    </row>
    <row r="232" ht="13.5" customHeight="1">
      <c r="A232" s="49" t="s">
        <v>2367</v>
      </c>
      <c r="B232" s="50" t="s">
        <v>183</v>
      </c>
      <c r="C232" s="50" t="s">
        <v>3744</v>
      </c>
      <c r="D232" s="50" t="s">
        <v>3745</v>
      </c>
      <c r="E232" s="51">
        <v>496.0</v>
      </c>
      <c r="F232" s="52"/>
      <c r="G232" s="53"/>
      <c r="H232" s="55"/>
      <c r="I232" s="55"/>
      <c r="J232" s="53"/>
      <c r="K232" s="53"/>
      <c r="L232" s="55"/>
      <c r="M232" s="53"/>
      <c r="N232" s="74"/>
      <c r="O232" s="57" t="str">
        <f t="shared" si="1"/>
        <v>COMPRAR — faltan 168 m para 4 meses</v>
      </c>
      <c r="P232" s="58">
        <f t="shared" si="2"/>
        <v>496</v>
      </c>
      <c r="Q232" s="1"/>
      <c r="R232" s="1"/>
      <c r="S232" s="1"/>
      <c r="T232" s="1"/>
      <c r="U232" s="1"/>
      <c r="V232" s="1"/>
      <c r="W232" s="1"/>
      <c r="X232" s="60">
        <f>IFERROR(VLOOKUP($A232,Ventas!$A$2:$L$5000,12,FALSE()),"")</f>
        <v>166</v>
      </c>
      <c r="Y232" s="60">
        <f t="shared" si="3"/>
        <v>664</v>
      </c>
      <c r="Z232" s="61">
        <f t="shared" si="4"/>
        <v>3</v>
      </c>
      <c r="AA232" s="60">
        <f t="shared" si="5"/>
        <v>168</v>
      </c>
      <c r="AB232" s="62" t="str">
        <f t="shared" si="6"/>
        <v/>
      </c>
      <c r="AC232" s="62" t="str">
        <f t="array" ref="AC232">IF(AH232&lt;&gt;"COMPRAR","",IF(MAX(INDEX(Ventas!$G$2:$G$5000,MATCH($A232,Ventas!$A$2:$A$5000,0)),INDEX(Ventas!$H$2:$H$5000,MATCH($A232,Ventas!$A$2:$A$5000,0)),INDEX(Ventas!$I$2:$I$5000,MATCH($A232,Ventas!$A$2:$A$5000,0)),INDEX(Ventas!$J$2:$J$5000,MATCH($A232,Ventas!$A$2:$A$5000,0)))&gt;0.5*AF232*4,"1 mes = "&amp;TEXT(MAX(INDEX(Ventas!$G$2:$G$5000,MATCH($A232,Ventas!$A$2:$A$5000,0)),INDEX(Ventas!$H$2:$H$5000,MATCH($A232,Ventas!$A$2:$A$5000,0)),INDEX(Ventas!$I$2:$I$5000,MATCH($A232,Ventas!$A$2:$A$5000,0)),INDEX(Ventas!$J$2:$J$5000,MATCH($A232,Ventas!$A$2:$A$5000,0)))/(AF232*4),"0%")&amp;" de 4 meses",""))</f>
        <v/>
      </c>
      <c r="AD232" s="62" t="str">
        <f t="shared" si="7"/>
        <v/>
      </c>
      <c r="AE232" s="62" t="str">
        <f t="array" ref="AE232">IF(X232="","",IF(AND(E232=0,AVERAGE(INDEX(Ventas!$C$2:$I$5000,MATCH($A232,Ventas!$A$2:$A$5000,0),0))&gt;0,INDEX(Ventas!$J$2:$J$5000,MATCH($A232,Ventas!$A$2:$A$5000,0))&lt;0.5*AVERAGE(INDEX(Ventas!$C$2:$I$5000,MATCH($A232,Ventas!$A$2:$A$5000,0),0))),"SÍ — stock 0 y Sep cayó (prom Feb-Ago "&amp;TEXT(AVERAGE(INDEX(Ventas!$C$2:$I$5000,MATCH($A232,Ventas!$A$2:$A$5000,0),0)),"#,##0")&amp;")",""))</f>
        <v/>
      </c>
      <c r="AF232" s="60">
        <f t="array" ref="AF232">IF(X232="","",IF(AE232&lt;&gt;"",MAX(X232,AVERAGE(INDEX(Ventas!$C$2:$I$5000,MATCH($A232,Ventas!$A$2:$A$5000,0),0))),X232))</f>
        <v>166</v>
      </c>
      <c r="AG232" s="60">
        <f t="shared" si="8"/>
        <v>168</v>
      </c>
      <c r="AH232" s="63" t="str">
        <f t="shared" si="9"/>
        <v>COMPRAR</v>
      </c>
    </row>
    <row r="233" ht="13.5" customHeight="1">
      <c r="A233" s="64" t="s">
        <v>2365</v>
      </c>
      <c r="B233" s="65" t="s">
        <v>183</v>
      </c>
      <c r="C233" s="65" t="s">
        <v>3744</v>
      </c>
      <c r="D233" s="65" t="s">
        <v>3739</v>
      </c>
      <c r="E233" s="51">
        <v>784.0</v>
      </c>
      <c r="F233" s="66"/>
      <c r="G233" s="53"/>
      <c r="H233" s="55"/>
      <c r="I233" s="55">
        <v>1500.0</v>
      </c>
      <c r="J233" s="53"/>
      <c r="K233" s="53"/>
      <c r="L233" s="55"/>
      <c r="M233" s="53"/>
      <c r="N233" s="73"/>
      <c r="O233" s="57" t="str">
        <f t="shared" si="1"/>
        <v>COMPRAR — faltan 522 m para 4 meses (ya contando pedidos)</v>
      </c>
      <c r="P233" s="58">
        <f t="shared" si="2"/>
        <v>2284</v>
      </c>
      <c r="Q233" s="1"/>
      <c r="R233" s="1"/>
      <c r="S233" s="1"/>
      <c r="T233" s="1"/>
      <c r="U233" s="1"/>
      <c r="V233" s="1"/>
      <c r="W233" s="1"/>
      <c r="X233" s="60">
        <f>IFERROR(VLOOKUP($A233,Ventas!$A$2:$L$5000,12,FALSE()),"")</f>
        <v>701.425</v>
      </c>
      <c r="Y233" s="60">
        <f t="shared" si="3"/>
        <v>2806</v>
      </c>
      <c r="Z233" s="61">
        <f t="shared" si="4"/>
        <v>3.3</v>
      </c>
      <c r="AA233" s="60">
        <f t="shared" si="5"/>
        <v>522</v>
      </c>
      <c r="AB233" s="62" t="str">
        <f t="shared" si="6"/>
        <v/>
      </c>
      <c r="AC233" s="62" t="str">
        <f t="array" ref="AC233">IF(AH233&lt;&gt;"COMPRAR","",IF(MAX(INDEX(Ventas!$G$2:$G$5000,MATCH($A233,Ventas!$A$2:$A$5000,0)),INDEX(Ventas!$H$2:$H$5000,MATCH($A233,Ventas!$A$2:$A$5000,0)),INDEX(Ventas!$I$2:$I$5000,MATCH($A233,Ventas!$A$2:$A$5000,0)),INDEX(Ventas!$J$2:$J$5000,MATCH($A233,Ventas!$A$2:$A$5000,0)))&gt;0.5*AF233*4,"1 mes = "&amp;TEXT(MAX(INDEX(Ventas!$G$2:$G$5000,MATCH($A233,Ventas!$A$2:$A$5000,0)),INDEX(Ventas!$H$2:$H$5000,MATCH($A233,Ventas!$A$2:$A$5000,0)),INDEX(Ventas!$I$2:$I$5000,MATCH($A233,Ventas!$A$2:$A$5000,0)),INDEX(Ventas!$J$2:$J$5000,MATCH($A233,Ventas!$A$2:$A$5000,0)))/(AF233*4),"0%")&amp;" de 4 meses",""))</f>
        <v/>
      </c>
      <c r="AD233" s="62" t="str">
        <f t="shared" si="7"/>
        <v/>
      </c>
      <c r="AE233" s="62" t="str">
        <f t="array" ref="AE233">IF(X233="","",IF(AND(E233=0,AVERAGE(INDEX(Ventas!$C$2:$I$5000,MATCH($A233,Ventas!$A$2:$A$5000,0),0))&gt;0,INDEX(Ventas!$J$2:$J$5000,MATCH($A233,Ventas!$A$2:$A$5000,0))&lt;0.5*AVERAGE(INDEX(Ventas!$C$2:$I$5000,MATCH($A233,Ventas!$A$2:$A$5000,0),0))),"SÍ — stock 0 y Sep cayó (prom Feb-Ago "&amp;TEXT(AVERAGE(INDEX(Ventas!$C$2:$I$5000,MATCH($A233,Ventas!$A$2:$A$5000,0),0)),"#,##0")&amp;")",""))</f>
        <v/>
      </c>
      <c r="AF233" s="60">
        <f t="array" ref="AF233">IF(X233="","",IF(AE233&lt;&gt;"",MAX(X233,AVERAGE(INDEX(Ventas!$C$2:$I$5000,MATCH($A233,Ventas!$A$2:$A$5000,0),0))),X233))</f>
        <v>701.425</v>
      </c>
      <c r="AG233" s="60">
        <f t="shared" si="8"/>
        <v>522</v>
      </c>
      <c r="AH233" s="63" t="str">
        <f t="shared" si="9"/>
        <v>COMPRAR</v>
      </c>
    </row>
    <row r="234" ht="13.5" customHeight="1">
      <c r="A234" s="49" t="s">
        <v>2363</v>
      </c>
      <c r="B234" s="50" t="s">
        <v>183</v>
      </c>
      <c r="C234" s="50" t="s">
        <v>3744</v>
      </c>
      <c r="D234" s="50" t="s">
        <v>3746</v>
      </c>
      <c r="E234" s="51">
        <v>859.0</v>
      </c>
      <c r="F234" s="52"/>
      <c r="G234" s="53"/>
      <c r="H234" s="55"/>
      <c r="I234" s="55"/>
      <c r="J234" s="53"/>
      <c r="K234" s="53"/>
      <c r="L234" s="55"/>
      <c r="M234" s="53"/>
      <c r="N234" s="74"/>
      <c r="O234" s="57" t="str">
        <f t="shared" si="1"/>
        <v>SOBRESTOCK — 17.2 meses de cobertura</v>
      </c>
      <c r="P234" s="58">
        <f t="shared" si="2"/>
        <v>859</v>
      </c>
      <c r="Q234" s="1"/>
      <c r="R234" s="1"/>
      <c r="S234" s="1"/>
      <c r="T234" s="1"/>
      <c r="U234" s="1"/>
      <c r="V234" s="1"/>
      <c r="W234" s="1"/>
      <c r="X234" s="60">
        <f>IFERROR(VLOOKUP($A234,Ventas!$A$2:$L$5000,12,FALSE()),"")</f>
        <v>50</v>
      </c>
      <c r="Y234" s="60">
        <f t="shared" si="3"/>
        <v>200</v>
      </c>
      <c r="Z234" s="61">
        <f t="shared" si="4"/>
        <v>17.2</v>
      </c>
      <c r="AA234" s="60">
        <f t="shared" si="5"/>
        <v>-659</v>
      </c>
      <c r="AB234" s="62" t="str">
        <f t="shared" si="6"/>
        <v/>
      </c>
      <c r="AC234" s="62" t="str">
        <f t="array" ref="AC234">IF(AH234&lt;&gt;"COMPRAR","",IF(MAX(INDEX(Ventas!$G$2:$G$5000,MATCH($A234,Ventas!$A$2:$A$5000,0)),INDEX(Ventas!$H$2:$H$5000,MATCH($A234,Ventas!$A$2:$A$5000,0)),INDEX(Ventas!$I$2:$I$5000,MATCH($A234,Ventas!$A$2:$A$5000,0)),INDEX(Ventas!$J$2:$J$5000,MATCH($A234,Ventas!$A$2:$A$5000,0)))&gt;0.5*AF234*4,"1 mes = "&amp;TEXT(MAX(INDEX(Ventas!$G$2:$G$5000,MATCH($A234,Ventas!$A$2:$A$5000,0)),INDEX(Ventas!$H$2:$H$5000,MATCH($A234,Ventas!$A$2:$A$5000,0)),INDEX(Ventas!$I$2:$I$5000,MATCH($A234,Ventas!$A$2:$A$5000,0)),INDEX(Ventas!$J$2:$J$5000,MATCH($A234,Ventas!$A$2:$A$5000,0)))/(AF234*4),"0%")&amp;" de 4 meses",""))</f>
        <v/>
      </c>
      <c r="AD234" s="62" t="str">
        <f t="shared" si="7"/>
        <v/>
      </c>
      <c r="AE234" s="62" t="str">
        <f t="array" ref="AE234">IF(X234="","",IF(AND(E234=0,AVERAGE(INDEX(Ventas!$C$2:$I$5000,MATCH($A234,Ventas!$A$2:$A$5000,0),0))&gt;0,INDEX(Ventas!$J$2:$J$5000,MATCH($A234,Ventas!$A$2:$A$5000,0))&lt;0.5*AVERAGE(INDEX(Ventas!$C$2:$I$5000,MATCH($A234,Ventas!$A$2:$A$5000,0),0))),"SÍ — stock 0 y Sep cayó (prom Feb-Ago "&amp;TEXT(AVERAGE(INDEX(Ventas!$C$2:$I$5000,MATCH($A234,Ventas!$A$2:$A$5000,0),0)),"#,##0")&amp;")",""))</f>
        <v/>
      </c>
      <c r="AF234" s="60">
        <f t="array" ref="AF234">IF(X234="","",IF(AE234&lt;&gt;"",MAX(X234,AVERAGE(INDEX(Ventas!$C$2:$I$5000,MATCH($A234,Ventas!$A$2:$A$5000,0),0))),X234))</f>
        <v>50</v>
      </c>
      <c r="AG234" s="60">
        <f t="shared" si="8"/>
        <v>-659</v>
      </c>
      <c r="AH234" s="63" t="str">
        <f t="shared" si="9"/>
        <v>SOBRESTOCK</v>
      </c>
    </row>
    <row r="235" ht="13.5" customHeight="1">
      <c r="A235" s="64" t="s">
        <v>2361</v>
      </c>
      <c r="B235" s="65" t="s">
        <v>183</v>
      </c>
      <c r="C235" s="65" t="s">
        <v>3744</v>
      </c>
      <c r="D235" s="65" t="s">
        <v>3747</v>
      </c>
      <c r="E235" s="51">
        <v>1092.0</v>
      </c>
      <c r="F235" s="66"/>
      <c r="G235" s="53"/>
      <c r="H235" s="55"/>
      <c r="I235" s="55"/>
      <c r="J235" s="53"/>
      <c r="K235" s="53"/>
      <c r="L235" s="55"/>
      <c r="M235" s="53"/>
      <c r="N235" s="73"/>
      <c r="O235" s="57" t="str">
        <f t="shared" si="1"/>
        <v>SOBRESTOCK — 29.1 meses de cobertura</v>
      </c>
      <c r="P235" s="58">
        <f t="shared" si="2"/>
        <v>1092</v>
      </c>
      <c r="Q235" s="1"/>
      <c r="R235" s="1"/>
      <c r="S235" s="1"/>
      <c r="T235" s="1"/>
      <c r="U235" s="1"/>
      <c r="V235" s="1"/>
      <c r="W235" s="1"/>
      <c r="X235" s="60">
        <f>IFERROR(VLOOKUP($A235,Ventas!$A$2:$L$5000,12,FALSE()),"")</f>
        <v>37.5</v>
      </c>
      <c r="Y235" s="60">
        <f t="shared" si="3"/>
        <v>150</v>
      </c>
      <c r="Z235" s="61">
        <f t="shared" si="4"/>
        <v>29.1</v>
      </c>
      <c r="AA235" s="60">
        <f t="shared" si="5"/>
        <v>-942</v>
      </c>
      <c r="AB235" s="62" t="str">
        <f t="shared" si="6"/>
        <v/>
      </c>
      <c r="AC235" s="62" t="str">
        <f t="array" ref="AC235">IF(AH235&lt;&gt;"COMPRAR","",IF(MAX(INDEX(Ventas!$G$2:$G$5000,MATCH($A235,Ventas!$A$2:$A$5000,0)),INDEX(Ventas!$H$2:$H$5000,MATCH($A235,Ventas!$A$2:$A$5000,0)),INDEX(Ventas!$I$2:$I$5000,MATCH($A235,Ventas!$A$2:$A$5000,0)),INDEX(Ventas!$J$2:$J$5000,MATCH($A235,Ventas!$A$2:$A$5000,0)))&gt;0.5*AF235*4,"1 mes = "&amp;TEXT(MAX(INDEX(Ventas!$G$2:$G$5000,MATCH($A235,Ventas!$A$2:$A$5000,0)),INDEX(Ventas!$H$2:$H$5000,MATCH($A235,Ventas!$A$2:$A$5000,0)),INDEX(Ventas!$I$2:$I$5000,MATCH($A235,Ventas!$A$2:$A$5000,0)),INDEX(Ventas!$J$2:$J$5000,MATCH($A235,Ventas!$A$2:$A$5000,0)))/(AF235*4),"0%")&amp;" de 4 meses",""))</f>
        <v/>
      </c>
      <c r="AD235" s="62" t="str">
        <f t="shared" si="7"/>
        <v/>
      </c>
      <c r="AE235" s="62" t="str">
        <f t="array" ref="AE235">IF(X235="","",IF(AND(E235=0,AVERAGE(INDEX(Ventas!$C$2:$I$5000,MATCH($A235,Ventas!$A$2:$A$5000,0),0))&gt;0,INDEX(Ventas!$J$2:$J$5000,MATCH($A235,Ventas!$A$2:$A$5000,0))&lt;0.5*AVERAGE(INDEX(Ventas!$C$2:$I$5000,MATCH($A235,Ventas!$A$2:$A$5000,0),0))),"SÍ — stock 0 y Sep cayó (prom Feb-Ago "&amp;TEXT(AVERAGE(INDEX(Ventas!$C$2:$I$5000,MATCH($A235,Ventas!$A$2:$A$5000,0),0)),"#,##0")&amp;")",""))</f>
        <v/>
      </c>
      <c r="AF235" s="60">
        <f t="array" ref="AF235">IF(X235="","",IF(AE235&lt;&gt;"",MAX(X235,AVERAGE(INDEX(Ventas!$C$2:$I$5000,MATCH($A235,Ventas!$A$2:$A$5000,0),0))),X235))</f>
        <v>37.5</v>
      </c>
      <c r="AG235" s="60">
        <f t="shared" si="8"/>
        <v>-942</v>
      </c>
      <c r="AH235" s="63" t="str">
        <f t="shared" si="9"/>
        <v>SOBRESTOCK</v>
      </c>
    </row>
    <row r="236" ht="13.5" customHeight="1">
      <c r="A236" s="49" t="s">
        <v>2373</v>
      </c>
      <c r="B236" s="50" t="s">
        <v>183</v>
      </c>
      <c r="C236" s="50" t="s">
        <v>3744</v>
      </c>
      <c r="D236" s="50" t="s">
        <v>3740</v>
      </c>
      <c r="E236" s="51">
        <v>50.0</v>
      </c>
      <c r="F236" s="52"/>
      <c r="G236" s="53"/>
      <c r="H236" s="55"/>
      <c r="I236" s="55"/>
      <c r="J236" s="53"/>
      <c r="K236" s="53"/>
      <c r="L236" s="55"/>
      <c r="M236" s="53"/>
      <c r="N236" s="74"/>
      <c r="O236" s="57" t="str">
        <f t="shared" si="1"/>
        <v>COMPRAR — faltan 310 m para 4 meses</v>
      </c>
      <c r="P236" s="58">
        <f t="shared" si="2"/>
        <v>50</v>
      </c>
      <c r="Q236" s="1"/>
      <c r="R236" s="1"/>
      <c r="S236" s="1"/>
      <c r="T236" s="1"/>
      <c r="U236" s="1"/>
      <c r="V236" s="1"/>
      <c r="W236" s="1"/>
      <c r="X236" s="60">
        <f>IFERROR(VLOOKUP($A236,Ventas!$A$2:$L$5000,12,FALSE()),"")</f>
        <v>90</v>
      </c>
      <c r="Y236" s="60">
        <f t="shared" si="3"/>
        <v>360</v>
      </c>
      <c r="Z236" s="61">
        <f t="shared" si="4"/>
        <v>0.6</v>
      </c>
      <c r="AA236" s="60">
        <f t="shared" si="5"/>
        <v>310</v>
      </c>
      <c r="AB236" s="62" t="str">
        <f t="shared" si="6"/>
        <v/>
      </c>
      <c r="AC236" s="62" t="str">
        <f t="array" ref="AC236">IF(AH236&lt;&gt;"COMPRAR","",IF(MAX(INDEX(Ventas!$G$2:$G$5000,MATCH($A236,Ventas!$A$2:$A$5000,0)),INDEX(Ventas!$H$2:$H$5000,MATCH($A236,Ventas!$A$2:$A$5000,0)),INDEX(Ventas!$I$2:$I$5000,MATCH($A236,Ventas!$A$2:$A$5000,0)),INDEX(Ventas!$J$2:$J$5000,MATCH($A236,Ventas!$A$2:$A$5000,0)))&gt;0.5*AF236*4,"1 mes = "&amp;TEXT(MAX(INDEX(Ventas!$G$2:$G$5000,MATCH($A236,Ventas!$A$2:$A$5000,0)),INDEX(Ventas!$H$2:$H$5000,MATCH($A236,Ventas!$A$2:$A$5000,0)),INDEX(Ventas!$I$2:$I$5000,MATCH($A236,Ventas!$A$2:$A$5000,0)),INDEX(Ventas!$J$2:$J$5000,MATCH($A236,Ventas!$A$2:$A$5000,0)))/(AF236*4),"0%")&amp;" de 4 meses",""))</f>
        <v/>
      </c>
      <c r="AD236" s="62" t="str">
        <f t="shared" si="7"/>
        <v/>
      </c>
      <c r="AE236" s="62" t="str">
        <f t="array" ref="AE236">IF(X236="","",IF(AND(E236=0,AVERAGE(INDEX(Ventas!$C$2:$I$5000,MATCH($A236,Ventas!$A$2:$A$5000,0),0))&gt;0,INDEX(Ventas!$J$2:$J$5000,MATCH($A236,Ventas!$A$2:$A$5000,0))&lt;0.5*AVERAGE(INDEX(Ventas!$C$2:$I$5000,MATCH($A236,Ventas!$A$2:$A$5000,0),0))),"SÍ — stock 0 y Sep cayó (prom Feb-Ago "&amp;TEXT(AVERAGE(INDEX(Ventas!$C$2:$I$5000,MATCH($A236,Ventas!$A$2:$A$5000,0),0)),"#,##0")&amp;")",""))</f>
        <v/>
      </c>
      <c r="AF236" s="60">
        <f t="array" ref="AF236">IF(X236="","",IF(AE236&lt;&gt;"",MAX(X236,AVERAGE(INDEX(Ventas!$C$2:$I$5000,MATCH($A236,Ventas!$A$2:$A$5000,0),0))),X236))</f>
        <v>90</v>
      </c>
      <c r="AG236" s="60">
        <f t="shared" si="8"/>
        <v>310</v>
      </c>
      <c r="AH236" s="63" t="str">
        <f t="shared" si="9"/>
        <v>COMPRAR</v>
      </c>
    </row>
    <row r="237" ht="13.5" customHeight="1">
      <c r="A237" s="64" t="s">
        <v>2349</v>
      </c>
      <c r="B237" s="65" t="s">
        <v>183</v>
      </c>
      <c r="C237" s="65" t="s">
        <v>3744</v>
      </c>
      <c r="D237" s="65" t="s">
        <v>3748</v>
      </c>
      <c r="E237" s="51">
        <v>1555.0</v>
      </c>
      <c r="F237" s="66"/>
      <c r="G237" s="53"/>
      <c r="H237" s="55"/>
      <c r="I237" s="55"/>
      <c r="J237" s="53"/>
      <c r="K237" s="53"/>
      <c r="L237" s="55"/>
      <c r="M237" s="53"/>
      <c r="N237" s="73"/>
      <c r="O237" s="57" t="str">
        <f t="shared" si="1"/>
        <v>SOBRESTOCK — 43.5 meses de cobertura</v>
      </c>
      <c r="P237" s="58">
        <f t="shared" si="2"/>
        <v>1555</v>
      </c>
      <c r="Q237" s="1"/>
      <c r="R237" s="1"/>
      <c r="S237" s="1"/>
      <c r="T237" s="1"/>
      <c r="U237" s="1"/>
      <c r="V237" s="1"/>
      <c r="W237" s="1"/>
      <c r="X237" s="60">
        <f>IFERROR(VLOOKUP($A237,Ventas!$A$2:$L$5000,12,FALSE()),"")</f>
        <v>35.75</v>
      </c>
      <c r="Y237" s="60">
        <f t="shared" si="3"/>
        <v>143</v>
      </c>
      <c r="Z237" s="61">
        <f t="shared" si="4"/>
        <v>43.5</v>
      </c>
      <c r="AA237" s="60">
        <f t="shared" si="5"/>
        <v>-1412</v>
      </c>
      <c r="AB237" s="62" t="str">
        <f t="shared" si="6"/>
        <v/>
      </c>
      <c r="AC237" s="62" t="str">
        <f t="array" ref="AC237">IF(AH237&lt;&gt;"COMPRAR","",IF(MAX(INDEX(Ventas!$G$2:$G$5000,MATCH($A237,Ventas!$A$2:$A$5000,0)),INDEX(Ventas!$H$2:$H$5000,MATCH($A237,Ventas!$A$2:$A$5000,0)),INDEX(Ventas!$I$2:$I$5000,MATCH($A237,Ventas!$A$2:$A$5000,0)),INDEX(Ventas!$J$2:$J$5000,MATCH($A237,Ventas!$A$2:$A$5000,0)))&gt;0.5*AF237*4,"1 mes = "&amp;TEXT(MAX(INDEX(Ventas!$G$2:$G$5000,MATCH($A237,Ventas!$A$2:$A$5000,0)),INDEX(Ventas!$H$2:$H$5000,MATCH($A237,Ventas!$A$2:$A$5000,0)),INDEX(Ventas!$I$2:$I$5000,MATCH($A237,Ventas!$A$2:$A$5000,0)),INDEX(Ventas!$J$2:$J$5000,MATCH($A237,Ventas!$A$2:$A$5000,0)))/(AF237*4),"0%")&amp;" de 4 meses",""))</f>
        <v/>
      </c>
      <c r="AD237" s="62" t="str">
        <f t="shared" si="7"/>
        <v/>
      </c>
      <c r="AE237" s="62" t="str">
        <f t="array" ref="AE237">IF(X237="","",IF(AND(E237=0,AVERAGE(INDEX(Ventas!$C$2:$I$5000,MATCH($A237,Ventas!$A$2:$A$5000,0),0))&gt;0,INDEX(Ventas!$J$2:$J$5000,MATCH($A237,Ventas!$A$2:$A$5000,0))&lt;0.5*AVERAGE(INDEX(Ventas!$C$2:$I$5000,MATCH($A237,Ventas!$A$2:$A$5000,0),0))),"SÍ — stock 0 y Sep cayó (prom Feb-Ago "&amp;TEXT(AVERAGE(INDEX(Ventas!$C$2:$I$5000,MATCH($A237,Ventas!$A$2:$A$5000,0),0)),"#,##0")&amp;")",""))</f>
        <v/>
      </c>
      <c r="AF237" s="60">
        <f t="array" ref="AF237">IF(X237="","",IF(AE237&lt;&gt;"",MAX(X237,AVERAGE(INDEX(Ventas!$C$2:$I$5000,MATCH($A237,Ventas!$A$2:$A$5000,0),0))),X237))</f>
        <v>35.75</v>
      </c>
      <c r="AG237" s="60">
        <f t="shared" si="8"/>
        <v>-1412</v>
      </c>
      <c r="AH237" s="63" t="str">
        <f t="shared" si="9"/>
        <v>SOBRESTOCK</v>
      </c>
    </row>
    <row r="238" ht="13.5" customHeight="1">
      <c r="A238" s="49" t="s">
        <v>2369</v>
      </c>
      <c r="B238" s="50" t="s">
        <v>183</v>
      </c>
      <c r="C238" s="50" t="s">
        <v>3744</v>
      </c>
      <c r="D238" s="50" t="s">
        <v>3749</v>
      </c>
      <c r="E238" s="51">
        <v>2663.0</v>
      </c>
      <c r="F238" s="52"/>
      <c r="G238" s="53"/>
      <c r="H238" s="55"/>
      <c r="I238" s="55"/>
      <c r="J238" s="53"/>
      <c r="K238" s="53"/>
      <c r="L238" s="55"/>
      <c r="M238" s="53"/>
      <c r="N238" s="74"/>
      <c r="O238" s="57" t="str">
        <f t="shared" si="1"/>
        <v>SOBRESTOCK — 106.5 meses de cobertura</v>
      </c>
      <c r="P238" s="58">
        <f t="shared" si="2"/>
        <v>2663</v>
      </c>
      <c r="Q238" s="1"/>
      <c r="R238" s="1"/>
      <c r="S238" s="1"/>
      <c r="T238" s="1"/>
      <c r="U238" s="1"/>
      <c r="V238" s="1"/>
      <c r="W238" s="1"/>
      <c r="X238" s="60">
        <f>IFERROR(VLOOKUP($A238,Ventas!$A$2:$L$5000,12,FALSE()),"")</f>
        <v>25</v>
      </c>
      <c r="Y238" s="60">
        <f t="shared" si="3"/>
        <v>100</v>
      </c>
      <c r="Z238" s="61">
        <f t="shared" si="4"/>
        <v>106.5</v>
      </c>
      <c r="AA238" s="60">
        <f t="shared" si="5"/>
        <v>-2563</v>
      </c>
      <c r="AB238" s="62" t="str">
        <f t="shared" si="6"/>
        <v/>
      </c>
      <c r="AC238" s="62" t="str">
        <f t="array" ref="AC238">IF(AH238&lt;&gt;"COMPRAR","",IF(MAX(INDEX(Ventas!$G$2:$G$5000,MATCH($A238,Ventas!$A$2:$A$5000,0)),INDEX(Ventas!$H$2:$H$5000,MATCH($A238,Ventas!$A$2:$A$5000,0)),INDEX(Ventas!$I$2:$I$5000,MATCH($A238,Ventas!$A$2:$A$5000,0)),INDEX(Ventas!$J$2:$J$5000,MATCH($A238,Ventas!$A$2:$A$5000,0)))&gt;0.5*AF238*4,"1 mes = "&amp;TEXT(MAX(INDEX(Ventas!$G$2:$G$5000,MATCH($A238,Ventas!$A$2:$A$5000,0)),INDEX(Ventas!$H$2:$H$5000,MATCH($A238,Ventas!$A$2:$A$5000,0)),INDEX(Ventas!$I$2:$I$5000,MATCH($A238,Ventas!$A$2:$A$5000,0)),INDEX(Ventas!$J$2:$J$5000,MATCH($A238,Ventas!$A$2:$A$5000,0)))/(AF238*4),"0%")&amp;" de 4 meses",""))</f>
        <v/>
      </c>
      <c r="AD238" s="62" t="str">
        <f t="shared" si="7"/>
        <v/>
      </c>
      <c r="AE238" s="62" t="str">
        <f t="array" ref="AE238">IF(X238="","",IF(AND(E238=0,AVERAGE(INDEX(Ventas!$C$2:$I$5000,MATCH($A238,Ventas!$A$2:$A$5000,0),0))&gt;0,INDEX(Ventas!$J$2:$J$5000,MATCH($A238,Ventas!$A$2:$A$5000,0))&lt;0.5*AVERAGE(INDEX(Ventas!$C$2:$I$5000,MATCH($A238,Ventas!$A$2:$A$5000,0),0))),"SÍ — stock 0 y Sep cayó (prom Feb-Ago "&amp;TEXT(AVERAGE(INDEX(Ventas!$C$2:$I$5000,MATCH($A238,Ventas!$A$2:$A$5000,0),0)),"#,##0")&amp;")",""))</f>
        <v/>
      </c>
      <c r="AF238" s="60">
        <f t="array" ref="AF238">IF(X238="","",IF(AE238&lt;&gt;"",MAX(X238,AVERAGE(INDEX(Ventas!$C$2:$I$5000,MATCH($A238,Ventas!$A$2:$A$5000,0),0))),X238))</f>
        <v>25</v>
      </c>
      <c r="AG238" s="60">
        <f t="shared" si="8"/>
        <v>-2563</v>
      </c>
      <c r="AH238" s="63" t="str">
        <f t="shared" si="9"/>
        <v>SOBRESTOCK</v>
      </c>
    </row>
    <row r="239" ht="13.5" customHeight="1">
      <c r="A239" s="64" t="s">
        <v>2353</v>
      </c>
      <c r="B239" s="65" t="s">
        <v>183</v>
      </c>
      <c r="C239" s="65" t="s">
        <v>3744</v>
      </c>
      <c r="D239" s="65" t="s">
        <v>3750</v>
      </c>
      <c r="E239" s="51">
        <v>2186.0</v>
      </c>
      <c r="F239" s="66"/>
      <c r="G239" s="53"/>
      <c r="H239" s="55"/>
      <c r="I239" s="55"/>
      <c r="J239" s="53"/>
      <c r="K239" s="53"/>
      <c r="L239" s="55"/>
      <c r="M239" s="53"/>
      <c r="N239" s="73"/>
      <c r="O239" s="57" t="str">
        <f t="shared" si="1"/>
        <v>SOBRESTOCK — 174.9 meses de cobertura</v>
      </c>
      <c r="P239" s="58">
        <f t="shared" si="2"/>
        <v>2186</v>
      </c>
      <c r="Q239" s="1"/>
      <c r="R239" s="1"/>
      <c r="S239" s="1"/>
      <c r="T239" s="1"/>
      <c r="U239" s="1"/>
      <c r="V239" s="1"/>
      <c r="W239" s="1"/>
      <c r="X239" s="60">
        <f>IFERROR(VLOOKUP($A239,Ventas!$A$2:$L$5000,12,FALSE()),"")</f>
        <v>12.5</v>
      </c>
      <c r="Y239" s="60">
        <f t="shared" si="3"/>
        <v>50</v>
      </c>
      <c r="Z239" s="61">
        <f t="shared" si="4"/>
        <v>174.9</v>
      </c>
      <c r="AA239" s="60">
        <f t="shared" si="5"/>
        <v>-2136</v>
      </c>
      <c r="AB239" s="62" t="str">
        <f t="shared" si="6"/>
        <v/>
      </c>
      <c r="AC239" s="62" t="str">
        <f t="array" ref="AC239">IF(AH239&lt;&gt;"COMPRAR","",IF(MAX(INDEX(Ventas!$G$2:$G$5000,MATCH($A239,Ventas!$A$2:$A$5000,0)),INDEX(Ventas!$H$2:$H$5000,MATCH($A239,Ventas!$A$2:$A$5000,0)),INDEX(Ventas!$I$2:$I$5000,MATCH($A239,Ventas!$A$2:$A$5000,0)),INDEX(Ventas!$J$2:$J$5000,MATCH($A239,Ventas!$A$2:$A$5000,0)))&gt;0.5*AF239*4,"1 mes = "&amp;TEXT(MAX(INDEX(Ventas!$G$2:$G$5000,MATCH($A239,Ventas!$A$2:$A$5000,0)),INDEX(Ventas!$H$2:$H$5000,MATCH($A239,Ventas!$A$2:$A$5000,0)),INDEX(Ventas!$I$2:$I$5000,MATCH($A239,Ventas!$A$2:$A$5000,0)),INDEX(Ventas!$J$2:$J$5000,MATCH($A239,Ventas!$A$2:$A$5000,0)))/(AF239*4),"0%")&amp;" de 4 meses",""))</f>
        <v/>
      </c>
      <c r="AD239" s="62" t="str">
        <f t="shared" si="7"/>
        <v/>
      </c>
      <c r="AE239" s="62" t="str">
        <f t="array" ref="AE239">IF(X239="","",IF(AND(E239=0,AVERAGE(INDEX(Ventas!$C$2:$I$5000,MATCH($A239,Ventas!$A$2:$A$5000,0),0))&gt;0,INDEX(Ventas!$J$2:$J$5000,MATCH($A239,Ventas!$A$2:$A$5000,0))&lt;0.5*AVERAGE(INDEX(Ventas!$C$2:$I$5000,MATCH($A239,Ventas!$A$2:$A$5000,0),0))),"SÍ — stock 0 y Sep cayó (prom Feb-Ago "&amp;TEXT(AVERAGE(INDEX(Ventas!$C$2:$I$5000,MATCH($A239,Ventas!$A$2:$A$5000,0),0)),"#,##0")&amp;")",""))</f>
        <v/>
      </c>
      <c r="AF239" s="60">
        <f t="array" ref="AF239">IF(X239="","",IF(AE239&lt;&gt;"",MAX(X239,AVERAGE(INDEX(Ventas!$C$2:$I$5000,MATCH($A239,Ventas!$A$2:$A$5000,0),0))),X239))</f>
        <v>12.5</v>
      </c>
      <c r="AG239" s="60">
        <f t="shared" si="8"/>
        <v>-2136</v>
      </c>
      <c r="AH239" s="63" t="str">
        <f t="shared" si="9"/>
        <v>SOBRESTOCK</v>
      </c>
    </row>
    <row r="240" ht="13.5" customHeight="1">
      <c r="A240" s="49" t="s">
        <v>2355</v>
      </c>
      <c r="B240" s="50" t="s">
        <v>183</v>
      </c>
      <c r="C240" s="50" t="s">
        <v>3744</v>
      </c>
      <c r="D240" s="50" t="s">
        <v>844</v>
      </c>
      <c r="E240" s="51">
        <v>3219.0</v>
      </c>
      <c r="F240" s="52"/>
      <c r="G240" s="53"/>
      <c r="H240" s="55"/>
      <c r="I240" s="55"/>
      <c r="J240" s="53"/>
      <c r="K240" s="53"/>
      <c r="L240" s="55"/>
      <c r="M240" s="53"/>
      <c r="N240" s="74"/>
      <c r="O240" s="57" t="str">
        <f t="shared" si="1"/>
        <v>SIN VENTAS Jun-Sep — no comprar (3,219 m disponibles)</v>
      </c>
      <c r="P240" s="58">
        <f t="shared" si="2"/>
        <v>3219</v>
      </c>
      <c r="Q240" s="1"/>
      <c r="R240" s="1"/>
      <c r="S240" s="1"/>
      <c r="T240" s="1"/>
      <c r="U240" s="1"/>
      <c r="V240" s="1"/>
      <c r="W240" s="1"/>
      <c r="X240" s="60">
        <f>IFERROR(VLOOKUP($A240,Ventas!$A$2:$L$5000,12,FALSE()),"")</f>
        <v>0</v>
      </c>
      <c r="Y240" s="60">
        <f t="shared" si="3"/>
        <v>0</v>
      </c>
      <c r="Z240" s="61" t="str">
        <f t="shared" si="4"/>
        <v/>
      </c>
      <c r="AA240" s="60">
        <f t="shared" si="5"/>
        <v>-3219</v>
      </c>
      <c r="AB240" s="62" t="str">
        <f t="shared" si="6"/>
        <v/>
      </c>
      <c r="AC240" s="62" t="str">
        <f t="array" ref="AC240">IF(AH240&lt;&gt;"COMPRAR","",IF(MAX(INDEX(Ventas!$G$2:$G$5000,MATCH($A240,Ventas!$A$2:$A$5000,0)),INDEX(Ventas!$H$2:$H$5000,MATCH($A240,Ventas!$A$2:$A$5000,0)),INDEX(Ventas!$I$2:$I$5000,MATCH($A240,Ventas!$A$2:$A$5000,0)),INDEX(Ventas!$J$2:$J$5000,MATCH($A240,Ventas!$A$2:$A$5000,0)))&gt;0.5*AF240*4,"1 mes = "&amp;TEXT(MAX(INDEX(Ventas!$G$2:$G$5000,MATCH($A240,Ventas!$A$2:$A$5000,0)),INDEX(Ventas!$H$2:$H$5000,MATCH($A240,Ventas!$A$2:$A$5000,0)),INDEX(Ventas!$I$2:$I$5000,MATCH($A240,Ventas!$A$2:$A$5000,0)),INDEX(Ventas!$J$2:$J$5000,MATCH($A240,Ventas!$A$2:$A$5000,0)))/(AF240*4),"0%")&amp;" de 4 meses",""))</f>
        <v/>
      </c>
      <c r="AD240" s="62" t="str">
        <f t="shared" si="7"/>
        <v/>
      </c>
      <c r="AE240" s="62" t="str">
        <f t="array" ref="AE240">IF(X240="","",IF(AND(E240=0,AVERAGE(INDEX(Ventas!$C$2:$I$5000,MATCH($A240,Ventas!$A$2:$A$5000,0),0))&gt;0,INDEX(Ventas!$J$2:$J$5000,MATCH($A240,Ventas!$A$2:$A$5000,0))&lt;0.5*AVERAGE(INDEX(Ventas!$C$2:$I$5000,MATCH($A240,Ventas!$A$2:$A$5000,0),0))),"SÍ — stock 0 y Sep cayó (prom Feb-Ago "&amp;TEXT(AVERAGE(INDEX(Ventas!$C$2:$I$5000,MATCH($A240,Ventas!$A$2:$A$5000,0),0)),"#,##0")&amp;")",""))</f>
        <v/>
      </c>
      <c r="AF240" s="60">
        <f t="array" ref="AF240">IF(X240="","",IF(AE240&lt;&gt;"",MAX(X240,AVERAGE(INDEX(Ventas!$C$2:$I$5000,MATCH($A240,Ventas!$A$2:$A$5000,0),0))),X240))</f>
        <v>0</v>
      </c>
      <c r="AG240" s="60">
        <f t="shared" si="8"/>
        <v>-3219</v>
      </c>
      <c r="AH240" s="63" t="str">
        <f t="shared" si="9"/>
        <v>SIN VENTAS</v>
      </c>
    </row>
    <row r="241" ht="13.5" customHeight="1">
      <c r="A241" s="64" t="s">
        <v>2377</v>
      </c>
      <c r="B241" s="65" t="s">
        <v>183</v>
      </c>
      <c r="C241" s="65" t="s">
        <v>3744</v>
      </c>
      <c r="D241" s="65" t="s">
        <v>3751</v>
      </c>
      <c r="E241" s="51">
        <v>400.0</v>
      </c>
      <c r="F241" s="66"/>
      <c r="G241" s="53"/>
      <c r="H241" s="55"/>
      <c r="I241" s="55"/>
      <c r="J241" s="53"/>
      <c r="K241" s="53"/>
      <c r="L241" s="55"/>
      <c r="M241" s="53"/>
      <c r="N241" s="73"/>
      <c r="O241" s="57" t="str">
        <f t="shared" si="1"/>
        <v>SIN VENTAS Jun-Sep — no comprar (400 m disponibles)</v>
      </c>
      <c r="P241" s="58">
        <f t="shared" si="2"/>
        <v>400</v>
      </c>
      <c r="Q241" s="1"/>
      <c r="R241" s="1"/>
      <c r="S241" s="1"/>
      <c r="T241" s="1"/>
      <c r="U241" s="1"/>
      <c r="V241" s="1"/>
      <c r="W241" s="1"/>
      <c r="X241" s="60">
        <f>IFERROR(VLOOKUP($A241,Ventas!$A$2:$L$5000,12,FALSE()),"")</f>
        <v>0</v>
      </c>
      <c r="Y241" s="60">
        <f t="shared" si="3"/>
        <v>0</v>
      </c>
      <c r="Z241" s="61" t="str">
        <f t="shared" si="4"/>
        <v/>
      </c>
      <c r="AA241" s="60">
        <f t="shared" si="5"/>
        <v>-400</v>
      </c>
      <c r="AB241" s="62" t="str">
        <f t="shared" si="6"/>
        <v/>
      </c>
      <c r="AC241" s="62" t="str">
        <f t="array" ref="AC241">IF(AH241&lt;&gt;"COMPRAR","",IF(MAX(INDEX(Ventas!$G$2:$G$5000,MATCH($A241,Ventas!$A$2:$A$5000,0)),INDEX(Ventas!$H$2:$H$5000,MATCH($A241,Ventas!$A$2:$A$5000,0)),INDEX(Ventas!$I$2:$I$5000,MATCH($A241,Ventas!$A$2:$A$5000,0)),INDEX(Ventas!$J$2:$J$5000,MATCH($A241,Ventas!$A$2:$A$5000,0)))&gt;0.5*AF241*4,"1 mes = "&amp;TEXT(MAX(INDEX(Ventas!$G$2:$G$5000,MATCH($A241,Ventas!$A$2:$A$5000,0)),INDEX(Ventas!$H$2:$H$5000,MATCH($A241,Ventas!$A$2:$A$5000,0)),INDEX(Ventas!$I$2:$I$5000,MATCH($A241,Ventas!$A$2:$A$5000,0)),INDEX(Ventas!$J$2:$J$5000,MATCH($A241,Ventas!$A$2:$A$5000,0)))/(AF241*4),"0%")&amp;" de 4 meses",""))</f>
        <v/>
      </c>
      <c r="AD241" s="62" t="str">
        <f t="shared" si="7"/>
        <v/>
      </c>
      <c r="AE241" s="62" t="str">
        <f t="array" ref="AE241">IF(X241="","",IF(AND(E241=0,AVERAGE(INDEX(Ventas!$C$2:$I$5000,MATCH($A241,Ventas!$A$2:$A$5000,0),0))&gt;0,INDEX(Ventas!$J$2:$J$5000,MATCH($A241,Ventas!$A$2:$A$5000,0))&lt;0.5*AVERAGE(INDEX(Ventas!$C$2:$I$5000,MATCH($A241,Ventas!$A$2:$A$5000,0),0))),"SÍ — stock 0 y Sep cayó (prom Feb-Ago "&amp;TEXT(AVERAGE(INDEX(Ventas!$C$2:$I$5000,MATCH($A241,Ventas!$A$2:$A$5000,0),0)),"#,##0")&amp;")",""))</f>
        <v/>
      </c>
      <c r="AF241" s="60">
        <f t="array" ref="AF241">IF(X241="","",IF(AE241&lt;&gt;"",MAX(X241,AVERAGE(INDEX(Ventas!$C$2:$I$5000,MATCH($A241,Ventas!$A$2:$A$5000,0),0))),X241))</f>
        <v>0</v>
      </c>
      <c r="AG241" s="60">
        <f t="shared" si="8"/>
        <v>-400</v>
      </c>
      <c r="AH241" s="63" t="str">
        <f t="shared" si="9"/>
        <v>SIN VENTAS</v>
      </c>
    </row>
    <row r="242" ht="13.5" customHeight="1">
      <c r="A242" s="49" t="s">
        <v>2375</v>
      </c>
      <c r="B242" s="50" t="s">
        <v>183</v>
      </c>
      <c r="C242" s="50" t="s">
        <v>3744</v>
      </c>
      <c r="D242" s="50" t="s">
        <v>3752</v>
      </c>
      <c r="E242" s="51">
        <v>2971.0</v>
      </c>
      <c r="F242" s="52"/>
      <c r="G242" s="53"/>
      <c r="H242" s="55"/>
      <c r="I242" s="55"/>
      <c r="J242" s="53"/>
      <c r="K242" s="53"/>
      <c r="L242" s="55"/>
      <c r="M242" s="53"/>
      <c r="N242" s="74"/>
      <c r="O242" s="57" t="str">
        <f t="shared" si="1"/>
        <v>SOBRESTOCK — 237.7 meses de cobertura</v>
      </c>
      <c r="P242" s="58">
        <f t="shared" si="2"/>
        <v>2971</v>
      </c>
      <c r="Q242" s="1"/>
      <c r="R242" s="1"/>
      <c r="S242" s="1"/>
      <c r="T242" s="1"/>
      <c r="U242" s="1"/>
      <c r="V242" s="1"/>
      <c r="W242" s="1"/>
      <c r="X242" s="60">
        <f>IFERROR(VLOOKUP($A242,Ventas!$A$2:$L$5000,12,FALSE()),"")</f>
        <v>12.5</v>
      </c>
      <c r="Y242" s="60">
        <f t="shared" si="3"/>
        <v>50</v>
      </c>
      <c r="Z242" s="61">
        <f t="shared" si="4"/>
        <v>237.7</v>
      </c>
      <c r="AA242" s="60">
        <f t="shared" si="5"/>
        <v>-2921</v>
      </c>
      <c r="AB242" s="62" t="str">
        <f t="shared" si="6"/>
        <v/>
      </c>
      <c r="AC242" s="62" t="str">
        <f t="array" ref="AC242">IF(AH242&lt;&gt;"COMPRAR","",IF(MAX(INDEX(Ventas!$G$2:$G$5000,MATCH($A242,Ventas!$A$2:$A$5000,0)),INDEX(Ventas!$H$2:$H$5000,MATCH($A242,Ventas!$A$2:$A$5000,0)),INDEX(Ventas!$I$2:$I$5000,MATCH($A242,Ventas!$A$2:$A$5000,0)),INDEX(Ventas!$J$2:$J$5000,MATCH($A242,Ventas!$A$2:$A$5000,0)))&gt;0.5*AF242*4,"1 mes = "&amp;TEXT(MAX(INDEX(Ventas!$G$2:$G$5000,MATCH($A242,Ventas!$A$2:$A$5000,0)),INDEX(Ventas!$H$2:$H$5000,MATCH($A242,Ventas!$A$2:$A$5000,0)),INDEX(Ventas!$I$2:$I$5000,MATCH($A242,Ventas!$A$2:$A$5000,0)),INDEX(Ventas!$J$2:$J$5000,MATCH($A242,Ventas!$A$2:$A$5000,0)))/(AF242*4),"0%")&amp;" de 4 meses",""))</f>
        <v/>
      </c>
      <c r="AD242" s="62" t="str">
        <f t="shared" si="7"/>
        <v/>
      </c>
      <c r="AE242" s="62" t="str">
        <f t="array" ref="AE242">IF(X242="","",IF(AND(E242=0,AVERAGE(INDEX(Ventas!$C$2:$I$5000,MATCH($A242,Ventas!$A$2:$A$5000,0),0))&gt;0,INDEX(Ventas!$J$2:$J$5000,MATCH($A242,Ventas!$A$2:$A$5000,0))&lt;0.5*AVERAGE(INDEX(Ventas!$C$2:$I$5000,MATCH($A242,Ventas!$A$2:$A$5000,0),0))),"SÍ — stock 0 y Sep cayó (prom Feb-Ago "&amp;TEXT(AVERAGE(INDEX(Ventas!$C$2:$I$5000,MATCH($A242,Ventas!$A$2:$A$5000,0),0)),"#,##0")&amp;")",""))</f>
        <v/>
      </c>
      <c r="AF242" s="60">
        <f t="array" ref="AF242">IF(X242="","",IF(AE242&lt;&gt;"",MAX(X242,AVERAGE(INDEX(Ventas!$C$2:$I$5000,MATCH($A242,Ventas!$A$2:$A$5000,0),0))),X242))</f>
        <v>12.5</v>
      </c>
      <c r="AG242" s="60">
        <f t="shared" si="8"/>
        <v>-2921</v>
      </c>
      <c r="AH242" s="63" t="str">
        <f t="shared" si="9"/>
        <v>SOBRESTOCK</v>
      </c>
    </row>
    <row r="243" ht="13.5" customHeight="1">
      <c r="A243" s="64" t="s">
        <v>2351</v>
      </c>
      <c r="B243" s="65" t="s">
        <v>183</v>
      </c>
      <c r="C243" s="65" t="s">
        <v>3744</v>
      </c>
      <c r="D243" s="65" t="s">
        <v>3753</v>
      </c>
      <c r="E243" s="51">
        <v>1745.0</v>
      </c>
      <c r="F243" s="66"/>
      <c r="G243" s="53"/>
      <c r="H243" s="55"/>
      <c r="I243" s="55"/>
      <c r="J243" s="53"/>
      <c r="K243" s="53"/>
      <c r="L243" s="55"/>
      <c r="M243" s="53"/>
      <c r="N243" s="73"/>
      <c r="O243" s="57" t="str">
        <f t="shared" si="1"/>
        <v>SOBRESTOCK — 19.9 meses de cobertura</v>
      </c>
      <c r="P243" s="58">
        <f t="shared" si="2"/>
        <v>1745</v>
      </c>
      <c r="Q243" s="1"/>
      <c r="R243" s="1"/>
      <c r="S243" s="1"/>
      <c r="T243" s="1"/>
      <c r="U243" s="1"/>
      <c r="V243" s="1"/>
      <c r="W243" s="1"/>
      <c r="X243" s="60">
        <f>IFERROR(VLOOKUP($A243,Ventas!$A$2:$L$5000,12,FALSE()),"")</f>
        <v>87.5</v>
      </c>
      <c r="Y243" s="60">
        <f t="shared" si="3"/>
        <v>350</v>
      </c>
      <c r="Z243" s="61">
        <f t="shared" si="4"/>
        <v>19.9</v>
      </c>
      <c r="AA243" s="60">
        <f t="shared" si="5"/>
        <v>-1395</v>
      </c>
      <c r="AB243" s="62" t="str">
        <f t="shared" si="6"/>
        <v/>
      </c>
      <c r="AC243" s="62" t="str">
        <f t="array" ref="AC243">IF(AH243&lt;&gt;"COMPRAR","",IF(MAX(INDEX(Ventas!$G$2:$G$5000,MATCH($A243,Ventas!$A$2:$A$5000,0)),INDEX(Ventas!$H$2:$H$5000,MATCH($A243,Ventas!$A$2:$A$5000,0)),INDEX(Ventas!$I$2:$I$5000,MATCH($A243,Ventas!$A$2:$A$5000,0)),INDEX(Ventas!$J$2:$J$5000,MATCH($A243,Ventas!$A$2:$A$5000,0)))&gt;0.5*AF243*4,"1 mes = "&amp;TEXT(MAX(INDEX(Ventas!$G$2:$G$5000,MATCH($A243,Ventas!$A$2:$A$5000,0)),INDEX(Ventas!$H$2:$H$5000,MATCH($A243,Ventas!$A$2:$A$5000,0)),INDEX(Ventas!$I$2:$I$5000,MATCH($A243,Ventas!$A$2:$A$5000,0)),INDEX(Ventas!$J$2:$J$5000,MATCH($A243,Ventas!$A$2:$A$5000,0)))/(AF243*4),"0%")&amp;" de 4 meses",""))</f>
        <v/>
      </c>
      <c r="AD243" s="62" t="str">
        <f t="shared" si="7"/>
        <v/>
      </c>
      <c r="AE243" s="62" t="str">
        <f t="array" ref="AE243">IF(X243="","",IF(AND(E243=0,AVERAGE(INDEX(Ventas!$C$2:$I$5000,MATCH($A243,Ventas!$A$2:$A$5000,0),0))&gt;0,INDEX(Ventas!$J$2:$J$5000,MATCH($A243,Ventas!$A$2:$A$5000,0))&lt;0.5*AVERAGE(INDEX(Ventas!$C$2:$I$5000,MATCH($A243,Ventas!$A$2:$A$5000,0),0))),"SÍ — stock 0 y Sep cayó (prom Feb-Ago "&amp;TEXT(AVERAGE(INDEX(Ventas!$C$2:$I$5000,MATCH($A243,Ventas!$A$2:$A$5000,0),0)),"#,##0")&amp;")",""))</f>
        <v/>
      </c>
      <c r="AF243" s="60">
        <f t="array" ref="AF243">IF(X243="","",IF(AE243&lt;&gt;"",MAX(X243,AVERAGE(INDEX(Ventas!$C$2:$I$5000,MATCH($A243,Ventas!$A$2:$A$5000,0),0))),X243))</f>
        <v>87.5</v>
      </c>
      <c r="AG243" s="60">
        <f t="shared" si="8"/>
        <v>-1395</v>
      </c>
      <c r="AH243" s="63" t="str">
        <f t="shared" si="9"/>
        <v>SOBRESTOCK</v>
      </c>
    </row>
    <row r="244" ht="13.5" customHeight="1">
      <c r="A244" s="49" t="s">
        <v>2407</v>
      </c>
      <c r="B244" s="50" t="s">
        <v>183</v>
      </c>
      <c r="C244" s="50" t="s">
        <v>3744</v>
      </c>
      <c r="D244" s="50" t="s">
        <v>3754</v>
      </c>
      <c r="E244" s="51">
        <v>0.0</v>
      </c>
      <c r="F244" s="52"/>
      <c r="G244" s="53"/>
      <c r="H244" s="55"/>
      <c r="I244" s="55"/>
      <c r="J244" s="53"/>
      <c r="K244" s="53"/>
      <c r="L244" s="55"/>
      <c r="M244" s="53"/>
      <c r="N244" s="74"/>
      <c r="O244" s="57" t="str">
        <f t="shared" si="1"/>
        <v>SIN VENTAS Jun-Sep — no comprar</v>
      </c>
      <c r="P244" s="58">
        <f t="shared" si="2"/>
        <v>0</v>
      </c>
      <c r="Q244" s="1"/>
      <c r="R244" s="1"/>
      <c r="S244" s="1"/>
      <c r="T244" s="1"/>
      <c r="U244" s="1"/>
      <c r="V244" s="1"/>
      <c r="W244" s="1"/>
      <c r="X244" s="60">
        <f>IFERROR(VLOOKUP($A244,Ventas!$A$2:$L$5000,12,FALSE()),"")</f>
        <v>0</v>
      </c>
      <c r="Y244" s="60">
        <f t="shared" si="3"/>
        <v>0</v>
      </c>
      <c r="Z244" s="61" t="str">
        <f t="shared" si="4"/>
        <v/>
      </c>
      <c r="AA244" s="60">
        <f t="shared" si="5"/>
        <v>0</v>
      </c>
      <c r="AB244" s="62" t="str">
        <f t="shared" si="6"/>
        <v/>
      </c>
      <c r="AC244" s="62" t="str">
        <f t="array" ref="AC244">IF(AH244&lt;&gt;"COMPRAR","",IF(MAX(INDEX(Ventas!$G$2:$G$5000,MATCH($A244,Ventas!$A$2:$A$5000,0)),INDEX(Ventas!$H$2:$H$5000,MATCH($A244,Ventas!$A$2:$A$5000,0)),INDEX(Ventas!$I$2:$I$5000,MATCH($A244,Ventas!$A$2:$A$5000,0)),INDEX(Ventas!$J$2:$J$5000,MATCH($A244,Ventas!$A$2:$A$5000,0)))&gt;0.5*AF244*4,"1 mes = "&amp;TEXT(MAX(INDEX(Ventas!$G$2:$G$5000,MATCH($A244,Ventas!$A$2:$A$5000,0)),INDEX(Ventas!$H$2:$H$5000,MATCH($A244,Ventas!$A$2:$A$5000,0)),INDEX(Ventas!$I$2:$I$5000,MATCH($A244,Ventas!$A$2:$A$5000,0)),INDEX(Ventas!$J$2:$J$5000,MATCH($A244,Ventas!$A$2:$A$5000,0)))/(AF244*4),"0%")&amp;" de 4 meses",""))</f>
        <v/>
      </c>
      <c r="AD244" s="62" t="str">
        <f t="shared" si="7"/>
        <v/>
      </c>
      <c r="AE244" s="62" t="str">
        <f t="array" ref="AE244">IF(X244="","",IF(AND(E244=0,AVERAGE(INDEX(Ventas!$C$2:$I$5000,MATCH($A244,Ventas!$A$2:$A$5000,0),0))&gt;0,INDEX(Ventas!$J$2:$J$5000,MATCH($A244,Ventas!$A$2:$A$5000,0))&lt;0.5*AVERAGE(INDEX(Ventas!$C$2:$I$5000,MATCH($A244,Ventas!$A$2:$A$5000,0),0))),"SÍ — stock 0 y Sep cayó (prom Feb-Ago "&amp;TEXT(AVERAGE(INDEX(Ventas!$C$2:$I$5000,MATCH($A244,Ventas!$A$2:$A$5000,0),0)),"#,##0")&amp;")",""))</f>
        <v>SÍ — stock 0 y Sep cayó (prom Feb-Ago 21)</v>
      </c>
      <c r="AF244" s="60">
        <f t="array" ref="AF244">IF(X244="","",IF(AE244&lt;&gt;"",MAX(X244,AVERAGE(INDEX(Ventas!$C$2:$I$5000,MATCH($A244,Ventas!$A$2:$A$5000,0),0))),X244))</f>
        <v>21.42857143</v>
      </c>
      <c r="AG244" s="60">
        <f t="shared" si="8"/>
        <v>86</v>
      </c>
      <c r="AH244" s="63" t="str">
        <f t="shared" si="9"/>
        <v>COMPRAR</v>
      </c>
    </row>
    <row r="245" ht="13.5" customHeight="1">
      <c r="A245" s="64" t="s">
        <v>1764</v>
      </c>
      <c r="B245" s="65" t="s">
        <v>183</v>
      </c>
      <c r="C245" s="65" t="s">
        <v>3755</v>
      </c>
      <c r="D245" s="65" t="s">
        <v>3756</v>
      </c>
      <c r="E245" s="51">
        <v>1174.0</v>
      </c>
      <c r="F245" s="66"/>
      <c r="G245" s="53"/>
      <c r="H245" s="55"/>
      <c r="I245" s="55"/>
      <c r="J245" s="53"/>
      <c r="K245" s="53"/>
      <c r="L245" s="55"/>
      <c r="M245" s="53"/>
      <c r="N245" s="73"/>
      <c r="O245" s="57" t="str">
        <f t="shared" si="1"/>
        <v>SOBRESTOCK — 20.3 meses de cobertura</v>
      </c>
      <c r="P245" s="58">
        <f t="shared" si="2"/>
        <v>1174</v>
      </c>
      <c r="Q245" s="1"/>
      <c r="R245" s="1"/>
      <c r="S245" s="1"/>
      <c r="T245" s="1"/>
      <c r="U245" s="1"/>
      <c r="V245" s="1"/>
      <c r="W245" s="1"/>
      <c r="X245" s="60">
        <f>IFERROR(VLOOKUP($A245,Ventas!$A$2:$L$5000,12,FALSE()),"")</f>
        <v>57.75</v>
      </c>
      <c r="Y245" s="60">
        <f t="shared" si="3"/>
        <v>231</v>
      </c>
      <c r="Z245" s="61">
        <f t="shared" si="4"/>
        <v>20.3</v>
      </c>
      <c r="AA245" s="60">
        <f t="shared" si="5"/>
        <v>-943</v>
      </c>
      <c r="AB245" s="62" t="str">
        <f t="shared" si="6"/>
        <v/>
      </c>
      <c r="AC245" s="62" t="str">
        <f t="array" ref="AC245">IF(AH245&lt;&gt;"COMPRAR","",IF(MAX(INDEX(Ventas!$G$2:$G$5000,MATCH($A245,Ventas!$A$2:$A$5000,0)),INDEX(Ventas!$H$2:$H$5000,MATCH($A245,Ventas!$A$2:$A$5000,0)),INDEX(Ventas!$I$2:$I$5000,MATCH($A245,Ventas!$A$2:$A$5000,0)),INDEX(Ventas!$J$2:$J$5000,MATCH($A245,Ventas!$A$2:$A$5000,0)))&gt;0.5*AF245*4,"1 mes = "&amp;TEXT(MAX(INDEX(Ventas!$G$2:$G$5000,MATCH($A245,Ventas!$A$2:$A$5000,0)),INDEX(Ventas!$H$2:$H$5000,MATCH($A245,Ventas!$A$2:$A$5000,0)),INDEX(Ventas!$I$2:$I$5000,MATCH($A245,Ventas!$A$2:$A$5000,0)),INDEX(Ventas!$J$2:$J$5000,MATCH($A245,Ventas!$A$2:$A$5000,0)))/(AF245*4),"0%")&amp;" de 4 meses",""))</f>
        <v/>
      </c>
      <c r="AD245" s="62" t="str">
        <f t="shared" si="7"/>
        <v/>
      </c>
      <c r="AE245" s="62" t="str">
        <f t="array" ref="AE245">IF(X245="","",IF(AND(E245=0,AVERAGE(INDEX(Ventas!$C$2:$I$5000,MATCH($A245,Ventas!$A$2:$A$5000,0),0))&gt;0,INDEX(Ventas!$J$2:$J$5000,MATCH($A245,Ventas!$A$2:$A$5000,0))&lt;0.5*AVERAGE(INDEX(Ventas!$C$2:$I$5000,MATCH($A245,Ventas!$A$2:$A$5000,0),0))),"SÍ — stock 0 y Sep cayó (prom Feb-Ago "&amp;TEXT(AVERAGE(INDEX(Ventas!$C$2:$I$5000,MATCH($A245,Ventas!$A$2:$A$5000,0),0)),"#,##0")&amp;")",""))</f>
        <v/>
      </c>
      <c r="AF245" s="60">
        <f t="array" ref="AF245">IF(X245="","",IF(AE245&lt;&gt;"",MAX(X245,AVERAGE(INDEX(Ventas!$C$2:$I$5000,MATCH($A245,Ventas!$A$2:$A$5000,0),0))),X245))</f>
        <v>57.75</v>
      </c>
      <c r="AG245" s="60">
        <f t="shared" si="8"/>
        <v>-943</v>
      </c>
      <c r="AH245" s="63" t="str">
        <f t="shared" si="9"/>
        <v>SOBRESTOCK</v>
      </c>
    </row>
    <row r="246" ht="13.5" customHeight="1">
      <c r="A246" s="49" t="s">
        <v>1768</v>
      </c>
      <c r="B246" s="50" t="s">
        <v>183</v>
      </c>
      <c r="C246" s="50" t="s">
        <v>3755</v>
      </c>
      <c r="D246" s="50" t="s">
        <v>3757</v>
      </c>
      <c r="E246" s="51">
        <v>80.0</v>
      </c>
      <c r="F246" s="52"/>
      <c r="G246" s="53"/>
      <c r="H246" s="55"/>
      <c r="I246" s="55"/>
      <c r="J246" s="53"/>
      <c r="K246" s="53"/>
      <c r="L246" s="55"/>
      <c r="M246" s="53"/>
      <c r="N246" s="74"/>
      <c r="O246" s="57" t="str">
        <f t="shared" si="1"/>
        <v>COMPRAR — faltan 40 m para 4 meses</v>
      </c>
      <c r="P246" s="58">
        <f t="shared" si="2"/>
        <v>80</v>
      </c>
      <c r="Q246" s="1"/>
      <c r="R246" s="1"/>
      <c r="S246" s="1"/>
      <c r="T246" s="1"/>
      <c r="U246" s="1"/>
      <c r="V246" s="1"/>
      <c r="W246" s="1"/>
      <c r="X246" s="60">
        <f>IFERROR(VLOOKUP($A246,Ventas!$A$2:$L$5000,12,FALSE()),"")</f>
        <v>30</v>
      </c>
      <c r="Y246" s="60">
        <f t="shared" si="3"/>
        <v>120</v>
      </c>
      <c r="Z246" s="61">
        <f t="shared" si="4"/>
        <v>2.7</v>
      </c>
      <c r="AA246" s="60">
        <f t="shared" si="5"/>
        <v>40</v>
      </c>
      <c r="AB246" s="62" t="str">
        <f t="shared" si="6"/>
        <v/>
      </c>
      <c r="AC246" s="62" t="str">
        <f t="array" ref="AC246">IF(AH246&lt;&gt;"COMPRAR","",IF(MAX(INDEX(Ventas!$G$2:$G$5000,MATCH($A246,Ventas!$A$2:$A$5000,0)),INDEX(Ventas!$H$2:$H$5000,MATCH($A246,Ventas!$A$2:$A$5000,0)),INDEX(Ventas!$I$2:$I$5000,MATCH($A246,Ventas!$A$2:$A$5000,0)),INDEX(Ventas!$J$2:$J$5000,MATCH($A246,Ventas!$A$2:$A$5000,0)))&gt;0.5*AF246*4,"1 mes = "&amp;TEXT(MAX(INDEX(Ventas!$G$2:$G$5000,MATCH($A246,Ventas!$A$2:$A$5000,0)),INDEX(Ventas!$H$2:$H$5000,MATCH($A246,Ventas!$A$2:$A$5000,0)),INDEX(Ventas!$I$2:$I$5000,MATCH($A246,Ventas!$A$2:$A$5000,0)),INDEX(Ventas!$J$2:$J$5000,MATCH($A246,Ventas!$A$2:$A$5000,0)))/(AF246*4),"0%")&amp;" de 4 meses",""))</f>
        <v>1 mes = 67% de 4 meses</v>
      </c>
      <c r="AD246" s="62" t="str">
        <f t="shared" si="7"/>
        <v/>
      </c>
      <c r="AE246" s="62" t="str">
        <f t="array" ref="AE246">IF(X246="","",IF(AND(E246=0,AVERAGE(INDEX(Ventas!$C$2:$I$5000,MATCH($A246,Ventas!$A$2:$A$5000,0),0))&gt;0,INDEX(Ventas!$J$2:$J$5000,MATCH($A246,Ventas!$A$2:$A$5000,0))&lt;0.5*AVERAGE(INDEX(Ventas!$C$2:$I$5000,MATCH($A246,Ventas!$A$2:$A$5000,0),0))),"SÍ — stock 0 y Sep cayó (prom Feb-Ago "&amp;TEXT(AVERAGE(INDEX(Ventas!$C$2:$I$5000,MATCH($A246,Ventas!$A$2:$A$5000,0),0)),"#,##0")&amp;")",""))</f>
        <v/>
      </c>
      <c r="AF246" s="60">
        <f t="array" ref="AF246">IF(X246="","",IF(AE246&lt;&gt;"",MAX(X246,AVERAGE(INDEX(Ventas!$C$2:$I$5000,MATCH($A246,Ventas!$A$2:$A$5000,0),0))),X246))</f>
        <v>30</v>
      </c>
      <c r="AG246" s="60">
        <f t="shared" si="8"/>
        <v>40</v>
      </c>
      <c r="AH246" s="63" t="str">
        <f t="shared" si="9"/>
        <v>COMPRAR</v>
      </c>
    </row>
    <row r="247" ht="13.5" customHeight="1">
      <c r="A247" s="64" t="s">
        <v>1760</v>
      </c>
      <c r="B247" s="65" t="s">
        <v>183</v>
      </c>
      <c r="C247" s="65" t="s">
        <v>3755</v>
      </c>
      <c r="D247" s="65" t="s">
        <v>3758</v>
      </c>
      <c r="E247" s="51">
        <v>0.0</v>
      </c>
      <c r="F247" s="66"/>
      <c r="G247" s="53"/>
      <c r="H247" s="55"/>
      <c r="I247" s="55"/>
      <c r="J247" s="53"/>
      <c r="K247" s="53"/>
      <c r="L247" s="55"/>
      <c r="M247" s="53"/>
      <c r="N247" s="73"/>
      <c r="O247" s="57" t="str">
        <f t="shared" si="1"/>
        <v>COMPRAR — faltan 80 m para 4 meses</v>
      </c>
      <c r="P247" s="58">
        <f t="shared" si="2"/>
        <v>0</v>
      </c>
      <c r="Q247" s="1"/>
      <c r="R247" s="1"/>
      <c r="S247" s="1"/>
      <c r="T247" s="1"/>
      <c r="U247" s="1"/>
      <c r="V247" s="1"/>
      <c r="W247" s="1"/>
      <c r="X247" s="60">
        <f>IFERROR(VLOOKUP($A247,Ventas!$A$2:$L$5000,12,FALSE()),"")</f>
        <v>20</v>
      </c>
      <c r="Y247" s="60">
        <f t="shared" si="3"/>
        <v>80</v>
      </c>
      <c r="Z247" s="61">
        <f t="shared" si="4"/>
        <v>0</v>
      </c>
      <c r="AA247" s="60">
        <f t="shared" si="5"/>
        <v>80</v>
      </c>
      <c r="AB247" s="62" t="str">
        <f t="shared" si="6"/>
        <v/>
      </c>
      <c r="AC247" s="62" t="str">
        <f t="array" ref="AC247">IF(AH247&lt;&gt;"COMPRAR","",IF(MAX(INDEX(Ventas!$G$2:$G$5000,MATCH($A247,Ventas!$A$2:$A$5000,0)),INDEX(Ventas!$H$2:$H$5000,MATCH($A247,Ventas!$A$2:$A$5000,0)),INDEX(Ventas!$I$2:$I$5000,MATCH($A247,Ventas!$A$2:$A$5000,0)),INDEX(Ventas!$J$2:$J$5000,MATCH($A247,Ventas!$A$2:$A$5000,0)))&gt;0.5*AF247*4,"1 mes = "&amp;TEXT(MAX(INDEX(Ventas!$G$2:$G$5000,MATCH($A247,Ventas!$A$2:$A$5000,0)),INDEX(Ventas!$H$2:$H$5000,MATCH($A247,Ventas!$A$2:$A$5000,0)),INDEX(Ventas!$I$2:$I$5000,MATCH($A247,Ventas!$A$2:$A$5000,0)),INDEX(Ventas!$J$2:$J$5000,MATCH($A247,Ventas!$A$2:$A$5000,0)))/(AF247*4),"0%")&amp;" de 4 meses",""))</f>
        <v/>
      </c>
      <c r="AD247" s="62" t="str">
        <f t="shared" si="7"/>
        <v>SÍ — 0 m vs 11 m</v>
      </c>
      <c r="AE247" s="62" t="str">
        <f t="array" ref="AE247">IF(X247="","",IF(AND(E247=0,AVERAGE(INDEX(Ventas!$C$2:$I$5000,MATCH($A247,Ventas!$A$2:$A$5000,0),0))&gt;0,INDEX(Ventas!$J$2:$J$5000,MATCH($A247,Ventas!$A$2:$A$5000,0))&lt;0.5*AVERAGE(INDEX(Ventas!$C$2:$I$5000,MATCH($A247,Ventas!$A$2:$A$5000,0),0))),"SÍ — stock 0 y Sep cayó (prom Feb-Ago "&amp;TEXT(AVERAGE(INDEX(Ventas!$C$2:$I$5000,MATCH($A247,Ventas!$A$2:$A$5000,0),0)),"#,##0")&amp;")",""))</f>
        <v>SÍ — stock 0 y Sep cayó (prom Feb-Ago 29)</v>
      </c>
      <c r="AF247" s="60">
        <f t="array" ref="AF247">IF(X247="","",IF(AE247&lt;&gt;"",MAX(X247,AVERAGE(INDEX(Ventas!$C$2:$I$5000,MATCH($A247,Ventas!$A$2:$A$5000,0),0))),X247))</f>
        <v>28.57142857</v>
      </c>
      <c r="AG247" s="60">
        <f t="shared" si="8"/>
        <v>114</v>
      </c>
      <c r="AH247" s="63" t="str">
        <f t="shared" si="9"/>
        <v>COMPRAR</v>
      </c>
    </row>
    <row r="248" ht="13.5" customHeight="1">
      <c r="A248" s="49" t="s">
        <v>1762</v>
      </c>
      <c r="B248" s="50" t="s">
        <v>183</v>
      </c>
      <c r="C248" s="50" t="s">
        <v>3755</v>
      </c>
      <c r="D248" s="50" t="s">
        <v>3759</v>
      </c>
      <c r="E248" s="51">
        <v>0.0</v>
      </c>
      <c r="F248" s="52"/>
      <c r="G248" s="53"/>
      <c r="H248" s="55"/>
      <c r="I248" s="55"/>
      <c r="J248" s="53"/>
      <c r="K248" s="53"/>
      <c r="L248" s="55"/>
      <c r="M248" s="53"/>
      <c r="N248" s="74"/>
      <c r="O248" s="57" t="str">
        <f t="shared" si="1"/>
        <v>COMPRAR — faltan 80 m para 4 meses</v>
      </c>
      <c r="P248" s="58">
        <f t="shared" si="2"/>
        <v>0</v>
      </c>
      <c r="Q248" s="1"/>
      <c r="R248" s="1"/>
      <c r="S248" s="1"/>
      <c r="T248" s="1"/>
      <c r="U248" s="1"/>
      <c r="V248" s="1"/>
      <c r="W248" s="1"/>
      <c r="X248" s="60">
        <f>IFERROR(VLOOKUP($A248,Ventas!$A$2:$L$5000,12,FALSE()),"")</f>
        <v>20</v>
      </c>
      <c r="Y248" s="60">
        <f t="shared" si="3"/>
        <v>80</v>
      </c>
      <c r="Z248" s="61">
        <f t="shared" si="4"/>
        <v>0</v>
      </c>
      <c r="AA248" s="60">
        <f t="shared" si="5"/>
        <v>80</v>
      </c>
      <c r="AB248" s="62" t="str">
        <f t="shared" si="6"/>
        <v/>
      </c>
      <c r="AC248" s="62" t="str">
        <f t="array" ref="AC248">IF(AH248&lt;&gt;"COMPRAR","",IF(MAX(INDEX(Ventas!$G$2:$G$5000,MATCH($A248,Ventas!$A$2:$A$5000,0)),INDEX(Ventas!$H$2:$H$5000,MATCH($A248,Ventas!$A$2:$A$5000,0)),INDEX(Ventas!$I$2:$I$5000,MATCH($A248,Ventas!$A$2:$A$5000,0)),INDEX(Ventas!$J$2:$J$5000,MATCH($A248,Ventas!$A$2:$A$5000,0)))&gt;0.5*AF248*4,"1 mes = "&amp;TEXT(MAX(INDEX(Ventas!$G$2:$G$5000,MATCH($A248,Ventas!$A$2:$A$5000,0)),INDEX(Ventas!$H$2:$H$5000,MATCH($A248,Ventas!$A$2:$A$5000,0)),INDEX(Ventas!$I$2:$I$5000,MATCH($A248,Ventas!$A$2:$A$5000,0)),INDEX(Ventas!$J$2:$J$5000,MATCH($A248,Ventas!$A$2:$A$5000,0)))/(AF248*4),"0%")&amp;" de 4 meses",""))</f>
        <v>1 mes = 88% de 4 meses</v>
      </c>
      <c r="AD248" s="62" t="str">
        <f t="shared" si="7"/>
        <v>SÍ — 0 m vs 11 m</v>
      </c>
      <c r="AE248" s="62" t="str">
        <f t="array" ref="AE248">IF(X248="","",IF(AND(E248=0,AVERAGE(INDEX(Ventas!$C$2:$I$5000,MATCH($A248,Ventas!$A$2:$A$5000,0),0))&gt;0,INDEX(Ventas!$J$2:$J$5000,MATCH($A248,Ventas!$A$2:$A$5000,0))&lt;0.5*AVERAGE(INDEX(Ventas!$C$2:$I$5000,MATCH($A248,Ventas!$A$2:$A$5000,0),0))),"SÍ — stock 0 y Sep cayó (prom Feb-Ago "&amp;TEXT(AVERAGE(INDEX(Ventas!$C$2:$I$5000,MATCH($A248,Ventas!$A$2:$A$5000,0),0)),"#,##0")&amp;")",""))</f>
        <v>SÍ — stock 0 y Sep cayó (prom Feb-Ago 23)</v>
      </c>
      <c r="AF248" s="60">
        <f t="array" ref="AF248">IF(X248="","",IF(AE248&lt;&gt;"",MAX(X248,AVERAGE(INDEX(Ventas!$C$2:$I$5000,MATCH($A248,Ventas!$A$2:$A$5000,0),0))),X248))</f>
        <v>22.85714286</v>
      </c>
      <c r="AG248" s="60">
        <f t="shared" si="8"/>
        <v>91</v>
      </c>
      <c r="AH248" s="63" t="str">
        <f t="shared" si="9"/>
        <v>COMPRAR</v>
      </c>
    </row>
    <row r="249" ht="13.5" customHeight="1">
      <c r="A249" s="64" t="s">
        <v>1766</v>
      </c>
      <c r="B249" s="65" t="s">
        <v>183</v>
      </c>
      <c r="C249" s="65" t="s">
        <v>3755</v>
      </c>
      <c r="D249" s="65" t="s">
        <v>3743</v>
      </c>
      <c r="E249" s="51">
        <v>520.0</v>
      </c>
      <c r="F249" s="66"/>
      <c r="G249" s="53"/>
      <c r="H249" s="55"/>
      <c r="I249" s="55"/>
      <c r="J249" s="53"/>
      <c r="K249" s="53"/>
      <c r="L249" s="55"/>
      <c r="M249" s="53"/>
      <c r="N249" s="73"/>
      <c r="O249" s="57" t="str">
        <f t="shared" si="1"/>
        <v>SOBRESTOCK — 13.0 meses de cobertura</v>
      </c>
      <c r="P249" s="58">
        <f t="shared" si="2"/>
        <v>520</v>
      </c>
      <c r="Q249" s="1"/>
      <c r="R249" s="1"/>
      <c r="S249" s="1"/>
      <c r="T249" s="1"/>
      <c r="U249" s="1"/>
      <c r="V249" s="1"/>
      <c r="W249" s="1"/>
      <c r="X249" s="60">
        <f>IFERROR(VLOOKUP($A249,Ventas!$A$2:$L$5000,12,FALSE()),"")</f>
        <v>40</v>
      </c>
      <c r="Y249" s="60">
        <f t="shared" si="3"/>
        <v>160</v>
      </c>
      <c r="Z249" s="61">
        <f t="shared" si="4"/>
        <v>13</v>
      </c>
      <c r="AA249" s="60">
        <f t="shared" si="5"/>
        <v>-360</v>
      </c>
      <c r="AB249" s="62" t="str">
        <f t="shared" si="6"/>
        <v/>
      </c>
      <c r="AC249" s="62" t="str">
        <f t="array" ref="AC249">IF(AH249&lt;&gt;"COMPRAR","",IF(MAX(INDEX(Ventas!$G$2:$G$5000,MATCH($A249,Ventas!$A$2:$A$5000,0)),INDEX(Ventas!$H$2:$H$5000,MATCH($A249,Ventas!$A$2:$A$5000,0)),INDEX(Ventas!$I$2:$I$5000,MATCH($A249,Ventas!$A$2:$A$5000,0)),INDEX(Ventas!$J$2:$J$5000,MATCH($A249,Ventas!$A$2:$A$5000,0)))&gt;0.5*AF249*4,"1 mes = "&amp;TEXT(MAX(INDEX(Ventas!$G$2:$G$5000,MATCH($A249,Ventas!$A$2:$A$5000,0)),INDEX(Ventas!$H$2:$H$5000,MATCH($A249,Ventas!$A$2:$A$5000,0)),INDEX(Ventas!$I$2:$I$5000,MATCH($A249,Ventas!$A$2:$A$5000,0)),INDEX(Ventas!$J$2:$J$5000,MATCH($A249,Ventas!$A$2:$A$5000,0)))/(AF249*4),"0%")&amp;" de 4 meses",""))</f>
        <v/>
      </c>
      <c r="AD249" s="62" t="str">
        <f t="shared" si="7"/>
        <v/>
      </c>
      <c r="AE249" s="62" t="str">
        <f t="array" ref="AE249">IF(X249="","",IF(AND(E249=0,AVERAGE(INDEX(Ventas!$C$2:$I$5000,MATCH($A249,Ventas!$A$2:$A$5000,0),0))&gt;0,INDEX(Ventas!$J$2:$J$5000,MATCH($A249,Ventas!$A$2:$A$5000,0))&lt;0.5*AVERAGE(INDEX(Ventas!$C$2:$I$5000,MATCH($A249,Ventas!$A$2:$A$5000,0),0))),"SÍ — stock 0 y Sep cayó (prom Feb-Ago "&amp;TEXT(AVERAGE(INDEX(Ventas!$C$2:$I$5000,MATCH($A249,Ventas!$A$2:$A$5000,0),0)),"#,##0")&amp;")",""))</f>
        <v/>
      </c>
      <c r="AF249" s="60">
        <f t="array" ref="AF249">IF(X249="","",IF(AE249&lt;&gt;"",MAX(X249,AVERAGE(INDEX(Ventas!$C$2:$I$5000,MATCH($A249,Ventas!$A$2:$A$5000,0),0))),X249))</f>
        <v>40</v>
      </c>
      <c r="AG249" s="60">
        <f t="shared" si="8"/>
        <v>-360</v>
      </c>
      <c r="AH249" s="63" t="str">
        <f t="shared" si="9"/>
        <v>SOBRESTOCK</v>
      </c>
    </row>
    <row r="250" ht="13.5" customHeight="1">
      <c r="A250" s="49" t="s">
        <v>1754</v>
      </c>
      <c r="B250" s="50" t="s">
        <v>183</v>
      </c>
      <c r="C250" s="50" t="s">
        <v>3760</v>
      </c>
      <c r="D250" s="50" t="s">
        <v>3756</v>
      </c>
      <c r="E250" s="51">
        <v>426.0</v>
      </c>
      <c r="F250" s="52"/>
      <c r="G250" s="53"/>
      <c r="H250" s="55"/>
      <c r="I250" s="55"/>
      <c r="J250" s="53"/>
      <c r="K250" s="53"/>
      <c r="L250" s="55"/>
      <c r="M250" s="53"/>
      <c r="N250" s="74"/>
      <c r="O250" s="57" t="str">
        <f t="shared" si="1"/>
        <v>SIN VENTAS Jun-Sep — no comprar (426 m disponibles)</v>
      </c>
      <c r="P250" s="58">
        <f t="shared" si="2"/>
        <v>426</v>
      </c>
      <c r="Q250" s="1"/>
      <c r="R250" s="1"/>
      <c r="S250" s="1"/>
      <c r="T250" s="1"/>
      <c r="U250" s="1"/>
      <c r="V250" s="1"/>
      <c r="W250" s="1"/>
      <c r="X250" s="60">
        <f>IFERROR(VLOOKUP($A250,Ventas!$A$2:$L$5000,12,FALSE()),"")</f>
        <v>0</v>
      </c>
      <c r="Y250" s="60">
        <f t="shared" si="3"/>
        <v>0</v>
      </c>
      <c r="Z250" s="61" t="str">
        <f t="shared" si="4"/>
        <v/>
      </c>
      <c r="AA250" s="60">
        <f t="shared" si="5"/>
        <v>-426</v>
      </c>
      <c r="AB250" s="62" t="str">
        <f t="shared" si="6"/>
        <v/>
      </c>
      <c r="AC250" s="62" t="str">
        <f t="array" ref="AC250">IF(AH250&lt;&gt;"COMPRAR","",IF(MAX(INDEX(Ventas!$G$2:$G$5000,MATCH($A250,Ventas!$A$2:$A$5000,0)),INDEX(Ventas!$H$2:$H$5000,MATCH($A250,Ventas!$A$2:$A$5000,0)),INDEX(Ventas!$I$2:$I$5000,MATCH($A250,Ventas!$A$2:$A$5000,0)),INDEX(Ventas!$J$2:$J$5000,MATCH($A250,Ventas!$A$2:$A$5000,0)))&gt;0.5*AF250*4,"1 mes = "&amp;TEXT(MAX(INDEX(Ventas!$G$2:$G$5000,MATCH($A250,Ventas!$A$2:$A$5000,0)),INDEX(Ventas!$H$2:$H$5000,MATCH($A250,Ventas!$A$2:$A$5000,0)),INDEX(Ventas!$I$2:$I$5000,MATCH($A250,Ventas!$A$2:$A$5000,0)),INDEX(Ventas!$J$2:$J$5000,MATCH($A250,Ventas!$A$2:$A$5000,0)))/(AF250*4),"0%")&amp;" de 4 meses",""))</f>
        <v/>
      </c>
      <c r="AD250" s="62" t="str">
        <f t="shared" si="7"/>
        <v/>
      </c>
      <c r="AE250" s="62" t="str">
        <f t="array" ref="AE250">IF(X250="","",IF(AND(E250=0,AVERAGE(INDEX(Ventas!$C$2:$I$5000,MATCH($A250,Ventas!$A$2:$A$5000,0),0))&gt;0,INDEX(Ventas!$J$2:$J$5000,MATCH($A250,Ventas!$A$2:$A$5000,0))&lt;0.5*AVERAGE(INDEX(Ventas!$C$2:$I$5000,MATCH($A250,Ventas!$A$2:$A$5000,0),0))),"SÍ — stock 0 y Sep cayó (prom Feb-Ago "&amp;TEXT(AVERAGE(INDEX(Ventas!$C$2:$I$5000,MATCH($A250,Ventas!$A$2:$A$5000,0),0)),"#,##0")&amp;")",""))</f>
        <v/>
      </c>
      <c r="AF250" s="60">
        <f t="array" ref="AF250">IF(X250="","",IF(AE250&lt;&gt;"",MAX(X250,AVERAGE(INDEX(Ventas!$C$2:$I$5000,MATCH($A250,Ventas!$A$2:$A$5000,0),0))),X250))</f>
        <v>0</v>
      </c>
      <c r="AG250" s="60">
        <f t="shared" si="8"/>
        <v>-426</v>
      </c>
      <c r="AH250" s="63" t="str">
        <f t="shared" si="9"/>
        <v>SIN VENTAS</v>
      </c>
    </row>
    <row r="251" ht="13.5" customHeight="1">
      <c r="A251" s="64" t="s">
        <v>1758</v>
      </c>
      <c r="B251" s="65" t="s">
        <v>183</v>
      </c>
      <c r="C251" s="65" t="s">
        <v>3760</v>
      </c>
      <c r="D251" s="65" t="s">
        <v>3757</v>
      </c>
      <c r="E251" s="51">
        <v>425.0</v>
      </c>
      <c r="F251" s="66"/>
      <c r="G251" s="53"/>
      <c r="H251" s="55"/>
      <c r="I251" s="55"/>
      <c r="J251" s="53"/>
      <c r="K251" s="53"/>
      <c r="L251" s="55"/>
      <c r="M251" s="53"/>
      <c r="N251" s="73"/>
      <c r="O251" s="57" t="str">
        <f t="shared" si="1"/>
        <v>SIN VENTAS Jun-Sep — no comprar (425 m disponibles)</v>
      </c>
      <c r="P251" s="58">
        <f t="shared" si="2"/>
        <v>425</v>
      </c>
      <c r="Q251" s="1"/>
      <c r="R251" s="1"/>
      <c r="S251" s="1"/>
      <c r="T251" s="1"/>
      <c r="U251" s="1"/>
      <c r="V251" s="1"/>
      <c r="W251" s="1"/>
      <c r="X251" s="60">
        <f>IFERROR(VLOOKUP($A251,Ventas!$A$2:$L$5000,12,FALSE()),"")</f>
        <v>0</v>
      </c>
      <c r="Y251" s="60">
        <f t="shared" si="3"/>
        <v>0</v>
      </c>
      <c r="Z251" s="61" t="str">
        <f t="shared" si="4"/>
        <v/>
      </c>
      <c r="AA251" s="60">
        <f t="shared" si="5"/>
        <v>-425</v>
      </c>
      <c r="AB251" s="62" t="str">
        <f t="shared" si="6"/>
        <v/>
      </c>
      <c r="AC251" s="62" t="str">
        <f t="array" ref="AC251">IF(AH251&lt;&gt;"COMPRAR","",IF(MAX(INDEX(Ventas!$G$2:$G$5000,MATCH($A251,Ventas!$A$2:$A$5000,0)),INDEX(Ventas!$H$2:$H$5000,MATCH($A251,Ventas!$A$2:$A$5000,0)),INDEX(Ventas!$I$2:$I$5000,MATCH($A251,Ventas!$A$2:$A$5000,0)),INDEX(Ventas!$J$2:$J$5000,MATCH($A251,Ventas!$A$2:$A$5000,0)))&gt;0.5*AF251*4,"1 mes = "&amp;TEXT(MAX(INDEX(Ventas!$G$2:$G$5000,MATCH($A251,Ventas!$A$2:$A$5000,0)),INDEX(Ventas!$H$2:$H$5000,MATCH($A251,Ventas!$A$2:$A$5000,0)),INDEX(Ventas!$I$2:$I$5000,MATCH($A251,Ventas!$A$2:$A$5000,0)),INDEX(Ventas!$J$2:$J$5000,MATCH($A251,Ventas!$A$2:$A$5000,0)))/(AF251*4),"0%")&amp;" de 4 meses",""))</f>
        <v/>
      </c>
      <c r="AD251" s="62" t="str">
        <f t="shared" si="7"/>
        <v/>
      </c>
      <c r="AE251" s="62" t="str">
        <f t="array" ref="AE251">IF(X251="","",IF(AND(E251=0,AVERAGE(INDEX(Ventas!$C$2:$I$5000,MATCH($A251,Ventas!$A$2:$A$5000,0),0))&gt;0,INDEX(Ventas!$J$2:$J$5000,MATCH($A251,Ventas!$A$2:$A$5000,0))&lt;0.5*AVERAGE(INDEX(Ventas!$C$2:$I$5000,MATCH($A251,Ventas!$A$2:$A$5000,0),0))),"SÍ — stock 0 y Sep cayó (prom Feb-Ago "&amp;TEXT(AVERAGE(INDEX(Ventas!$C$2:$I$5000,MATCH($A251,Ventas!$A$2:$A$5000,0),0)),"#,##0")&amp;")",""))</f>
        <v/>
      </c>
      <c r="AF251" s="60">
        <f t="array" ref="AF251">IF(X251="","",IF(AE251&lt;&gt;"",MAX(X251,AVERAGE(INDEX(Ventas!$C$2:$I$5000,MATCH($A251,Ventas!$A$2:$A$5000,0),0))),X251))</f>
        <v>0</v>
      </c>
      <c r="AG251" s="60">
        <f t="shared" si="8"/>
        <v>-425</v>
      </c>
      <c r="AH251" s="63" t="str">
        <f t="shared" si="9"/>
        <v>SIN VENTAS</v>
      </c>
    </row>
    <row r="252" ht="13.5" customHeight="1">
      <c r="A252" s="49" t="s">
        <v>1756</v>
      </c>
      <c r="B252" s="50" t="s">
        <v>183</v>
      </c>
      <c r="C252" s="50" t="s">
        <v>3760</v>
      </c>
      <c r="D252" s="50" t="s">
        <v>3743</v>
      </c>
      <c r="E252" s="51">
        <v>470.0</v>
      </c>
      <c r="F252" s="52"/>
      <c r="G252" s="53"/>
      <c r="H252" s="55"/>
      <c r="I252" s="55"/>
      <c r="J252" s="53"/>
      <c r="K252" s="53"/>
      <c r="L252" s="55"/>
      <c r="M252" s="53"/>
      <c r="N252" s="74"/>
      <c r="O252" s="57" t="str">
        <f t="shared" si="1"/>
        <v>SIN VENTAS Jun-Sep — no comprar (470 m disponibles)</v>
      </c>
      <c r="P252" s="58">
        <f t="shared" si="2"/>
        <v>470</v>
      </c>
      <c r="Q252" s="1"/>
      <c r="R252" s="1"/>
      <c r="S252" s="1"/>
      <c r="T252" s="1"/>
      <c r="U252" s="1"/>
      <c r="V252" s="1"/>
      <c r="W252" s="1"/>
      <c r="X252" s="60">
        <f>IFERROR(VLOOKUP($A252,Ventas!$A$2:$L$5000,12,FALSE()),"")</f>
        <v>0</v>
      </c>
      <c r="Y252" s="60">
        <f t="shared" si="3"/>
        <v>0</v>
      </c>
      <c r="Z252" s="61" t="str">
        <f t="shared" si="4"/>
        <v/>
      </c>
      <c r="AA252" s="60">
        <f t="shared" si="5"/>
        <v>-470</v>
      </c>
      <c r="AB252" s="62" t="str">
        <f t="shared" si="6"/>
        <v/>
      </c>
      <c r="AC252" s="62" t="str">
        <f t="array" ref="AC252">IF(AH252&lt;&gt;"COMPRAR","",IF(MAX(INDEX(Ventas!$G$2:$G$5000,MATCH($A252,Ventas!$A$2:$A$5000,0)),INDEX(Ventas!$H$2:$H$5000,MATCH($A252,Ventas!$A$2:$A$5000,0)),INDEX(Ventas!$I$2:$I$5000,MATCH($A252,Ventas!$A$2:$A$5000,0)),INDEX(Ventas!$J$2:$J$5000,MATCH($A252,Ventas!$A$2:$A$5000,0)))&gt;0.5*AF252*4,"1 mes = "&amp;TEXT(MAX(INDEX(Ventas!$G$2:$G$5000,MATCH($A252,Ventas!$A$2:$A$5000,0)),INDEX(Ventas!$H$2:$H$5000,MATCH($A252,Ventas!$A$2:$A$5000,0)),INDEX(Ventas!$I$2:$I$5000,MATCH($A252,Ventas!$A$2:$A$5000,0)),INDEX(Ventas!$J$2:$J$5000,MATCH($A252,Ventas!$A$2:$A$5000,0)))/(AF252*4),"0%")&amp;" de 4 meses",""))</f>
        <v/>
      </c>
      <c r="AD252" s="62" t="str">
        <f t="shared" si="7"/>
        <v/>
      </c>
      <c r="AE252" s="62" t="str">
        <f t="array" ref="AE252">IF(X252="","",IF(AND(E252=0,AVERAGE(INDEX(Ventas!$C$2:$I$5000,MATCH($A252,Ventas!$A$2:$A$5000,0),0))&gt;0,INDEX(Ventas!$J$2:$J$5000,MATCH($A252,Ventas!$A$2:$A$5000,0))&lt;0.5*AVERAGE(INDEX(Ventas!$C$2:$I$5000,MATCH($A252,Ventas!$A$2:$A$5000,0),0))),"SÍ — stock 0 y Sep cayó (prom Feb-Ago "&amp;TEXT(AVERAGE(INDEX(Ventas!$C$2:$I$5000,MATCH($A252,Ventas!$A$2:$A$5000,0),0)),"#,##0")&amp;")",""))</f>
        <v/>
      </c>
      <c r="AF252" s="60">
        <f t="array" ref="AF252">IF(X252="","",IF(AE252&lt;&gt;"",MAX(X252,AVERAGE(INDEX(Ventas!$C$2:$I$5000,MATCH($A252,Ventas!$A$2:$A$5000,0),0))),X252))</f>
        <v>0</v>
      </c>
      <c r="AG252" s="60">
        <f t="shared" si="8"/>
        <v>-470</v>
      </c>
      <c r="AH252" s="63" t="str">
        <f t="shared" si="9"/>
        <v>SIN VENTAS</v>
      </c>
    </row>
    <row r="253" ht="13.5" customHeight="1">
      <c r="A253" s="64" t="s">
        <v>1380</v>
      </c>
      <c r="B253" s="65" t="s">
        <v>183</v>
      </c>
      <c r="C253" s="65" t="s">
        <v>3761</v>
      </c>
      <c r="D253" s="65" t="s">
        <v>3762</v>
      </c>
      <c r="E253" s="51">
        <v>1050.0</v>
      </c>
      <c r="F253" s="66"/>
      <c r="G253" s="53"/>
      <c r="H253" s="55"/>
      <c r="I253" s="55"/>
      <c r="J253" s="53"/>
      <c r="K253" s="53"/>
      <c r="L253" s="55"/>
      <c r="M253" s="53"/>
      <c r="N253" s="73"/>
      <c r="O253" s="57" t="str">
        <f t="shared" si="1"/>
        <v>SOBRESTOCK — 24.9 meses de cobertura</v>
      </c>
      <c r="P253" s="58">
        <f t="shared" si="2"/>
        <v>1050</v>
      </c>
      <c r="Q253" s="1"/>
      <c r="R253" s="1"/>
      <c r="S253" s="1"/>
      <c r="T253" s="1"/>
      <c r="U253" s="1"/>
      <c r="V253" s="1"/>
      <c r="W253" s="1"/>
      <c r="X253" s="60">
        <f>IFERROR(VLOOKUP($A253,Ventas!$A$2:$L$5000,12,FALSE()),"")</f>
        <v>42.25</v>
      </c>
      <c r="Y253" s="60">
        <f t="shared" si="3"/>
        <v>169</v>
      </c>
      <c r="Z253" s="61">
        <f t="shared" si="4"/>
        <v>24.9</v>
      </c>
      <c r="AA253" s="60">
        <f t="shared" si="5"/>
        <v>-881</v>
      </c>
      <c r="AB253" s="62" t="str">
        <f t="shared" si="6"/>
        <v/>
      </c>
      <c r="AC253" s="62" t="str">
        <f t="array" ref="AC253">IF(AH253&lt;&gt;"COMPRAR","",IF(MAX(INDEX(Ventas!$G$2:$G$5000,MATCH($A253,Ventas!$A$2:$A$5000,0)),INDEX(Ventas!$H$2:$H$5000,MATCH($A253,Ventas!$A$2:$A$5000,0)),INDEX(Ventas!$I$2:$I$5000,MATCH($A253,Ventas!$A$2:$A$5000,0)),INDEX(Ventas!$J$2:$J$5000,MATCH($A253,Ventas!$A$2:$A$5000,0)))&gt;0.5*AF253*4,"1 mes = "&amp;TEXT(MAX(INDEX(Ventas!$G$2:$G$5000,MATCH($A253,Ventas!$A$2:$A$5000,0)),INDEX(Ventas!$H$2:$H$5000,MATCH($A253,Ventas!$A$2:$A$5000,0)),INDEX(Ventas!$I$2:$I$5000,MATCH($A253,Ventas!$A$2:$A$5000,0)),INDEX(Ventas!$J$2:$J$5000,MATCH($A253,Ventas!$A$2:$A$5000,0)))/(AF253*4),"0%")&amp;" de 4 meses",""))</f>
        <v/>
      </c>
      <c r="AD253" s="62" t="str">
        <f t="shared" si="7"/>
        <v/>
      </c>
      <c r="AE253" s="62" t="str">
        <f t="array" ref="AE253">IF(X253="","",IF(AND(E253=0,AVERAGE(INDEX(Ventas!$C$2:$I$5000,MATCH($A253,Ventas!$A$2:$A$5000,0),0))&gt;0,INDEX(Ventas!$J$2:$J$5000,MATCH($A253,Ventas!$A$2:$A$5000,0))&lt;0.5*AVERAGE(INDEX(Ventas!$C$2:$I$5000,MATCH($A253,Ventas!$A$2:$A$5000,0),0))),"SÍ — stock 0 y Sep cayó (prom Feb-Ago "&amp;TEXT(AVERAGE(INDEX(Ventas!$C$2:$I$5000,MATCH($A253,Ventas!$A$2:$A$5000,0),0)),"#,##0")&amp;")",""))</f>
        <v/>
      </c>
      <c r="AF253" s="60">
        <f t="array" ref="AF253">IF(X253="","",IF(AE253&lt;&gt;"",MAX(X253,AVERAGE(INDEX(Ventas!$C$2:$I$5000,MATCH($A253,Ventas!$A$2:$A$5000,0),0))),X253))</f>
        <v>42.25</v>
      </c>
      <c r="AG253" s="60">
        <f t="shared" si="8"/>
        <v>-881</v>
      </c>
      <c r="AH253" s="63" t="str">
        <f t="shared" si="9"/>
        <v>SOBRESTOCK</v>
      </c>
    </row>
    <row r="254" ht="13.5" customHeight="1">
      <c r="A254" s="49" t="s">
        <v>1386</v>
      </c>
      <c r="B254" s="50" t="s">
        <v>183</v>
      </c>
      <c r="C254" s="50" t="s">
        <v>3761</v>
      </c>
      <c r="D254" s="50" t="s">
        <v>3763</v>
      </c>
      <c r="E254" s="51">
        <v>1360.0</v>
      </c>
      <c r="F254" s="52"/>
      <c r="G254" s="53"/>
      <c r="H254" s="55"/>
      <c r="I254" s="55"/>
      <c r="J254" s="53"/>
      <c r="K254" s="53"/>
      <c r="L254" s="55"/>
      <c r="M254" s="53"/>
      <c r="N254" s="74"/>
      <c r="O254" s="57" t="str">
        <f t="shared" si="1"/>
        <v>SOBRESTOCK — 29.7 meses de cobertura</v>
      </c>
      <c r="P254" s="58">
        <f t="shared" si="2"/>
        <v>1360</v>
      </c>
      <c r="Q254" s="1"/>
      <c r="R254" s="1"/>
      <c r="S254" s="1"/>
      <c r="T254" s="1"/>
      <c r="U254" s="1"/>
      <c r="V254" s="1"/>
      <c r="W254" s="1"/>
      <c r="X254" s="60">
        <f>IFERROR(VLOOKUP($A254,Ventas!$A$2:$L$5000,12,FALSE()),"")</f>
        <v>45.75</v>
      </c>
      <c r="Y254" s="60">
        <f t="shared" si="3"/>
        <v>183</v>
      </c>
      <c r="Z254" s="61">
        <f t="shared" si="4"/>
        <v>29.7</v>
      </c>
      <c r="AA254" s="60">
        <f t="shared" si="5"/>
        <v>-1177</v>
      </c>
      <c r="AB254" s="62" t="str">
        <f t="shared" si="6"/>
        <v/>
      </c>
      <c r="AC254" s="62" t="str">
        <f t="array" ref="AC254">IF(AH254&lt;&gt;"COMPRAR","",IF(MAX(INDEX(Ventas!$G$2:$G$5000,MATCH($A254,Ventas!$A$2:$A$5000,0)),INDEX(Ventas!$H$2:$H$5000,MATCH($A254,Ventas!$A$2:$A$5000,0)),INDEX(Ventas!$I$2:$I$5000,MATCH($A254,Ventas!$A$2:$A$5000,0)),INDEX(Ventas!$J$2:$J$5000,MATCH($A254,Ventas!$A$2:$A$5000,0)))&gt;0.5*AF254*4,"1 mes = "&amp;TEXT(MAX(INDEX(Ventas!$G$2:$G$5000,MATCH($A254,Ventas!$A$2:$A$5000,0)),INDEX(Ventas!$H$2:$H$5000,MATCH($A254,Ventas!$A$2:$A$5000,0)),INDEX(Ventas!$I$2:$I$5000,MATCH($A254,Ventas!$A$2:$A$5000,0)),INDEX(Ventas!$J$2:$J$5000,MATCH($A254,Ventas!$A$2:$A$5000,0)))/(AF254*4),"0%")&amp;" de 4 meses",""))</f>
        <v/>
      </c>
      <c r="AD254" s="62" t="str">
        <f t="shared" si="7"/>
        <v/>
      </c>
      <c r="AE254" s="62" t="str">
        <f t="array" ref="AE254">IF(X254="","",IF(AND(E254=0,AVERAGE(INDEX(Ventas!$C$2:$I$5000,MATCH($A254,Ventas!$A$2:$A$5000,0),0))&gt;0,INDEX(Ventas!$J$2:$J$5000,MATCH($A254,Ventas!$A$2:$A$5000,0))&lt;0.5*AVERAGE(INDEX(Ventas!$C$2:$I$5000,MATCH($A254,Ventas!$A$2:$A$5000,0),0))),"SÍ — stock 0 y Sep cayó (prom Feb-Ago "&amp;TEXT(AVERAGE(INDEX(Ventas!$C$2:$I$5000,MATCH($A254,Ventas!$A$2:$A$5000,0),0)),"#,##0")&amp;")",""))</f>
        <v/>
      </c>
      <c r="AF254" s="60">
        <f t="array" ref="AF254">IF(X254="","",IF(AE254&lt;&gt;"",MAX(X254,AVERAGE(INDEX(Ventas!$C$2:$I$5000,MATCH($A254,Ventas!$A$2:$A$5000,0),0))),X254))</f>
        <v>45.75</v>
      </c>
      <c r="AG254" s="60">
        <f t="shared" si="8"/>
        <v>-1177</v>
      </c>
      <c r="AH254" s="63" t="str">
        <f t="shared" si="9"/>
        <v>SOBRESTOCK</v>
      </c>
    </row>
    <row r="255" ht="13.5" customHeight="1">
      <c r="A255" s="64" t="s">
        <v>1384</v>
      </c>
      <c r="B255" s="65" t="s">
        <v>183</v>
      </c>
      <c r="C255" s="65" t="s">
        <v>3761</v>
      </c>
      <c r="D255" s="65" t="s">
        <v>3764</v>
      </c>
      <c r="E255" s="51">
        <v>1218.0</v>
      </c>
      <c r="F255" s="66"/>
      <c r="G255" s="53"/>
      <c r="H255" s="55"/>
      <c r="I255" s="55"/>
      <c r="J255" s="53"/>
      <c r="K255" s="53"/>
      <c r="L255" s="55"/>
      <c r="M255" s="53"/>
      <c r="N255" s="73"/>
      <c r="O255" s="57" t="str">
        <f t="shared" si="1"/>
        <v>SIN VENTAS Jun-Sep — no comprar (1,218 m disponibles)</v>
      </c>
      <c r="P255" s="58">
        <f t="shared" si="2"/>
        <v>1218</v>
      </c>
      <c r="Q255" s="1"/>
      <c r="R255" s="1"/>
      <c r="S255" s="1"/>
      <c r="T255" s="1"/>
      <c r="U255" s="1"/>
      <c r="V255" s="1"/>
      <c r="W255" s="1"/>
      <c r="X255" s="60">
        <f>IFERROR(VLOOKUP($A255,Ventas!$A$2:$L$5000,12,FALSE()),"")</f>
        <v>0</v>
      </c>
      <c r="Y255" s="60">
        <f t="shared" si="3"/>
        <v>0</v>
      </c>
      <c r="Z255" s="61" t="str">
        <f t="shared" si="4"/>
        <v/>
      </c>
      <c r="AA255" s="60">
        <f t="shared" si="5"/>
        <v>-1218</v>
      </c>
      <c r="AB255" s="62" t="str">
        <f t="shared" si="6"/>
        <v/>
      </c>
      <c r="AC255" s="62" t="str">
        <f t="array" ref="AC255">IF(AH255&lt;&gt;"COMPRAR","",IF(MAX(INDEX(Ventas!$G$2:$G$5000,MATCH($A255,Ventas!$A$2:$A$5000,0)),INDEX(Ventas!$H$2:$H$5000,MATCH($A255,Ventas!$A$2:$A$5000,0)),INDEX(Ventas!$I$2:$I$5000,MATCH($A255,Ventas!$A$2:$A$5000,0)),INDEX(Ventas!$J$2:$J$5000,MATCH($A255,Ventas!$A$2:$A$5000,0)))&gt;0.5*AF255*4,"1 mes = "&amp;TEXT(MAX(INDEX(Ventas!$G$2:$G$5000,MATCH($A255,Ventas!$A$2:$A$5000,0)),INDEX(Ventas!$H$2:$H$5000,MATCH($A255,Ventas!$A$2:$A$5000,0)),INDEX(Ventas!$I$2:$I$5000,MATCH($A255,Ventas!$A$2:$A$5000,0)),INDEX(Ventas!$J$2:$J$5000,MATCH($A255,Ventas!$A$2:$A$5000,0)))/(AF255*4),"0%")&amp;" de 4 meses",""))</f>
        <v/>
      </c>
      <c r="AD255" s="62" t="str">
        <f t="shared" si="7"/>
        <v/>
      </c>
      <c r="AE255" s="62" t="str">
        <f t="array" ref="AE255">IF(X255="","",IF(AND(E255=0,AVERAGE(INDEX(Ventas!$C$2:$I$5000,MATCH($A255,Ventas!$A$2:$A$5000,0),0))&gt;0,INDEX(Ventas!$J$2:$J$5000,MATCH($A255,Ventas!$A$2:$A$5000,0))&lt;0.5*AVERAGE(INDEX(Ventas!$C$2:$I$5000,MATCH($A255,Ventas!$A$2:$A$5000,0),0))),"SÍ — stock 0 y Sep cayó (prom Feb-Ago "&amp;TEXT(AVERAGE(INDEX(Ventas!$C$2:$I$5000,MATCH($A255,Ventas!$A$2:$A$5000,0),0)),"#,##0")&amp;")",""))</f>
        <v/>
      </c>
      <c r="AF255" s="60">
        <f t="array" ref="AF255">IF(X255="","",IF(AE255&lt;&gt;"",MAX(X255,AVERAGE(INDEX(Ventas!$C$2:$I$5000,MATCH($A255,Ventas!$A$2:$A$5000,0),0))),X255))</f>
        <v>0</v>
      </c>
      <c r="AG255" s="60">
        <f t="shared" si="8"/>
        <v>-1218</v>
      </c>
      <c r="AH255" s="63" t="str">
        <f t="shared" si="9"/>
        <v>SIN VENTAS</v>
      </c>
    </row>
    <row r="256" ht="13.5" customHeight="1">
      <c r="A256" s="49" t="s">
        <v>1382</v>
      </c>
      <c r="B256" s="50" t="s">
        <v>183</v>
      </c>
      <c r="C256" s="50" t="s">
        <v>3761</v>
      </c>
      <c r="D256" s="50" t="s">
        <v>3765</v>
      </c>
      <c r="E256" s="51">
        <v>551.0</v>
      </c>
      <c r="F256" s="52"/>
      <c r="G256" s="53"/>
      <c r="H256" s="55"/>
      <c r="I256" s="55"/>
      <c r="J256" s="53"/>
      <c r="K256" s="53"/>
      <c r="L256" s="55"/>
      <c r="M256" s="53"/>
      <c r="N256" s="74"/>
      <c r="O256" s="57" t="str">
        <f t="shared" si="1"/>
        <v>SIN VENTAS Jun-Sep — no comprar (551 m disponibles)</v>
      </c>
      <c r="P256" s="58">
        <f t="shared" si="2"/>
        <v>551</v>
      </c>
      <c r="Q256" s="1"/>
      <c r="R256" s="1"/>
      <c r="S256" s="1"/>
      <c r="T256" s="1"/>
      <c r="U256" s="1"/>
      <c r="V256" s="1"/>
      <c r="W256" s="1"/>
      <c r="X256" s="60">
        <f>IFERROR(VLOOKUP($A256,Ventas!$A$2:$L$5000,12,FALSE()),"")</f>
        <v>0</v>
      </c>
      <c r="Y256" s="60">
        <f t="shared" si="3"/>
        <v>0</v>
      </c>
      <c r="Z256" s="61" t="str">
        <f t="shared" si="4"/>
        <v/>
      </c>
      <c r="AA256" s="60">
        <f t="shared" si="5"/>
        <v>-551</v>
      </c>
      <c r="AB256" s="62" t="str">
        <f t="shared" si="6"/>
        <v/>
      </c>
      <c r="AC256" s="62" t="str">
        <f t="array" ref="AC256">IF(AH256&lt;&gt;"COMPRAR","",IF(MAX(INDEX(Ventas!$G$2:$G$5000,MATCH($A256,Ventas!$A$2:$A$5000,0)),INDEX(Ventas!$H$2:$H$5000,MATCH($A256,Ventas!$A$2:$A$5000,0)),INDEX(Ventas!$I$2:$I$5000,MATCH($A256,Ventas!$A$2:$A$5000,0)),INDEX(Ventas!$J$2:$J$5000,MATCH($A256,Ventas!$A$2:$A$5000,0)))&gt;0.5*AF256*4,"1 mes = "&amp;TEXT(MAX(INDEX(Ventas!$G$2:$G$5000,MATCH($A256,Ventas!$A$2:$A$5000,0)),INDEX(Ventas!$H$2:$H$5000,MATCH($A256,Ventas!$A$2:$A$5000,0)),INDEX(Ventas!$I$2:$I$5000,MATCH($A256,Ventas!$A$2:$A$5000,0)),INDEX(Ventas!$J$2:$J$5000,MATCH($A256,Ventas!$A$2:$A$5000,0)))/(AF256*4),"0%")&amp;" de 4 meses",""))</f>
        <v/>
      </c>
      <c r="AD256" s="62" t="str">
        <f t="shared" si="7"/>
        <v/>
      </c>
      <c r="AE256" s="62" t="str">
        <f t="array" ref="AE256">IF(X256="","",IF(AND(E256=0,AVERAGE(INDEX(Ventas!$C$2:$I$5000,MATCH($A256,Ventas!$A$2:$A$5000,0),0))&gt;0,INDEX(Ventas!$J$2:$J$5000,MATCH($A256,Ventas!$A$2:$A$5000,0))&lt;0.5*AVERAGE(INDEX(Ventas!$C$2:$I$5000,MATCH($A256,Ventas!$A$2:$A$5000,0),0))),"SÍ — stock 0 y Sep cayó (prom Feb-Ago "&amp;TEXT(AVERAGE(INDEX(Ventas!$C$2:$I$5000,MATCH($A256,Ventas!$A$2:$A$5000,0),0)),"#,##0")&amp;")",""))</f>
        <v/>
      </c>
      <c r="AF256" s="60">
        <f t="array" ref="AF256">IF(X256="","",IF(AE256&lt;&gt;"",MAX(X256,AVERAGE(INDEX(Ventas!$C$2:$I$5000,MATCH($A256,Ventas!$A$2:$A$5000,0),0))),X256))</f>
        <v>0</v>
      </c>
      <c r="AG256" s="60">
        <f t="shared" si="8"/>
        <v>-551</v>
      </c>
      <c r="AH256" s="63" t="str">
        <f t="shared" si="9"/>
        <v>SIN VENTAS</v>
      </c>
    </row>
    <row r="257" ht="13.5" customHeight="1">
      <c r="A257" s="64" t="s">
        <v>1388</v>
      </c>
      <c r="B257" s="65" t="s">
        <v>183</v>
      </c>
      <c r="C257" s="65" t="s">
        <v>3761</v>
      </c>
      <c r="D257" s="65" t="s">
        <v>3766</v>
      </c>
      <c r="E257" s="51">
        <v>350.0</v>
      </c>
      <c r="F257" s="66"/>
      <c r="G257" s="53"/>
      <c r="H257" s="55"/>
      <c r="I257" s="55"/>
      <c r="J257" s="53"/>
      <c r="K257" s="53"/>
      <c r="L257" s="55"/>
      <c r="M257" s="53"/>
      <c r="N257" s="73"/>
      <c r="O257" s="57" t="str">
        <f t="shared" si="1"/>
        <v>SIN VENTAS Jun-Sep — no comprar (350 m disponibles)</v>
      </c>
      <c r="P257" s="58">
        <f t="shared" si="2"/>
        <v>350</v>
      </c>
      <c r="Q257" s="1"/>
      <c r="R257" s="1"/>
      <c r="S257" s="1"/>
      <c r="T257" s="1"/>
      <c r="U257" s="1"/>
      <c r="V257" s="1"/>
      <c r="W257" s="1"/>
      <c r="X257" s="60">
        <f>IFERROR(VLOOKUP($A257,Ventas!$A$2:$L$5000,12,FALSE()),"")</f>
        <v>0</v>
      </c>
      <c r="Y257" s="60">
        <f t="shared" si="3"/>
        <v>0</v>
      </c>
      <c r="Z257" s="61" t="str">
        <f t="shared" si="4"/>
        <v/>
      </c>
      <c r="AA257" s="60">
        <f t="shared" si="5"/>
        <v>-350</v>
      </c>
      <c r="AB257" s="62" t="str">
        <f t="shared" si="6"/>
        <v/>
      </c>
      <c r="AC257" s="62" t="str">
        <f t="array" ref="AC257">IF(AH257&lt;&gt;"COMPRAR","",IF(MAX(INDEX(Ventas!$G$2:$G$5000,MATCH($A257,Ventas!$A$2:$A$5000,0)),INDEX(Ventas!$H$2:$H$5000,MATCH($A257,Ventas!$A$2:$A$5000,0)),INDEX(Ventas!$I$2:$I$5000,MATCH($A257,Ventas!$A$2:$A$5000,0)),INDEX(Ventas!$J$2:$J$5000,MATCH($A257,Ventas!$A$2:$A$5000,0)))&gt;0.5*AF257*4,"1 mes = "&amp;TEXT(MAX(INDEX(Ventas!$G$2:$G$5000,MATCH($A257,Ventas!$A$2:$A$5000,0)),INDEX(Ventas!$H$2:$H$5000,MATCH($A257,Ventas!$A$2:$A$5000,0)),INDEX(Ventas!$I$2:$I$5000,MATCH($A257,Ventas!$A$2:$A$5000,0)),INDEX(Ventas!$J$2:$J$5000,MATCH($A257,Ventas!$A$2:$A$5000,0)))/(AF257*4),"0%")&amp;" de 4 meses",""))</f>
        <v/>
      </c>
      <c r="AD257" s="62" t="str">
        <f t="shared" si="7"/>
        <v/>
      </c>
      <c r="AE257" s="62" t="str">
        <f t="array" ref="AE257">IF(X257="","",IF(AND(E257=0,AVERAGE(INDEX(Ventas!$C$2:$I$5000,MATCH($A257,Ventas!$A$2:$A$5000,0),0))&gt;0,INDEX(Ventas!$J$2:$J$5000,MATCH($A257,Ventas!$A$2:$A$5000,0))&lt;0.5*AVERAGE(INDEX(Ventas!$C$2:$I$5000,MATCH($A257,Ventas!$A$2:$A$5000,0),0))),"SÍ — stock 0 y Sep cayó (prom Feb-Ago "&amp;TEXT(AVERAGE(INDEX(Ventas!$C$2:$I$5000,MATCH($A257,Ventas!$A$2:$A$5000,0),0)),"#,##0")&amp;")",""))</f>
        <v/>
      </c>
      <c r="AF257" s="60">
        <f t="array" ref="AF257">IF(X257="","",IF(AE257&lt;&gt;"",MAX(X257,AVERAGE(INDEX(Ventas!$C$2:$I$5000,MATCH($A257,Ventas!$A$2:$A$5000,0),0))),X257))</f>
        <v>0</v>
      </c>
      <c r="AG257" s="60">
        <f t="shared" si="8"/>
        <v>-350</v>
      </c>
      <c r="AH257" s="63" t="str">
        <f t="shared" si="9"/>
        <v>SIN VENTAS</v>
      </c>
    </row>
    <row r="258" ht="13.5" customHeight="1">
      <c r="A258" s="49" t="s">
        <v>1390</v>
      </c>
      <c r="B258" s="50" t="s">
        <v>183</v>
      </c>
      <c r="C258" s="50" t="s">
        <v>3767</v>
      </c>
      <c r="D258" s="50" t="s">
        <v>3757</v>
      </c>
      <c r="E258" s="51">
        <v>600.0</v>
      </c>
      <c r="F258" s="52"/>
      <c r="G258" s="53"/>
      <c r="H258" s="55"/>
      <c r="I258" s="55"/>
      <c r="J258" s="53"/>
      <c r="K258" s="53"/>
      <c r="L258" s="55"/>
      <c r="M258" s="53"/>
      <c r="N258" s="74"/>
      <c r="O258" s="57" t="str">
        <f t="shared" si="1"/>
        <v>SOBRESTOCK — 20.1 meses de cobertura</v>
      </c>
      <c r="P258" s="58">
        <f t="shared" si="2"/>
        <v>600</v>
      </c>
      <c r="Q258" s="1"/>
      <c r="R258" s="1"/>
      <c r="S258" s="1"/>
      <c r="T258" s="1"/>
      <c r="U258" s="1"/>
      <c r="V258" s="1"/>
      <c r="W258" s="1"/>
      <c r="X258" s="60">
        <f>IFERROR(VLOOKUP($A258,Ventas!$A$2:$L$5000,12,FALSE()),"")</f>
        <v>29.875</v>
      </c>
      <c r="Y258" s="60">
        <f t="shared" si="3"/>
        <v>120</v>
      </c>
      <c r="Z258" s="61">
        <f t="shared" si="4"/>
        <v>20.1</v>
      </c>
      <c r="AA258" s="60">
        <f t="shared" si="5"/>
        <v>-480</v>
      </c>
      <c r="AB258" s="62" t="str">
        <f t="shared" si="6"/>
        <v/>
      </c>
      <c r="AC258" s="62" t="str">
        <f t="array" ref="AC258">IF(AH258&lt;&gt;"COMPRAR","",IF(MAX(INDEX(Ventas!$G$2:$G$5000,MATCH($A258,Ventas!$A$2:$A$5000,0)),INDEX(Ventas!$H$2:$H$5000,MATCH($A258,Ventas!$A$2:$A$5000,0)),INDEX(Ventas!$I$2:$I$5000,MATCH($A258,Ventas!$A$2:$A$5000,0)),INDEX(Ventas!$J$2:$J$5000,MATCH($A258,Ventas!$A$2:$A$5000,0)))&gt;0.5*AF258*4,"1 mes = "&amp;TEXT(MAX(INDEX(Ventas!$G$2:$G$5000,MATCH($A258,Ventas!$A$2:$A$5000,0)),INDEX(Ventas!$H$2:$H$5000,MATCH($A258,Ventas!$A$2:$A$5000,0)),INDEX(Ventas!$I$2:$I$5000,MATCH($A258,Ventas!$A$2:$A$5000,0)),INDEX(Ventas!$J$2:$J$5000,MATCH($A258,Ventas!$A$2:$A$5000,0)))/(AF258*4),"0%")&amp;" de 4 meses",""))</f>
        <v/>
      </c>
      <c r="AD258" s="62" t="str">
        <f t="shared" si="7"/>
        <v/>
      </c>
      <c r="AE258" s="62" t="str">
        <f t="array" ref="AE258">IF(X258="","",IF(AND(E258=0,AVERAGE(INDEX(Ventas!$C$2:$I$5000,MATCH($A258,Ventas!$A$2:$A$5000,0),0))&gt;0,INDEX(Ventas!$J$2:$J$5000,MATCH($A258,Ventas!$A$2:$A$5000,0))&lt;0.5*AVERAGE(INDEX(Ventas!$C$2:$I$5000,MATCH($A258,Ventas!$A$2:$A$5000,0),0))),"SÍ — stock 0 y Sep cayó (prom Feb-Ago "&amp;TEXT(AVERAGE(INDEX(Ventas!$C$2:$I$5000,MATCH($A258,Ventas!$A$2:$A$5000,0),0)),"#,##0")&amp;")",""))</f>
        <v/>
      </c>
      <c r="AF258" s="60">
        <f t="array" ref="AF258">IF(X258="","",IF(AE258&lt;&gt;"",MAX(X258,AVERAGE(INDEX(Ventas!$C$2:$I$5000,MATCH($A258,Ventas!$A$2:$A$5000,0),0))),X258))</f>
        <v>29.875</v>
      </c>
      <c r="AG258" s="60">
        <f t="shared" si="8"/>
        <v>-480</v>
      </c>
      <c r="AH258" s="63" t="str">
        <f t="shared" si="9"/>
        <v>SOBRESTOCK</v>
      </c>
    </row>
    <row r="259" ht="13.5" customHeight="1">
      <c r="A259" s="64" t="s">
        <v>2813</v>
      </c>
      <c r="B259" s="65" t="s">
        <v>183</v>
      </c>
      <c r="C259" s="65" t="s">
        <v>3768</v>
      </c>
      <c r="D259" s="65" t="s">
        <v>1329</v>
      </c>
      <c r="E259" s="51">
        <v>117.0</v>
      </c>
      <c r="F259" s="66"/>
      <c r="G259" s="53"/>
      <c r="H259" s="69">
        <v>1066.0</v>
      </c>
      <c r="I259" s="55"/>
      <c r="J259" s="53"/>
      <c r="K259" s="53"/>
      <c r="L259" s="55"/>
      <c r="M259" s="53"/>
      <c r="N259" s="73"/>
      <c r="O259" s="57" t="str">
        <f t="shared" si="1"/>
        <v>OK — cubierto (4.6 meses)</v>
      </c>
      <c r="P259" s="58">
        <f t="shared" si="2"/>
        <v>1183</v>
      </c>
      <c r="Q259" s="1"/>
      <c r="R259" s="1"/>
      <c r="S259" s="1"/>
      <c r="T259" s="1"/>
      <c r="U259" s="1"/>
      <c r="V259" s="1"/>
      <c r="W259" s="1"/>
      <c r="X259" s="60">
        <f>IFERROR(VLOOKUP($A259,Ventas!$A$2:$L$5000,12,FALSE()),"")</f>
        <v>257.225</v>
      </c>
      <c r="Y259" s="60">
        <f t="shared" si="3"/>
        <v>1029</v>
      </c>
      <c r="Z259" s="61">
        <f t="shared" si="4"/>
        <v>4.6</v>
      </c>
      <c r="AA259" s="60">
        <f t="shared" si="5"/>
        <v>-154</v>
      </c>
      <c r="AB259" s="62" t="str">
        <f t="shared" si="6"/>
        <v/>
      </c>
      <c r="AC259" s="62" t="str">
        <f t="array" ref="AC259">IF(AH259&lt;&gt;"COMPRAR","",IF(MAX(INDEX(Ventas!$G$2:$G$5000,MATCH($A259,Ventas!$A$2:$A$5000,0)),INDEX(Ventas!$H$2:$H$5000,MATCH($A259,Ventas!$A$2:$A$5000,0)),INDEX(Ventas!$I$2:$I$5000,MATCH($A259,Ventas!$A$2:$A$5000,0)),INDEX(Ventas!$J$2:$J$5000,MATCH($A259,Ventas!$A$2:$A$5000,0)))&gt;0.5*AF259*4,"1 mes = "&amp;TEXT(MAX(INDEX(Ventas!$G$2:$G$5000,MATCH($A259,Ventas!$A$2:$A$5000,0)),INDEX(Ventas!$H$2:$H$5000,MATCH($A259,Ventas!$A$2:$A$5000,0)),INDEX(Ventas!$I$2:$I$5000,MATCH($A259,Ventas!$A$2:$A$5000,0)),INDEX(Ventas!$J$2:$J$5000,MATCH($A259,Ventas!$A$2:$A$5000,0)))/(AF259*4),"0%")&amp;" de 4 meses",""))</f>
        <v/>
      </c>
      <c r="AD259" s="62" t="str">
        <f t="shared" si="7"/>
        <v>SÍ — 117 m vs 136 m</v>
      </c>
      <c r="AE259" s="62" t="str">
        <f t="array" ref="AE259">IF(X259="","",IF(AND(E259=0,AVERAGE(INDEX(Ventas!$C$2:$I$5000,MATCH($A259,Ventas!$A$2:$A$5000,0),0))&gt;0,INDEX(Ventas!$J$2:$J$5000,MATCH($A259,Ventas!$A$2:$A$5000,0))&lt;0.5*AVERAGE(INDEX(Ventas!$C$2:$I$5000,MATCH($A259,Ventas!$A$2:$A$5000,0),0))),"SÍ — stock 0 y Sep cayó (prom Feb-Ago "&amp;TEXT(AVERAGE(INDEX(Ventas!$C$2:$I$5000,MATCH($A259,Ventas!$A$2:$A$5000,0),0)),"#,##0")&amp;")",""))</f>
        <v/>
      </c>
      <c r="AF259" s="60">
        <f t="array" ref="AF259">IF(X259="","",IF(AE259&lt;&gt;"",MAX(X259,AVERAGE(INDEX(Ventas!$C$2:$I$5000,MATCH($A259,Ventas!$A$2:$A$5000,0),0))),X259))</f>
        <v>257.225</v>
      </c>
      <c r="AG259" s="60">
        <f t="shared" si="8"/>
        <v>-154</v>
      </c>
      <c r="AH259" s="63" t="str">
        <f t="shared" si="9"/>
        <v>OK</v>
      </c>
    </row>
    <row r="260" ht="13.5" customHeight="1">
      <c r="A260" s="49" t="s">
        <v>2817</v>
      </c>
      <c r="B260" s="50" t="s">
        <v>183</v>
      </c>
      <c r="C260" s="50" t="s">
        <v>3768</v>
      </c>
      <c r="D260" s="50" t="s">
        <v>3756</v>
      </c>
      <c r="E260" s="51">
        <v>0.0</v>
      </c>
      <c r="F260" s="52"/>
      <c r="G260" s="53"/>
      <c r="H260" s="55"/>
      <c r="I260" s="55"/>
      <c r="J260" s="53"/>
      <c r="K260" s="53"/>
      <c r="L260" s="55"/>
      <c r="M260" s="53"/>
      <c r="N260" s="74"/>
      <c r="O260" s="57" t="str">
        <f t="shared" si="1"/>
        <v>COMPRAR — faltan 630 m para 4 meses</v>
      </c>
      <c r="P260" s="58">
        <f t="shared" si="2"/>
        <v>0</v>
      </c>
      <c r="Q260" s="1"/>
      <c r="R260" s="1"/>
      <c r="S260" s="1"/>
      <c r="T260" s="1"/>
      <c r="U260" s="1"/>
      <c r="V260" s="1"/>
      <c r="W260" s="1"/>
      <c r="X260" s="60">
        <f>IFERROR(VLOOKUP($A260,Ventas!$A$2:$L$5000,12,FALSE()),"")</f>
        <v>157.5</v>
      </c>
      <c r="Y260" s="60">
        <f t="shared" si="3"/>
        <v>630</v>
      </c>
      <c r="Z260" s="61">
        <f t="shared" si="4"/>
        <v>0</v>
      </c>
      <c r="AA260" s="60">
        <f t="shared" si="5"/>
        <v>630</v>
      </c>
      <c r="AB260" s="62" t="str">
        <f t="shared" si="6"/>
        <v/>
      </c>
      <c r="AC260" s="62" t="str">
        <f t="array" ref="AC260">IF(AH260&lt;&gt;"COMPRAR","",IF(MAX(INDEX(Ventas!$G$2:$G$5000,MATCH($A260,Ventas!$A$2:$A$5000,0)),INDEX(Ventas!$H$2:$H$5000,MATCH($A260,Ventas!$A$2:$A$5000,0)),INDEX(Ventas!$I$2:$I$5000,MATCH($A260,Ventas!$A$2:$A$5000,0)),INDEX(Ventas!$J$2:$J$5000,MATCH($A260,Ventas!$A$2:$A$5000,0)))&gt;0.5*AF260*4,"1 mes = "&amp;TEXT(MAX(INDEX(Ventas!$G$2:$G$5000,MATCH($A260,Ventas!$A$2:$A$5000,0)),INDEX(Ventas!$H$2:$H$5000,MATCH($A260,Ventas!$A$2:$A$5000,0)),INDEX(Ventas!$I$2:$I$5000,MATCH($A260,Ventas!$A$2:$A$5000,0)),INDEX(Ventas!$J$2:$J$5000,MATCH($A260,Ventas!$A$2:$A$5000,0)))/(AF260*4),"0%")&amp;" de 4 meses",""))</f>
        <v/>
      </c>
      <c r="AD260" s="62" t="str">
        <f t="shared" si="7"/>
        <v>SÍ — 0 m vs 83 m</v>
      </c>
      <c r="AE260" s="62" t="str">
        <f t="array" ref="AE260">IF(X260="","",IF(AND(E260=0,AVERAGE(INDEX(Ventas!$C$2:$I$5000,MATCH($A260,Ventas!$A$2:$A$5000,0),0))&gt;0,INDEX(Ventas!$J$2:$J$5000,MATCH($A260,Ventas!$A$2:$A$5000,0))&lt;0.5*AVERAGE(INDEX(Ventas!$C$2:$I$5000,MATCH($A260,Ventas!$A$2:$A$5000,0),0))),"SÍ — stock 0 y Sep cayó (prom Feb-Ago "&amp;TEXT(AVERAGE(INDEX(Ventas!$C$2:$I$5000,MATCH($A260,Ventas!$A$2:$A$5000,0),0)),"#,##0")&amp;")",""))</f>
        <v/>
      </c>
      <c r="AF260" s="60">
        <f t="array" ref="AF260">IF(X260="","",IF(AE260&lt;&gt;"",MAX(X260,AVERAGE(INDEX(Ventas!$C$2:$I$5000,MATCH($A260,Ventas!$A$2:$A$5000,0),0))),X260))</f>
        <v>157.5</v>
      </c>
      <c r="AG260" s="60">
        <f t="shared" si="8"/>
        <v>630</v>
      </c>
      <c r="AH260" s="63" t="str">
        <f t="shared" si="9"/>
        <v>COMPRAR</v>
      </c>
    </row>
    <row r="261" ht="13.5" customHeight="1">
      <c r="A261" s="64" t="s">
        <v>2823</v>
      </c>
      <c r="B261" s="65" t="s">
        <v>183</v>
      </c>
      <c r="C261" s="65" t="s">
        <v>3768</v>
      </c>
      <c r="D261" s="65" t="s">
        <v>3757</v>
      </c>
      <c r="E261" s="51">
        <v>100.0</v>
      </c>
      <c r="F261" s="66"/>
      <c r="G261" s="53"/>
      <c r="H261" s="55"/>
      <c r="I261" s="55"/>
      <c r="J261" s="53"/>
      <c r="K261" s="53"/>
      <c r="L261" s="55"/>
      <c r="M261" s="53"/>
      <c r="N261" s="73"/>
      <c r="O261" s="57" t="str">
        <f t="shared" si="1"/>
        <v>OK — cubierto (8.0 meses)</v>
      </c>
      <c r="P261" s="58">
        <f t="shared" si="2"/>
        <v>100</v>
      </c>
      <c r="Q261" s="1"/>
      <c r="R261" s="1"/>
      <c r="S261" s="1"/>
      <c r="T261" s="1"/>
      <c r="U261" s="1"/>
      <c r="V261" s="1"/>
      <c r="W261" s="1"/>
      <c r="X261" s="60">
        <f>IFERROR(VLOOKUP($A261,Ventas!$A$2:$L$5000,12,FALSE()),"")</f>
        <v>12.5</v>
      </c>
      <c r="Y261" s="60">
        <f t="shared" si="3"/>
        <v>50</v>
      </c>
      <c r="Z261" s="61">
        <f t="shared" si="4"/>
        <v>8</v>
      </c>
      <c r="AA261" s="60">
        <f t="shared" si="5"/>
        <v>-50</v>
      </c>
      <c r="AB261" s="62" t="str">
        <f t="shared" si="6"/>
        <v/>
      </c>
      <c r="AC261" s="62" t="str">
        <f t="array" ref="AC261">IF(AH261&lt;&gt;"COMPRAR","",IF(MAX(INDEX(Ventas!$G$2:$G$5000,MATCH($A261,Ventas!$A$2:$A$5000,0)),INDEX(Ventas!$H$2:$H$5000,MATCH($A261,Ventas!$A$2:$A$5000,0)),INDEX(Ventas!$I$2:$I$5000,MATCH($A261,Ventas!$A$2:$A$5000,0)),INDEX(Ventas!$J$2:$J$5000,MATCH($A261,Ventas!$A$2:$A$5000,0)))&gt;0.5*AF261*4,"1 mes = "&amp;TEXT(MAX(INDEX(Ventas!$G$2:$G$5000,MATCH($A261,Ventas!$A$2:$A$5000,0)),INDEX(Ventas!$H$2:$H$5000,MATCH($A261,Ventas!$A$2:$A$5000,0)),INDEX(Ventas!$I$2:$I$5000,MATCH($A261,Ventas!$A$2:$A$5000,0)),INDEX(Ventas!$J$2:$J$5000,MATCH($A261,Ventas!$A$2:$A$5000,0)))/(AF261*4),"0%")&amp;" de 4 meses",""))</f>
        <v/>
      </c>
      <c r="AD261" s="62" t="str">
        <f t="shared" si="7"/>
        <v/>
      </c>
      <c r="AE261" s="62" t="str">
        <f t="array" ref="AE261">IF(X261="","",IF(AND(E261=0,AVERAGE(INDEX(Ventas!$C$2:$I$5000,MATCH($A261,Ventas!$A$2:$A$5000,0),0))&gt;0,INDEX(Ventas!$J$2:$J$5000,MATCH($A261,Ventas!$A$2:$A$5000,0))&lt;0.5*AVERAGE(INDEX(Ventas!$C$2:$I$5000,MATCH($A261,Ventas!$A$2:$A$5000,0),0))),"SÍ — stock 0 y Sep cayó (prom Feb-Ago "&amp;TEXT(AVERAGE(INDEX(Ventas!$C$2:$I$5000,MATCH($A261,Ventas!$A$2:$A$5000,0),0)),"#,##0")&amp;")",""))</f>
        <v/>
      </c>
      <c r="AF261" s="60">
        <f t="array" ref="AF261">IF(X261="","",IF(AE261&lt;&gt;"",MAX(X261,AVERAGE(INDEX(Ventas!$C$2:$I$5000,MATCH($A261,Ventas!$A$2:$A$5000,0),0))),X261))</f>
        <v>12.5</v>
      </c>
      <c r="AG261" s="60">
        <f t="shared" si="8"/>
        <v>-50</v>
      </c>
      <c r="AH261" s="63" t="str">
        <f t="shared" si="9"/>
        <v>OK</v>
      </c>
    </row>
    <row r="262" ht="13.5" customHeight="1">
      <c r="A262" s="49" t="s">
        <v>2821</v>
      </c>
      <c r="B262" s="50" t="s">
        <v>183</v>
      </c>
      <c r="C262" s="50" t="s">
        <v>3768</v>
      </c>
      <c r="D262" s="50" t="s">
        <v>3743</v>
      </c>
      <c r="E262" s="51">
        <v>575.0</v>
      </c>
      <c r="F262" s="52"/>
      <c r="G262" s="53"/>
      <c r="H262" s="55"/>
      <c r="I262" s="55"/>
      <c r="J262" s="53"/>
      <c r="K262" s="53"/>
      <c r="L262" s="55"/>
      <c r="M262" s="53"/>
      <c r="N262" s="74"/>
      <c r="O262" s="57" t="str">
        <f t="shared" si="1"/>
        <v>SOBRESTOCK — 46.0 meses de cobertura</v>
      </c>
      <c r="P262" s="58">
        <f t="shared" si="2"/>
        <v>575</v>
      </c>
      <c r="Q262" s="1"/>
      <c r="R262" s="1"/>
      <c r="S262" s="1"/>
      <c r="T262" s="1"/>
      <c r="U262" s="1"/>
      <c r="V262" s="1"/>
      <c r="W262" s="1"/>
      <c r="X262" s="60">
        <f>IFERROR(VLOOKUP($A262,Ventas!$A$2:$L$5000,12,FALSE()),"")</f>
        <v>12.5</v>
      </c>
      <c r="Y262" s="60">
        <f t="shared" si="3"/>
        <v>50</v>
      </c>
      <c r="Z262" s="61">
        <f t="shared" si="4"/>
        <v>46</v>
      </c>
      <c r="AA262" s="60">
        <f t="shared" si="5"/>
        <v>-525</v>
      </c>
      <c r="AB262" s="62" t="str">
        <f t="shared" si="6"/>
        <v/>
      </c>
      <c r="AC262" s="62" t="str">
        <f t="array" ref="AC262">IF(AH262&lt;&gt;"COMPRAR","",IF(MAX(INDEX(Ventas!$G$2:$G$5000,MATCH($A262,Ventas!$A$2:$A$5000,0)),INDEX(Ventas!$H$2:$H$5000,MATCH($A262,Ventas!$A$2:$A$5000,0)),INDEX(Ventas!$I$2:$I$5000,MATCH($A262,Ventas!$A$2:$A$5000,0)),INDEX(Ventas!$J$2:$J$5000,MATCH($A262,Ventas!$A$2:$A$5000,0)))&gt;0.5*AF262*4,"1 mes = "&amp;TEXT(MAX(INDEX(Ventas!$G$2:$G$5000,MATCH($A262,Ventas!$A$2:$A$5000,0)),INDEX(Ventas!$H$2:$H$5000,MATCH($A262,Ventas!$A$2:$A$5000,0)),INDEX(Ventas!$I$2:$I$5000,MATCH($A262,Ventas!$A$2:$A$5000,0)),INDEX(Ventas!$J$2:$J$5000,MATCH($A262,Ventas!$A$2:$A$5000,0)))/(AF262*4),"0%")&amp;" de 4 meses",""))</f>
        <v/>
      </c>
      <c r="AD262" s="62" t="str">
        <f t="shared" si="7"/>
        <v/>
      </c>
      <c r="AE262" s="62" t="str">
        <f t="array" ref="AE262">IF(X262="","",IF(AND(E262=0,AVERAGE(INDEX(Ventas!$C$2:$I$5000,MATCH($A262,Ventas!$A$2:$A$5000,0),0))&gt;0,INDEX(Ventas!$J$2:$J$5000,MATCH($A262,Ventas!$A$2:$A$5000,0))&lt;0.5*AVERAGE(INDEX(Ventas!$C$2:$I$5000,MATCH($A262,Ventas!$A$2:$A$5000,0),0))),"SÍ — stock 0 y Sep cayó (prom Feb-Ago "&amp;TEXT(AVERAGE(INDEX(Ventas!$C$2:$I$5000,MATCH($A262,Ventas!$A$2:$A$5000,0),0)),"#,##0")&amp;")",""))</f>
        <v/>
      </c>
      <c r="AF262" s="60">
        <f t="array" ref="AF262">IF(X262="","",IF(AE262&lt;&gt;"",MAX(X262,AVERAGE(INDEX(Ventas!$C$2:$I$5000,MATCH($A262,Ventas!$A$2:$A$5000,0),0))),X262))</f>
        <v>12.5</v>
      </c>
      <c r="AG262" s="60">
        <f t="shared" si="8"/>
        <v>-525</v>
      </c>
      <c r="AH262" s="63" t="str">
        <f t="shared" si="9"/>
        <v>SOBRESTOCK</v>
      </c>
    </row>
    <row r="263" ht="13.5" customHeight="1">
      <c r="A263" s="64" t="s">
        <v>2815</v>
      </c>
      <c r="B263" s="65" t="s">
        <v>183</v>
      </c>
      <c r="C263" s="65" t="s">
        <v>3768</v>
      </c>
      <c r="D263" s="65" t="s">
        <v>3758</v>
      </c>
      <c r="E263" s="51">
        <v>800.0</v>
      </c>
      <c r="F263" s="66"/>
      <c r="G263" s="53"/>
      <c r="H263" s="55"/>
      <c r="I263" s="55"/>
      <c r="J263" s="53"/>
      <c r="K263" s="53"/>
      <c r="L263" s="55"/>
      <c r="M263" s="53"/>
      <c r="N263" s="73"/>
      <c r="O263" s="57" t="str">
        <f t="shared" si="1"/>
        <v>SIN VENTAS Jun-Sep — no comprar (800 m disponibles)</v>
      </c>
      <c r="P263" s="58">
        <f t="shared" si="2"/>
        <v>800</v>
      </c>
      <c r="Q263" s="1"/>
      <c r="R263" s="1"/>
      <c r="S263" s="1"/>
      <c r="T263" s="1"/>
      <c r="U263" s="1"/>
      <c r="V263" s="1"/>
      <c r="W263" s="1"/>
      <c r="X263" s="60">
        <f>IFERROR(VLOOKUP($A263,Ventas!$A$2:$L$5000,12,FALSE()),"")</f>
        <v>0</v>
      </c>
      <c r="Y263" s="60">
        <f t="shared" si="3"/>
        <v>0</v>
      </c>
      <c r="Z263" s="61" t="str">
        <f t="shared" si="4"/>
        <v/>
      </c>
      <c r="AA263" s="60">
        <f t="shared" si="5"/>
        <v>-800</v>
      </c>
      <c r="AB263" s="62" t="str">
        <f t="shared" si="6"/>
        <v/>
      </c>
      <c r="AC263" s="62" t="str">
        <f t="array" ref="AC263">IF(AH263&lt;&gt;"COMPRAR","",IF(MAX(INDEX(Ventas!$G$2:$G$5000,MATCH($A263,Ventas!$A$2:$A$5000,0)),INDEX(Ventas!$H$2:$H$5000,MATCH($A263,Ventas!$A$2:$A$5000,0)),INDEX(Ventas!$I$2:$I$5000,MATCH($A263,Ventas!$A$2:$A$5000,0)),INDEX(Ventas!$J$2:$J$5000,MATCH($A263,Ventas!$A$2:$A$5000,0)))&gt;0.5*AF263*4,"1 mes = "&amp;TEXT(MAX(INDEX(Ventas!$G$2:$G$5000,MATCH($A263,Ventas!$A$2:$A$5000,0)),INDEX(Ventas!$H$2:$H$5000,MATCH($A263,Ventas!$A$2:$A$5000,0)),INDEX(Ventas!$I$2:$I$5000,MATCH($A263,Ventas!$A$2:$A$5000,0)),INDEX(Ventas!$J$2:$J$5000,MATCH($A263,Ventas!$A$2:$A$5000,0)))/(AF263*4),"0%")&amp;" de 4 meses",""))</f>
        <v/>
      </c>
      <c r="AD263" s="62" t="str">
        <f t="shared" si="7"/>
        <v/>
      </c>
      <c r="AE263" s="62" t="str">
        <f t="array" ref="AE263">IF(X263="","",IF(AND(E263=0,AVERAGE(INDEX(Ventas!$C$2:$I$5000,MATCH($A263,Ventas!$A$2:$A$5000,0),0))&gt;0,INDEX(Ventas!$J$2:$J$5000,MATCH($A263,Ventas!$A$2:$A$5000,0))&lt;0.5*AVERAGE(INDEX(Ventas!$C$2:$I$5000,MATCH($A263,Ventas!$A$2:$A$5000,0),0))),"SÍ — stock 0 y Sep cayó (prom Feb-Ago "&amp;TEXT(AVERAGE(INDEX(Ventas!$C$2:$I$5000,MATCH($A263,Ventas!$A$2:$A$5000,0),0)),"#,##0")&amp;")",""))</f>
        <v/>
      </c>
      <c r="AF263" s="60">
        <f t="array" ref="AF263">IF(X263="","",IF(AE263&lt;&gt;"",MAX(X263,AVERAGE(INDEX(Ventas!$C$2:$I$5000,MATCH($A263,Ventas!$A$2:$A$5000,0),0))),X263))</f>
        <v>0</v>
      </c>
      <c r="AG263" s="60">
        <f t="shared" si="8"/>
        <v>-800</v>
      </c>
      <c r="AH263" s="63" t="str">
        <f t="shared" si="9"/>
        <v>SIN VENTAS</v>
      </c>
    </row>
    <row r="264" ht="13.5" customHeight="1">
      <c r="A264" s="49" t="s">
        <v>1886</v>
      </c>
      <c r="B264" s="50" t="s">
        <v>183</v>
      </c>
      <c r="C264" s="50" t="s">
        <v>3769</v>
      </c>
      <c r="D264" s="50" t="s">
        <v>1329</v>
      </c>
      <c r="E264" s="51">
        <v>1194.0</v>
      </c>
      <c r="F264" s="52"/>
      <c r="G264" s="53"/>
      <c r="H264" s="55"/>
      <c r="I264" s="55"/>
      <c r="J264" s="53"/>
      <c r="K264" s="53"/>
      <c r="L264" s="55"/>
      <c r="M264" s="53"/>
      <c r="N264" s="74"/>
      <c r="O264" s="57" t="str">
        <f t="shared" si="1"/>
        <v>SIN VENTAS Jun-Sep — no comprar (1,194 m disponibles)</v>
      </c>
      <c r="P264" s="58">
        <f t="shared" si="2"/>
        <v>1194</v>
      </c>
      <c r="Q264" s="1"/>
      <c r="R264" s="1"/>
      <c r="S264" s="1"/>
      <c r="T264" s="1"/>
      <c r="U264" s="1"/>
      <c r="V264" s="1"/>
      <c r="W264" s="1"/>
      <c r="X264" s="60">
        <f>IFERROR(VLOOKUP($A264,Ventas!$A$2:$L$5000,12,FALSE()),"")</f>
        <v>0</v>
      </c>
      <c r="Y264" s="60">
        <f t="shared" si="3"/>
        <v>0</v>
      </c>
      <c r="Z264" s="61" t="str">
        <f t="shared" si="4"/>
        <v/>
      </c>
      <c r="AA264" s="60">
        <f t="shared" si="5"/>
        <v>-1194</v>
      </c>
      <c r="AB264" s="62" t="str">
        <f t="shared" si="6"/>
        <v/>
      </c>
      <c r="AC264" s="62" t="str">
        <f t="array" ref="AC264">IF(AH264&lt;&gt;"COMPRAR","",IF(MAX(INDEX(Ventas!$G$2:$G$5000,MATCH($A264,Ventas!$A$2:$A$5000,0)),INDEX(Ventas!$H$2:$H$5000,MATCH($A264,Ventas!$A$2:$A$5000,0)),INDEX(Ventas!$I$2:$I$5000,MATCH($A264,Ventas!$A$2:$A$5000,0)),INDEX(Ventas!$J$2:$J$5000,MATCH($A264,Ventas!$A$2:$A$5000,0)))&gt;0.5*AF264*4,"1 mes = "&amp;TEXT(MAX(INDEX(Ventas!$G$2:$G$5000,MATCH($A264,Ventas!$A$2:$A$5000,0)),INDEX(Ventas!$H$2:$H$5000,MATCH($A264,Ventas!$A$2:$A$5000,0)),INDEX(Ventas!$I$2:$I$5000,MATCH($A264,Ventas!$A$2:$A$5000,0)),INDEX(Ventas!$J$2:$J$5000,MATCH($A264,Ventas!$A$2:$A$5000,0)))/(AF264*4),"0%")&amp;" de 4 meses",""))</f>
        <v/>
      </c>
      <c r="AD264" s="62" t="str">
        <f t="shared" si="7"/>
        <v/>
      </c>
      <c r="AE264" s="62" t="str">
        <f t="array" ref="AE264">IF(X264="","",IF(AND(E264=0,AVERAGE(INDEX(Ventas!$C$2:$I$5000,MATCH($A264,Ventas!$A$2:$A$5000,0),0))&gt;0,INDEX(Ventas!$J$2:$J$5000,MATCH($A264,Ventas!$A$2:$A$5000,0))&lt;0.5*AVERAGE(INDEX(Ventas!$C$2:$I$5000,MATCH($A264,Ventas!$A$2:$A$5000,0),0))),"SÍ — stock 0 y Sep cayó (prom Feb-Ago "&amp;TEXT(AVERAGE(INDEX(Ventas!$C$2:$I$5000,MATCH($A264,Ventas!$A$2:$A$5000,0),0)),"#,##0")&amp;")",""))</f>
        <v/>
      </c>
      <c r="AF264" s="60">
        <f t="array" ref="AF264">IF(X264="","",IF(AE264&lt;&gt;"",MAX(X264,AVERAGE(INDEX(Ventas!$C$2:$I$5000,MATCH($A264,Ventas!$A$2:$A$5000,0),0))),X264))</f>
        <v>0</v>
      </c>
      <c r="AG264" s="60">
        <f t="shared" si="8"/>
        <v>-1194</v>
      </c>
      <c r="AH264" s="63" t="str">
        <f t="shared" si="9"/>
        <v>SIN VENTAS</v>
      </c>
    </row>
    <row r="265" ht="13.5" customHeight="1">
      <c r="A265" s="64" t="s">
        <v>1890</v>
      </c>
      <c r="B265" s="65" t="s">
        <v>183</v>
      </c>
      <c r="C265" s="65" t="s">
        <v>3769</v>
      </c>
      <c r="D265" s="65" t="s">
        <v>3756</v>
      </c>
      <c r="E265" s="51">
        <v>500.0</v>
      </c>
      <c r="F265" s="66"/>
      <c r="G265" s="53"/>
      <c r="H265" s="55"/>
      <c r="I265" s="55"/>
      <c r="J265" s="53"/>
      <c r="K265" s="53"/>
      <c r="L265" s="55"/>
      <c r="M265" s="53"/>
      <c r="N265" s="73"/>
      <c r="O265" s="57" t="str">
        <f t="shared" si="1"/>
        <v>SOBRESTOCK — 40.0 meses de cobertura</v>
      </c>
      <c r="P265" s="58">
        <f t="shared" si="2"/>
        <v>500</v>
      </c>
      <c r="Q265" s="1"/>
      <c r="R265" s="1"/>
      <c r="S265" s="1"/>
      <c r="T265" s="1"/>
      <c r="U265" s="1"/>
      <c r="V265" s="1"/>
      <c r="W265" s="1"/>
      <c r="X265" s="60">
        <f>IFERROR(VLOOKUP($A265,Ventas!$A$2:$L$5000,12,FALSE()),"")</f>
        <v>12.5</v>
      </c>
      <c r="Y265" s="60">
        <f t="shared" si="3"/>
        <v>50</v>
      </c>
      <c r="Z265" s="61">
        <f t="shared" si="4"/>
        <v>40</v>
      </c>
      <c r="AA265" s="60">
        <f t="shared" si="5"/>
        <v>-450</v>
      </c>
      <c r="AB265" s="62" t="str">
        <f t="shared" si="6"/>
        <v/>
      </c>
      <c r="AC265" s="62" t="str">
        <f t="array" ref="AC265">IF(AH265&lt;&gt;"COMPRAR","",IF(MAX(INDEX(Ventas!$G$2:$G$5000,MATCH($A265,Ventas!$A$2:$A$5000,0)),INDEX(Ventas!$H$2:$H$5000,MATCH($A265,Ventas!$A$2:$A$5000,0)),INDEX(Ventas!$I$2:$I$5000,MATCH($A265,Ventas!$A$2:$A$5000,0)),INDEX(Ventas!$J$2:$J$5000,MATCH($A265,Ventas!$A$2:$A$5000,0)))&gt;0.5*AF265*4,"1 mes = "&amp;TEXT(MAX(INDEX(Ventas!$G$2:$G$5000,MATCH($A265,Ventas!$A$2:$A$5000,0)),INDEX(Ventas!$H$2:$H$5000,MATCH($A265,Ventas!$A$2:$A$5000,0)),INDEX(Ventas!$I$2:$I$5000,MATCH($A265,Ventas!$A$2:$A$5000,0)),INDEX(Ventas!$J$2:$J$5000,MATCH($A265,Ventas!$A$2:$A$5000,0)))/(AF265*4),"0%")&amp;" de 4 meses",""))</f>
        <v/>
      </c>
      <c r="AD265" s="62" t="str">
        <f t="shared" si="7"/>
        <v/>
      </c>
      <c r="AE265" s="62" t="str">
        <f t="array" ref="AE265">IF(X265="","",IF(AND(E265=0,AVERAGE(INDEX(Ventas!$C$2:$I$5000,MATCH($A265,Ventas!$A$2:$A$5000,0),0))&gt;0,INDEX(Ventas!$J$2:$J$5000,MATCH($A265,Ventas!$A$2:$A$5000,0))&lt;0.5*AVERAGE(INDEX(Ventas!$C$2:$I$5000,MATCH($A265,Ventas!$A$2:$A$5000,0),0))),"SÍ — stock 0 y Sep cayó (prom Feb-Ago "&amp;TEXT(AVERAGE(INDEX(Ventas!$C$2:$I$5000,MATCH($A265,Ventas!$A$2:$A$5000,0),0)),"#,##0")&amp;")",""))</f>
        <v/>
      </c>
      <c r="AF265" s="60">
        <f t="array" ref="AF265">IF(X265="","",IF(AE265&lt;&gt;"",MAX(X265,AVERAGE(INDEX(Ventas!$C$2:$I$5000,MATCH($A265,Ventas!$A$2:$A$5000,0),0))),X265))</f>
        <v>12.5</v>
      </c>
      <c r="AG265" s="60">
        <f t="shared" si="8"/>
        <v>-450</v>
      </c>
      <c r="AH265" s="63" t="str">
        <f t="shared" si="9"/>
        <v>SOBRESTOCK</v>
      </c>
    </row>
    <row r="266" ht="13.5" customHeight="1">
      <c r="A266" s="49" t="s">
        <v>647</v>
      </c>
      <c r="B266" s="50" t="s">
        <v>183</v>
      </c>
      <c r="C266" s="50" t="s">
        <v>3770</v>
      </c>
      <c r="D266" s="50" t="s">
        <v>1329</v>
      </c>
      <c r="E266" s="51">
        <v>901.0</v>
      </c>
      <c r="F266" s="52"/>
      <c r="G266" s="53"/>
      <c r="H266" s="55"/>
      <c r="I266" s="55"/>
      <c r="J266" s="53"/>
      <c r="K266" s="53"/>
      <c r="L266" s="55"/>
      <c r="M266" s="53"/>
      <c r="N266" s="74"/>
      <c r="O266" s="57" t="str">
        <f t="shared" si="1"/>
        <v>SOBRESTOCK — 8.6 meses de cobertura</v>
      </c>
      <c r="P266" s="58">
        <f t="shared" si="2"/>
        <v>901</v>
      </c>
      <c r="Q266" s="1"/>
      <c r="R266" s="1"/>
      <c r="S266" s="1"/>
      <c r="T266" s="1"/>
      <c r="U266" s="1"/>
      <c r="V266" s="1"/>
      <c r="W266" s="1"/>
      <c r="X266" s="60">
        <f>IFERROR(VLOOKUP($A266,Ventas!$A$2:$L$5000,12,FALSE()),"")</f>
        <v>104.25</v>
      </c>
      <c r="Y266" s="60">
        <f t="shared" si="3"/>
        <v>417</v>
      </c>
      <c r="Z266" s="61">
        <f t="shared" si="4"/>
        <v>8.6</v>
      </c>
      <c r="AA266" s="60">
        <f t="shared" si="5"/>
        <v>-484</v>
      </c>
      <c r="AB266" s="62" t="str">
        <f t="shared" si="6"/>
        <v/>
      </c>
      <c r="AC266" s="62" t="str">
        <f t="array" ref="AC266">IF(AH266&lt;&gt;"COMPRAR","",IF(MAX(INDEX(Ventas!$G$2:$G$5000,MATCH($A266,Ventas!$A$2:$A$5000,0)),INDEX(Ventas!$H$2:$H$5000,MATCH($A266,Ventas!$A$2:$A$5000,0)),INDEX(Ventas!$I$2:$I$5000,MATCH($A266,Ventas!$A$2:$A$5000,0)),INDEX(Ventas!$J$2:$J$5000,MATCH($A266,Ventas!$A$2:$A$5000,0)))&gt;0.5*AF266*4,"1 mes = "&amp;TEXT(MAX(INDEX(Ventas!$G$2:$G$5000,MATCH($A266,Ventas!$A$2:$A$5000,0)),INDEX(Ventas!$H$2:$H$5000,MATCH($A266,Ventas!$A$2:$A$5000,0)),INDEX(Ventas!$I$2:$I$5000,MATCH($A266,Ventas!$A$2:$A$5000,0)),INDEX(Ventas!$J$2:$J$5000,MATCH($A266,Ventas!$A$2:$A$5000,0)))/(AF266*4),"0%")&amp;" de 4 meses",""))</f>
        <v/>
      </c>
      <c r="AD266" s="62" t="str">
        <f t="shared" si="7"/>
        <v/>
      </c>
      <c r="AE266" s="62" t="str">
        <f t="array" ref="AE266">IF(X266="","",IF(AND(E266=0,AVERAGE(INDEX(Ventas!$C$2:$I$5000,MATCH($A266,Ventas!$A$2:$A$5000,0),0))&gt;0,INDEX(Ventas!$J$2:$J$5000,MATCH($A266,Ventas!$A$2:$A$5000,0))&lt;0.5*AVERAGE(INDEX(Ventas!$C$2:$I$5000,MATCH($A266,Ventas!$A$2:$A$5000,0),0))),"SÍ — stock 0 y Sep cayó (prom Feb-Ago "&amp;TEXT(AVERAGE(INDEX(Ventas!$C$2:$I$5000,MATCH($A266,Ventas!$A$2:$A$5000,0),0)),"#,##0")&amp;")",""))</f>
        <v/>
      </c>
      <c r="AF266" s="60">
        <f t="array" ref="AF266">IF(X266="","",IF(AE266&lt;&gt;"",MAX(X266,AVERAGE(INDEX(Ventas!$C$2:$I$5000,MATCH($A266,Ventas!$A$2:$A$5000,0),0))),X266))</f>
        <v>104.25</v>
      </c>
      <c r="AG266" s="60">
        <f t="shared" si="8"/>
        <v>-484</v>
      </c>
      <c r="AH266" s="63" t="str">
        <f t="shared" si="9"/>
        <v>SOBRESTOCK</v>
      </c>
    </row>
    <row r="267" ht="13.5" customHeight="1">
      <c r="A267" s="64" t="s">
        <v>651</v>
      </c>
      <c r="B267" s="65" t="s">
        <v>183</v>
      </c>
      <c r="C267" s="65" t="s">
        <v>3770</v>
      </c>
      <c r="D267" s="65" t="s">
        <v>3756</v>
      </c>
      <c r="E267" s="51">
        <v>1184.0</v>
      </c>
      <c r="F267" s="66"/>
      <c r="G267" s="53"/>
      <c r="H267" s="55"/>
      <c r="I267" s="55"/>
      <c r="J267" s="53"/>
      <c r="K267" s="53"/>
      <c r="L267" s="55"/>
      <c r="M267" s="53"/>
      <c r="N267" s="73"/>
      <c r="O267" s="57" t="str">
        <f t="shared" si="1"/>
        <v>SOBRESTOCK — 47.4 meses de cobertura</v>
      </c>
      <c r="P267" s="58">
        <f t="shared" si="2"/>
        <v>1184</v>
      </c>
      <c r="Q267" s="1"/>
      <c r="R267" s="1"/>
      <c r="S267" s="1"/>
      <c r="T267" s="1"/>
      <c r="U267" s="1"/>
      <c r="V267" s="1"/>
      <c r="W267" s="1"/>
      <c r="X267" s="60">
        <f>IFERROR(VLOOKUP($A267,Ventas!$A$2:$L$5000,12,FALSE()),"")</f>
        <v>25</v>
      </c>
      <c r="Y267" s="60">
        <f t="shared" si="3"/>
        <v>100</v>
      </c>
      <c r="Z267" s="61">
        <f t="shared" si="4"/>
        <v>47.4</v>
      </c>
      <c r="AA267" s="60">
        <f t="shared" si="5"/>
        <v>-1084</v>
      </c>
      <c r="AB267" s="62" t="str">
        <f t="shared" si="6"/>
        <v/>
      </c>
      <c r="AC267" s="62" t="str">
        <f t="array" ref="AC267">IF(AH267&lt;&gt;"COMPRAR","",IF(MAX(INDEX(Ventas!$G$2:$G$5000,MATCH($A267,Ventas!$A$2:$A$5000,0)),INDEX(Ventas!$H$2:$H$5000,MATCH($A267,Ventas!$A$2:$A$5000,0)),INDEX(Ventas!$I$2:$I$5000,MATCH($A267,Ventas!$A$2:$A$5000,0)),INDEX(Ventas!$J$2:$J$5000,MATCH($A267,Ventas!$A$2:$A$5000,0)))&gt;0.5*AF267*4,"1 mes = "&amp;TEXT(MAX(INDEX(Ventas!$G$2:$G$5000,MATCH($A267,Ventas!$A$2:$A$5000,0)),INDEX(Ventas!$H$2:$H$5000,MATCH($A267,Ventas!$A$2:$A$5000,0)),INDEX(Ventas!$I$2:$I$5000,MATCH($A267,Ventas!$A$2:$A$5000,0)),INDEX(Ventas!$J$2:$J$5000,MATCH($A267,Ventas!$A$2:$A$5000,0)))/(AF267*4),"0%")&amp;" de 4 meses",""))</f>
        <v/>
      </c>
      <c r="AD267" s="62" t="str">
        <f t="shared" si="7"/>
        <v/>
      </c>
      <c r="AE267" s="62" t="str">
        <f t="array" ref="AE267">IF(X267="","",IF(AND(E267=0,AVERAGE(INDEX(Ventas!$C$2:$I$5000,MATCH($A267,Ventas!$A$2:$A$5000,0),0))&gt;0,INDEX(Ventas!$J$2:$J$5000,MATCH($A267,Ventas!$A$2:$A$5000,0))&lt;0.5*AVERAGE(INDEX(Ventas!$C$2:$I$5000,MATCH($A267,Ventas!$A$2:$A$5000,0),0))),"SÍ — stock 0 y Sep cayó (prom Feb-Ago "&amp;TEXT(AVERAGE(INDEX(Ventas!$C$2:$I$5000,MATCH($A267,Ventas!$A$2:$A$5000,0),0)),"#,##0")&amp;")",""))</f>
        <v/>
      </c>
      <c r="AF267" s="60">
        <f t="array" ref="AF267">IF(X267="","",IF(AE267&lt;&gt;"",MAX(X267,AVERAGE(INDEX(Ventas!$C$2:$I$5000,MATCH($A267,Ventas!$A$2:$A$5000,0),0))),X267))</f>
        <v>25</v>
      </c>
      <c r="AG267" s="60">
        <f t="shared" si="8"/>
        <v>-1084</v>
      </c>
      <c r="AH267" s="63" t="str">
        <f t="shared" si="9"/>
        <v>SOBRESTOCK</v>
      </c>
    </row>
    <row r="268" ht="13.5" customHeight="1">
      <c r="A268" s="49" t="s">
        <v>649</v>
      </c>
      <c r="B268" s="50" t="s">
        <v>183</v>
      </c>
      <c r="C268" s="50" t="s">
        <v>3770</v>
      </c>
      <c r="D268" s="50" t="s">
        <v>3759</v>
      </c>
      <c r="E268" s="51">
        <v>499.0</v>
      </c>
      <c r="F268" s="52"/>
      <c r="G268" s="53"/>
      <c r="H268" s="55"/>
      <c r="I268" s="55"/>
      <c r="J268" s="53"/>
      <c r="K268" s="53"/>
      <c r="L268" s="55"/>
      <c r="M268" s="53"/>
      <c r="N268" s="74"/>
      <c r="O268" s="57" t="str">
        <f t="shared" si="1"/>
        <v>SOBRESTOCK — 20.0 meses de cobertura</v>
      </c>
      <c r="P268" s="58">
        <f t="shared" si="2"/>
        <v>499</v>
      </c>
      <c r="Q268" s="59">
        <v>489.0</v>
      </c>
      <c r="R268" s="59">
        <v>178.0</v>
      </c>
      <c r="S268" s="1"/>
      <c r="T268" s="1"/>
      <c r="U268" s="1"/>
      <c r="V268" s="1"/>
      <c r="W268" s="1"/>
      <c r="X268" s="60">
        <f>IFERROR(VLOOKUP($A268,Ventas!$A$2:$L$5000,12,FALSE()),"")</f>
        <v>25</v>
      </c>
      <c r="Y268" s="60">
        <f t="shared" si="3"/>
        <v>100</v>
      </c>
      <c r="Z268" s="61">
        <f t="shared" si="4"/>
        <v>20</v>
      </c>
      <c r="AA268" s="60">
        <f t="shared" si="5"/>
        <v>-399</v>
      </c>
      <c r="AB268" s="62" t="str">
        <f t="shared" si="6"/>
        <v/>
      </c>
      <c r="AC268" s="62" t="str">
        <f t="array" ref="AC268">IF(AH268&lt;&gt;"COMPRAR","",IF(MAX(INDEX(Ventas!$G$2:$G$5000,MATCH($A268,Ventas!$A$2:$A$5000,0)),INDEX(Ventas!$H$2:$H$5000,MATCH($A268,Ventas!$A$2:$A$5000,0)),INDEX(Ventas!$I$2:$I$5000,MATCH($A268,Ventas!$A$2:$A$5000,0)),INDEX(Ventas!$J$2:$J$5000,MATCH($A268,Ventas!$A$2:$A$5000,0)))&gt;0.5*AF268*4,"1 mes = "&amp;TEXT(MAX(INDEX(Ventas!$G$2:$G$5000,MATCH($A268,Ventas!$A$2:$A$5000,0)),INDEX(Ventas!$H$2:$H$5000,MATCH($A268,Ventas!$A$2:$A$5000,0)),INDEX(Ventas!$I$2:$I$5000,MATCH($A268,Ventas!$A$2:$A$5000,0)),INDEX(Ventas!$J$2:$J$5000,MATCH($A268,Ventas!$A$2:$A$5000,0)))/(AF268*4),"0%")&amp;" de 4 meses",""))</f>
        <v/>
      </c>
      <c r="AD268" s="62" t="str">
        <f t="shared" si="7"/>
        <v/>
      </c>
      <c r="AE268" s="62" t="str">
        <f t="array" ref="AE268">IF(X268="","",IF(AND(E268=0,AVERAGE(INDEX(Ventas!$C$2:$I$5000,MATCH($A268,Ventas!$A$2:$A$5000,0),0))&gt;0,INDEX(Ventas!$J$2:$J$5000,MATCH($A268,Ventas!$A$2:$A$5000,0))&lt;0.5*AVERAGE(INDEX(Ventas!$C$2:$I$5000,MATCH($A268,Ventas!$A$2:$A$5000,0),0))),"SÍ — stock 0 y Sep cayó (prom Feb-Ago "&amp;TEXT(AVERAGE(INDEX(Ventas!$C$2:$I$5000,MATCH($A268,Ventas!$A$2:$A$5000,0),0)),"#,##0")&amp;")",""))</f>
        <v/>
      </c>
      <c r="AF268" s="60">
        <f t="array" ref="AF268">IF(X268="","",IF(AE268&lt;&gt;"",MAX(X268,AVERAGE(INDEX(Ventas!$C$2:$I$5000,MATCH($A268,Ventas!$A$2:$A$5000,0),0))),X268))</f>
        <v>25</v>
      </c>
      <c r="AG268" s="60">
        <f t="shared" si="8"/>
        <v>-399</v>
      </c>
      <c r="AH268" s="63" t="str">
        <f t="shared" si="9"/>
        <v>SOBRESTOCK</v>
      </c>
    </row>
    <row r="269" ht="13.5" customHeight="1">
      <c r="A269" s="64" t="s">
        <v>653</v>
      </c>
      <c r="B269" s="65" t="s">
        <v>183</v>
      </c>
      <c r="C269" s="65" t="s">
        <v>3770</v>
      </c>
      <c r="D269" s="65" t="s">
        <v>3743</v>
      </c>
      <c r="E269" s="51">
        <v>250.0</v>
      </c>
      <c r="F269" s="66"/>
      <c r="G269" s="53"/>
      <c r="H269" s="55"/>
      <c r="I269" s="55"/>
      <c r="J269" s="53"/>
      <c r="K269" s="53"/>
      <c r="L269" s="55"/>
      <c r="M269" s="53"/>
      <c r="N269" s="73"/>
      <c r="O269" s="57" t="str">
        <f t="shared" si="1"/>
        <v>OK — cubierto (7.5 meses)</v>
      </c>
      <c r="P269" s="58">
        <f t="shared" si="2"/>
        <v>250</v>
      </c>
      <c r="Q269" s="1"/>
      <c r="R269" s="1"/>
      <c r="S269" s="1"/>
      <c r="T269" s="1"/>
      <c r="U269" s="1"/>
      <c r="V269" s="1"/>
      <c r="W269" s="1"/>
      <c r="X269" s="60">
        <f>IFERROR(VLOOKUP($A269,Ventas!$A$2:$L$5000,12,FALSE()),"")</f>
        <v>33.25</v>
      </c>
      <c r="Y269" s="60">
        <f t="shared" si="3"/>
        <v>133</v>
      </c>
      <c r="Z269" s="61">
        <f t="shared" si="4"/>
        <v>7.5</v>
      </c>
      <c r="AA269" s="60">
        <f t="shared" si="5"/>
        <v>-117</v>
      </c>
      <c r="AB269" s="62" t="str">
        <f t="shared" si="6"/>
        <v/>
      </c>
      <c r="AC269" s="62" t="str">
        <f t="array" ref="AC269">IF(AH269&lt;&gt;"COMPRAR","",IF(MAX(INDEX(Ventas!$G$2:$G$5000,MATCH($A269,Ventas!$A$2:$A$5000,0)),INDEX(Ventas!$H$2:$H$5000,MATCH($A269,Ventas!$A$2:$A$5000,0)),INDEX(Ventas!$I$2:$I$5000,MATCH($A269,Ventas!$A$2:$A$5000,0)),INDEX(Ventas!$J$2:$J$5000,MATCH($A269,Ventas!$A$2:$A$5000,0)))&gt;0.5*AF269*4,"1 mes = "&amp;TEXT(MAX(INDEX(Ventas!$G$2:$G$5000,MATCH($A269,Ventas!$A$2:$A$5000,0)),INDEX(Ventas!$H$2:$H$5000,MATCH($A269,Ventas!$A$2:$A$5000,0)),INDEX(Ventas!$I$2:$I$5000,MATCH($A269,Ventas!$A$2:$A$5000,0)),INDEX(Ventas!$J$2:$J$5000,MATCH($A269,Ventas!$A$2:$A$5000,0)))/(AF269*4),"0%")&amp;" de 4 meses",""))</f>
        <v/>
      </c>
      <c r="AD269" s="62" t="str">
        <f t="shared" si="7"/>
        <v/>
      </c>
      <c r="AE269" s="62" t="str">
        <f t="array" ref="AE269">IF(X269="","",IF(AND(E269=0,AVERAGE(INDEX(Ventas!$C$2:$I$5000,MATCH($A269,Ventas!$A$2:$A$5000,0),0))&gt;0,INDEX(Ventas!$J$2:$J$5000,MATCH($A269,Ventas!$A$2:$A$5000,0))&lt;0.5*AVERAGE(INDEX(Ventas!$C$2:$I$5000,MATCH($A269,Ventas!$A$2:$A$5000,0),0))),"SÍ — stock 0 y Sep cayó (prom Feb-Ago "&amp;TEXT(AVERAGE(INDEX(Ventas!$C$2:$I$5000,MATCH($A269,Ventas!$A$2:$A$5000,0),0)),"#,##0")&amp;")",""))</f>
        <v/>
      </c>
      <c r="AF269" s="60">
        <f t="array" ref="AF269">IF(X269="","",IF(AE269&lt;&gt;"",MAX(X269,AVERAGE(INDEX(Ventas!$C$2:$I$5000,MATCH($A269,Ventas!$A$2:$A$5000,0),0))),X269))</f>
        <v>33.25</v>
      </c>
      <c r="AG269" s="60">
        <f t="shared" si="8"/>
        <v>-117</v>
      </c>
      <c r="AH269" s="63" t="str">
        <f t="shared" si="9"/>
        <v>OK</v>
      </c>
    </row>
    <row r="270" ht="13.5" customHeight="1">
      <c r="A270" s="49" t="s">
        <v>655</v>
      </c>
      <c r="B270" s="50" t="s">
        <v>183</v>
      </c>
      <c r="C270" s="50" t="s">
        <v>3770</v>
      </c>
      <c r="D270" s="50" t="s">
        <v>3757</v>
      </c>
      <c r="E270" s="51">
        <v>689.0</v>
      </c>
      <c r="F270" s="52"/>
      <c r="G270" s="53"/>
      <c r="H270" s="55"/>
      <c r="I270" s="55"/>
      <c r="J270" s="53"/>
      <c r="K270" s="53"/>
      <c r="L270" s="55"/>
      <c r="M270" s="53"/>
      <c r="N270" s="74"/>
      <c r="O270" s="57" t="str">
        <f t="shared" si="1"/>
        <v>SOBRESTOCK — 48.4 meses de cobertura</v>
      </c>
      <c r="P270" s="58">
        <f t="shared" si="2"/>
        <v>689</v>
      </c>
      <c r="Q270" s="1"/>
      <c r="R270" s="1"/>
      <c r="S270" s="1"/>
      <c r="T270" s="1"/>
      <c r="U270" s="1"/>
      <c r="V270" s="1"/>
      <c r="W270" s="1"/>
      <c r="X270" s="60">
        <f>IFERROR(VLOOKUP($A270,Ventas!$A$2:$L$5000,12,FALSE()),"")</f>
        <v>14.25</v>
      </c>
      <c r="Y270" s="60">
        <f t="shared" si="3"/>
        <v>57</v>
      </c>
      <c r="Z270" s="61">
        <f t="shared" si="4"/>
        <v>48.4</v>
      </c>
      <c r="AA270" s="60">
        <f t="shared" si="5"/>
        <v>-632</v>
      </c>
      <c r="AB270" s="62" t="str">
        <f t="shared" si="6"/>
        <v/>
      </c>
      <c r="AC270" s="62" t="str">
        <f t="array" ref="AC270">IF(AH270&lt;&gt;"COMPRAR","",IF(MAX(INDEX(Ventas!$G$2:$G$5000,MATCH($A270,Ventas!$A$2:$A$5000,0)),INDEX(Ventas!$H$2:$H$5000,MATCH($A270,Ventas!$A$2:$A$5000,0)),INDEX(Ventas!$I$2:$I$5000,MATCH($A270,Ventas!$A$2:$A$5000,0)),INDEX(Ventas!$J$2:$J$5000,MATCH($A270,Ventas!$A$2:$A$5000,0)))&gt;0.5*AF270*4,"1 mes = "&amp;TEXT(MAX(INDEX(Ventas!$G$2:$G$5000,MATCH($A270,Ventas!$A$2:$A$5000,0)),INDEX(Ventas!$H$2:$H$5000,MATCH($A270,Ventas!$A$2:$A$5000,0)),INDEX(Ventas!$I$2:$I$5000,MATCH($A270,Ventas!$A$2:$A$5000,0)),INDEX(Ventas!$J$2:$J$5000,MATCH($A270,Ventas!$A$2:$A$5000,0)))/(AF270*4),"0%")&amp;" de 4 meses",""))</f>
        <v/>
      </c>
      <c r="AD270" s="62" t="str">
        <f t="shared" si="7"/>
        <v/>
      </c>
      <c r="AE270" s="62" t="str">
        <f t="array" ref="AE270">IF(X270="","",IF(AND(E270=0,AVERAGE(INDEX(Ventas!$C$2:$I$5000,MATCH($A270,Ventas!$A$2:$A$5000,0),0))&gt;0,INDEX(Ventas!$J$2:$J$5000,MATCH($A270,Ventas!$A$2:$A$5000,0))&lt;0.5*AVERAGE(INDEX(Ventas!$C$2:$I$5000,MATCH($A270,Ventas!$A$2:$A$5000,0),0))),"SÍ — stock 0 y Sep cayó (prom Feb-Ago "&amp;TEXT(AVERAGE(INDEX(Ventas!$C$2:$I$5000,MATCH($A270,Ventas!$A$2:$A$5000,0),0)),"#,##0")&amp;")",""))</f>
        <v/>
      </c>
      <c r="AF270" s="60">
        <f t="array" ref="AF270">IF(X270="","",IF(AE270&lt;&gt;"",MAX(X270,AVERAGE(INDEX(Ventas!$C$2:$I$5000,MATCH($A270,Ventas!$A$2:$A$5000,0),0))),X270))</f>
        <v>14.25</v>
      </c>
      <c r="AG270" s="60">
        <f t="shared" si="8"/>
        <v>-632</v>
      </c>
      <c r="AH270" s="63" t="str">
        <f t="shared" si="9"/>
        <v>SOBRESTOCK</v>
      </c>
    </row>
    <row r="271" ht="13.5" customHeight="1">
      <c r="A271" s="64" t="s">
        <v>2164</v>
      </c>
      <c r="B271" s="65" t="s">
        <v>183</v>
      </c>
      <c r="C271" s="65" t="s">
        <v>3771</v>
      </c>
      <c r="D271" s="65" t="s">
        <v>1329</v>
      </c>
      <c r="E271" s="51">
        <v>1147.0</v>
      </c>
      <c r="F271" s="66"/>
      <c r="G271" s="53"/>
      <c r="H271" s="69">
        <v>1042.0</v>
      </c>
      <c r="I271" s="55"/>
      <c r="J271" s="53"/>
      <c r="K271" s="53"/>
      <c r="L271" s="55"/>
      <c r="M271" s="53"/>
      <c r="N271" s="73"/>
      <c r="O271" s="57" t="str">
        <f t="shared" si="1"/>
        <v>OK — cubierto (7.7 meses)</v>
      </c>
      <c r="P271" s="58">
        <f t="shared" si="2"/>
        <v>2189</v>
      </c>
      <c r="Q271" s="1"/>
      <c r="R271" s="1"/>
      <c r="S271" s="1"/>
      <c r="T271" s="1"/>
      <c r="U271" s="1"/>
      <c r="V271" s="1"/>
      <c r="W271" s="1"/>
      <c r="X271" s="60">
        <f>IFERROR(VLOOKUP($A271,Ventas!$A$2:$L$5000,12,FALSE()),"")</f>
        <v>285.375</v>
      </c>
      <c r="Y271" s="60">
        <f t="shared" si="3"/>
        <v>1142</v>
      </c>
      <c r="Z271" s="61">
        <f t="shared" si="4"/>
        <v>7.7</v>
      </c>
      <c r="AA271" s="60">
        <f t="shared" si="5"/>
        <v>-1047</v>
      </c>
      <c r="AB271" s="62" t="str">
        <f t="shared" si="6"/>
        <v/>
      </c>
      <c r="AC271" s="62" t="str">
        <f t="array" ref="AC271">IF(AH271&lt;&gt;"COMPRAR","",IF(MAX(INDEX(Ventas!$G$2:$G$5000,MATCH($A271,Ventas!$A$2:$A$5000,0)),INDEX(Ventas!$H$2:$H$5000,MATCH($A271,Ventas!$A$2:$A$5000,0)),INDEX(Ventas!$I$2:$I$5000,MATCH($A271,Ventas!$A$2:$A$5000,0)),INDEX(Ventas!$J$2:$J$5000,MATCH($A271,Ventas!$A$2:$A$5000,0)))&gt;0.5*AF271*4,"1 mes = "&amp;TEXT(MAX(INDEX(Ventas!$G$2:$G$5000,MATCH($A271,Ventas!$A$2:$A$5000,0)),INDEX(Ventas!$H$2:$H$5000,MATCH($A271,Ventas!$A$2:$A$5000,0)),INDEX(Ventas!$I$2:$I$5000,MATCH($A271,Ventas!$A$2:$A$5000,0)),INDEX(Ventas!$J$2:$J$5000,MATCH($A271,Ventas!$A$2:$A$5000,0)))/(AF271*4),"0%")&amp;" de 4 meses",""))</f>
        <v/>
      </c>
      <c r="AD271" s="62" t="str">
        <f t="shared" si="7"/>
        <v/>
      </c>
      <c r="AE271" s="62" t="str">
        <f t="array" ref="AE271">IF(X271="","",IF(AND(E271=0,AVERAGE(INDEX(Ventas!$C$2:$I$5000,MATCH($A271,Ventas!$A$2:$A$5000,0),0))&gt;0,INDEX(Ventas!$J$2:$J$5000,MATCH($A271,Ventas!$A$2:$A$5000,0))&lt;0.5*AVERAGE(INDEX(Ventas!$C$2:$I$5000,MATCH($A271,Ventas!$A$2:$A$5000,0),0))),"SÍ — stock 0 y Sep cayó (prom Feb-Ago "&amp;TEXT(AVERAGE(INDEX(Ventas!$C$2:$I$5000,MATCH($A271,Ventas!$A$2:$A$5000,0),0)),"#,##0")&amp;")",""))</f>
        <v/>
      </c>
      <c r="AF271" s="60">
        <f t="array" ref="AF271">IF(X271="","",IF(AE271&lt;&gt;"",MAX(X271,AVERAGE(INDEX(Ventas!$C$2:$I$5000,MATCH($A271,Ventas!$A$2:$A$5000,0),0))),X271))</f>
        <v>285.375</v>
      </c>
      <c r="AG271" s="60">
        <f t="shared" si="8"/>
        <v>-1047</v>
      </c>
      <c r="AH271" s="63" t="str">
        <f t="shared" si="9"/>
        <v>OK</v>
      </c>
    </row>
    <row r="272" ht="13.5" customHeight="1">
      <c r="A272" s="49" t="s">
        <v>2168</v>
      </c>
      <c r="B272" s="50" t="s">
        <v>183</v>
      </c>
      <c r="C272" s="50" t="s">
        <v>3771</v>
      </c>
      <c r="D272" s="50" t="s">
        <v>3756</v>
      </c>
      <c r="E272" s="51">
        <v>851.0</v>
      </c>
      <c r="F272" s="52"/>
      <c r="G272" s="53"/>
      <c r="H272" s="69">
        <v>1121.0</v>
      </c>
      <c r="I272" s="55"/>
      <c r="J272" s="53"/>
      <c r="K272" s="53"/>
      <c r="L272" s="55"/>
      <c r="M272" s="53"/>
      <c r="N272" s="74"/>
      <c r="O272" s="57" t="str">
        <f t="shared" si="1"/>
        <v>SOBRESTOCK — 9.7 meses de cobertura</v>
      </c>
      <c r="P272" s="58">
        <f t="shared" si="2"/>
        <v>1972</v>
      </c>
      <c r="Q272" s="1"/>
      <c r="R272" s="1"/>
      <c r="S272" s="1"/>
      <c r="T272" s="1"/>
      <c r="U272" s="1"/>
      <c r="V272" s="1"/>
      <c r="W272" s="1"/>
      <c r="X272" s="60">
        <f>IFERROR(VLOOKUP($A272,Ventas!$A$2:$L$5000,12,FALSE()),"")</f>
        <v>203.25</v>
      </c>
      <c r="Y272" s="60">
        <f t="shared" si="3"/>
        <v>813</v>
      </c>
      <c r="Z272" s="61">
        <f t="shared" si="4"/>
        <v>9.7</v>
      </c>
      <c r="AA272" s="60">
        <f t="shared" si="5"/>
        <v>-1159</v>
      </c>
      <c r="AB272" s="62" t="str">
        <f t="shared" si="6"/>
        <v/>
      </c>
      <c r="AC272" s="62" t="str">
        <f t="array" ref="AC272">IF(AH272&lt;&gt;"COMPRAR","",IF(MAX(INDEX(Ventas!$G$2:$G$5000,MATCH($A272,Ventas!$A$2:$A$5000,0)),INDEX(Ventas!$H$2:$H$5000,MATCH($A272,Ventas!$A$2:$A$5000,0)),INDEX(Ventas!$I$2:$I$5000,MATCH($A272,Ventas!$A$2:$A$5000,0)),INDEX(Ventas!$J$2:$J$5000,MATCH($A272,Ventas!$A$2:$A$5000,0)))&gt;0.5*AF272*4,"1 mes = "&amp;TEXT(MAX(INDEX(Ventas!$G$2:$G$5000,MATCH($A272,Ventas!$A$2:$A$5000,0)),INDEX(Ventas!$H$2:$H$5000,MATCH($A272,Ventas!$A$2:$A$5000,0)),INDEX(Ventas!$I$2:$I$5000,MATCH($A272,Ventas!$A$2:$A$5000,0)),INDEX(Ventas!$J$2:$J$5000,MATCH($A272,Ventas!$A$2:$A$5000,0)))/(AF272*4),"0%")&amp;" de 4 meses",""))</f>
        <v/>
      </c>
      <c r="AD272" s="62" t="str">
        <f t="shared" si="7"/>
        <v/>
      </c>
      <c r="AE272" s="62" t="str">
        <f t="array" ref="AE272">IF(X272="","",IF(AND(E272=0,AVERAGE(INDEX(Ventas!$C$2:$I$5000,MATCH($A272,Ventas!$A$2:$A$5000,0),0))&gt;0,INDEX(Ventas!$J$2:$J$5000,MATCH($A272,Ventas!$A$2:$A$5000,0))&lt;0.5*AVERAGE(INDEX(Ventas!$C$2:$I$5000,MATCH($A272,Ventas!$A$2:$A$5000,0),0))),"SÍ — stock 0 y Sep cayó (prom Feb-Ago "&amp;TEXT(AVERAGE(INDEX(Ventas!$C$2:$I$5000,MATCH($A272,Ventas!$A$2:$A$5000,0),0)),"#,##0")&amp;")",""))</f>
        <v/>
      </c>
      <c r="AF272" s="60">
        <f t="array" ref="AF272">IF(X272="","",IF(AE272&lt;&gt;"",MAX(X272,AVERAGE(INDEX(Ventas!$C$2:$I$5000,MATCH($A272,Ventas!$A$2:$A$5000,0),0))),X272))</f>
        <v>203.25</v>
      </c>
      <c r="AG272" s="60">
        <f t="shared" si="8"/>
        <v>-1159</v>
      </c>
      <c r="AH272" s="63" t="str">
        <f t="shared" si="9"/>
        <v>SOBRESTOCK</v>
      </c>
    </row>
    <row r="273" ht="13.5" customHeight="1">
      <c r="A273" s="64" t="s">
        <v>2172</v>
      </c>
      <c r="B273" s="65" t="s">
        <v>183</v>
      </c>
      <c r="C273" s="65" t="s">
        <v>3771</v>
      </c>
      <c r="D273" s="65" t="s">
        <v>3757</v>
      </c>
      <c r="E273" s="51">
        <v>1187.0</v>
      </c>
      <c r="F273" s="66"/>
      <c r="G273" s="53"/>
      <c r="H273" s="55"/>
      <c r="I273" s="55"/>
      <c r="J273" s="53"/>
      <c r="K273" s="53"/>
      <c r="L273" s="55"/>
      <c r="M273" s="53"/>
      <c r="N273" s="73"/>
      <c r="O273" s="57" t="str">
        <f t="shared" si="1"/>
        <v>SOBRESTOCK — 47.5 meses de cobertura</v>
      </c>
      <c r="P273" s="58">
        <f t="shared" si="2"/>
        <v>1187</v>
      </c>
      <c r="Q273" s="1"/>
      <c r="R273" s="1"/>
      <c r="S273" s="1"/>
      <c r="T273" s="1"/>
      <c r="U273" s="1"/>
      <c r="V273" s="1"/>
      <c r="W273" s="1"/>
      <c r="X273" s="60">
        <f>IFERROR(VLOOKUP($A273,Ventas!$A$2:$L$5000,12,FALSE()),"")</f>
        <v>25</v>
      </c>
      <c r="Y273" s="60">
        <f t="shared" si="3"/>
        <v>100</v>
      </c>
      <c r="Z273" s="61">
        <f t="shared" si="4"/>
        <v>47.5</v>
      </c>
      <c r="AA273" s="60">
        <f t="shared" si="5"/>
        <v>-1087</v>
      </c>
      <c r="AB273" s="62" t="str">
        <f t="shared" si="6"/>
        <v/>
      </c>
      <c r="AC273" s="62" t="str">
        <f t="array" ref="AC273">IF(AH273&lt;&gt;"COMPRAR","",IF(MAX(INDEX(Ventas!$G$2:$G$5000,MATCH($A273,Ventas!$A$2:$A$5000,0)),INDEX(Ventas!$H$2:$H$5000,MATCH($A273,Ventas!$A$2:$A$5000,0)),INDEX(Ventas!$I$2:$I$5000,MATCH($A273,Ventas!$A$2:$A$5000,0)),INDEX(Ventas!$J$2:$J$5000,MATCH($A273,Ventas!$A$2:$A$5000,0)))&gt;0.5*AF273*4,"1 mes = "&amp;TEXT(MAX(INDEX(Ventas!$G$2:$G$5000,MATCH($A273,Ventas!$A$2:$A$5000,0)),INDEX(Ventas!$H$2:$H$5000,MATCH($A273,Ventas!$A$2:$A$5000,0)),INDEX(Ventas!$I$2:$I$5000,MATCH($A273,Ventas!$A$2:$A$5000,0)),INDEX(Ventas!$J$2:$J$5000,MATCH($A273,Ventas!$A$2:$A$5000,0)))/(AF273*4),"0%")&amp;" de 4 meses",""))</f>
        <v/>
      </c>
      <c r="AD273" s="62" t="str">
        <f t="shared" si="7"/>
        <v/>
      </c>
      <c r="AE273" s="62" t="str">
        <f t="array" ref="AE273">IF(X273="","",IF(AND(E273=0,AVERAGE(INDEX(Ventas!$C$2:$I$5000,MATCH($A273,Ventas!$A$2:$A$5000,0),0))&gt;0,INDEX(Ventas!$J$2:$J$5000,MATCH($A273,Ventas!$A$2:$A$5000,0))&lt;0.5*AVERAGE(INDEX(Ventas!$C$2:$I$5000,MATCH($A273,Ventas!$A$2:$A$5000,0),0))),"SÍ — stock 0 y Sep cayó (prom Feb-Ago "&amp;TEXT(AVERAGE(INDEX(Ventas!$C$2:$I$5000,MATCH($A273,Ventas!$A$2:$A$5000,0),0)),"#,##0")&amp;")",""))</f>
        <v/>
      </c>
      <c r="AF273" s="60">
        <f t="array" ref="AF273">IF(X273="","",IF(AE273&lt;&gt;"",MAX(X273,AVERAGE(INDEX(Ventas!$C$2:$I$5000,MATCH($A273,Ventas!$A$2:$A$5000,0),0))),X273))</f>
        <v>25</v>
      </c>
      <c r="AG273" s="60">
        <f t="shared" si="8"/>
        <v>-1087</v>
      </c>
      <c r="AH273" s="63" t="str">
        <f t="shared" si="9"/>
        <v>SOBRESTOCK</v>
      </c>
    </row>
    <row r="274" ht="13.5" customHeight="1">
      <c r="A274" s="49" t="s">
        <v>2166</v>
      </c>
      <c r="B274" s="50" t="s">
        <v>183</v>
      </c>
      <c r="C274" s="50" t="s">
        <v>3771</v>
      </c>
      <c r="D274" s="50" t="s">
        <v>3758</v>
      </c>
      <c r="E274" s="51">
        <v>513.0</v>
      </c>
      <c r="F274" s="52"/>
      <c r="G274" s="53"/>
      <c r="H274" s="55"/>
      <c r="I274" s="55"/>
      <c r="J274" s="53"/>
      <c r="K274" s="53"/>
      <c r="L274" s="55"/>
      <c r="M274" s="53"/>
      <c r="N274" s="74"/>
      <c r="O274" s="57" t="str">
        <f t="shared" si="1"/>
        <v>SIN VENTAS Jun-Sep — no comprar (513 m disponibles)</v>
      </c>
      <c r="P274" s="58">
        <f t="shared" si="2"/>
        <v>513</v>
      </c>
      <c r="Q274" s="1"/>
      <c r="R274" s="1"/>
      <c r="S274" s="1"/>
      <c r="T274" s="1"/>
      <c r="U274" s="1"/>
      <c r="V274" s="1"/>
      <c r="W274" s="1"/>
      <c r="X274" s="60">
        <f>IFERROR(VLOOKUP($A274,Ventas!$A$2:$L$5000,12,FALSE()),"")</f>
        <v>0</v>
      </c>
      <c r="Y274" s="60">
        <f t="shared" si="3"/>
        <v>0</v>
      </c>
      <c r="Z274" s="61" t="str">
        <f t="shared" si="4"/>
        <v/>
      </c>
      <c r="AA274" s="60">
        <f t="shared" si="5"/>
        <v>-513</v>
      </c>
      <c r="AB274" s="62" t="str">
        <f t="shared" si="6"/>
        <v/>
      </c>
      <c r="AC274" s="62" t="str">
        <f t="array" ref="AC274">IF(AH274&lt;&gt;"COMPRAR","",IF(MAX(INDEX(Ventas!$G$2:$G$5000,MATCH($A274,Ventas!$A$2:$A$5000,0)),INDEX(Ventas!$H$2:$H$5000,MATCH($A274,Ventas!$A$2:$A$5000,0)),INDEX(Ventas!$I$2:$I$5000,MATCH($A274,Ventas!$A$2:$A$5000,0)),INDEX(Ventas!$J$2:$J$5000,MATCH($A274,Ventas!$A$2:$A$5000,0)))&gt;0.5*AF274*4,"1 mes = "&amp;TEXT(MAX(INDEX(Ventas!$G$2:$G$5000,MATCH($A274,Ventas!$A$2:$A$5000,0)),INDEX(Ventas!$H$2:$H$5000,MATCH($A274,Ventas!$A$2:$A$5000,0)),INDEX(Ventas!$I$2:$I$5000,MATCH($A274,Ventas!$A$2:$A$5000,0)),INDEX(Ventas!$J$2:$J$5000,MATCH($A274,Ventas!$A$2:$A$5000,0)))/(AF274*4),"0%")&amp;" de 4 meses",""))</f>
        <v/>
      </c>
      <c r="AD274" s="62" t="str">
        <f t="shared" si="7"/>
        <v/>
      </c>
      <c r="AE274" s="62" t="str">
        <f t="array" ref="AE274">IF(X274="","",IF(AND(E274=0,AVERAGE(INDEX(Ventas!$C$2:$I$5000,MATCH($A274,Ventas!$A$2:$A$5000,0),0))&gt;0,INDEX(Ventas!$J$2:$J$5000,MATCH($A274,Ventas!$A$2:$A$5000,0))&lt;0.5*AVERAGE(INDEX(Ventas!$C$2:$I$5000,MATCH($A274,Ventas!$A$2:$A$5000,0),0))),"SÍ — stock 0 y Sep cayó (prom Feb-Ago "&amp;TEXT(AVERAGE(INDEX(Ventas!$C$2:$I$5000,MATCH($A274,Ventas!$A$2:$A$5000,0),0)),"#,##0")&amp;")",""))</f>
        <v/>
      </c>
      <c r="AF274" s="60">
        <f t="array" ref="AF274">IF(X274="","",IF(AE274&lt;&gt;"",MAX(X274,AVERAGE(INDEX(Ventas!$C$2:$I$5000,MATCH($A274,Ventas!$A$2:$A$5000,0),0))),X274))</f>
        <v>0</v>
      </c>
      <c r="AG274" s="60">
        <f t="shared" si="8"/>
        <v>-513</v>
      </c>
      <c r="AH274" s="63" t="str">
        <f t="shared" si="9"/>
        <v>SIN VENTAS</v>
      </c>
    </row>
    <row r="275" ht="13.5" customHeight="1">
      <c r="A275" s="64" t="s">
        <v>2162</v>
      </c>
      <c r="B275" s="65" t="s">
        <v>183</v>
      </c>
      <c r="C275" s="65" t="s">
        <v>3771</v>
      </c>
      <c r="D275" s="65" t="s">
        <v>336</v>
      </c>
      <c r="E275" s="51">
        <v>1087.0</v>
      </c>
      <c r="F275" s="66"/>
      <c r="G275" s="53"/>
      <c r="H275" s="55"/>
      <c r="I275" s="55"/>
      <c r="J275" s="53"/>
      <c r="K275" s="53"/>
      <c r="L275" s="55"/>
      <c r="M275" s="53"/>
      <c r="N275" s="73"/>
      <c r="O275" s="57" t="str">
        <f t="shared" si="1"/>
        <v>SOBRESTOCK — 43.5 meses de cobertura</v>
      </c>
      <c r="P275" s="58">
        <f t="shared" si="2"/>
        <v>1087</v>
      </c>
      <c r="Q275" s="1"/>
      <c r="R275" s="1"/>
      <c r="S275" s="1"/>
      <c r="T275" s="1"/>
      <c r="U275" s="1"/>
      <c r="V275" s="1"/>
      <c r="W275" s="1"/>
      <c r="X275" s="60">
        <f>IFERROR(VLOOKUP($A275,Ventas!$A$2:$L$5000,12,FALSE()),"")</f>
        <v>25</v>
      </c>
      <c r="Y275" s="60">
        <f t="shared" si="3"/>
        <v>100</v>
      </c>
      <c r="Z275" s="61">
        <f t="shared" si="4"/>
        <v>43.5</v>
      </c>
      <c r="AA275" s="60">
        <f t="shared" si="5"/>
        <v>-987</v>
      </c>
      <c r="AB275" s="62" t="str">
        <f t="shared" si="6"/>
        <v/>
      </c>
      <c r="AC275" s="62" t="str">
        <f t="array" ref="AC275">IF(AH275&lt;&gt;"COMPRAR","",IF(MAX(INDEX(Ventas!$G$2:$G$5000,MATCH($A275,Ventas!$A$2:$A$5000,0)),INDEX(Ventas!$H$2:$H$5000,MATCH($A275,Ventas!$A$2:$A$5000,0)),INDEX(Ventas!$I$2:$I$5000,MATCH($A275,Ventas!$A$2:$A$5000,0)),INDEX(Ventas!$J$2:$J$5000,MATCH($A275,Ventas!$A$2:$A$5000,0)))&gt;0.5*AF275*4,"1 mes = "&amp;TEXT(MAX(INDEX(Ventas!$G$2:$G$5000,MATCH($A275,Ventas!$A$2:$A$5000,0)),INDEX(Ventas!$H$2:$H$5000,MATCH($A275,Ventas!$A$2:$A$5000,0)),INDEX(Ventas!$I$2:$I$5000,MATCH($A275,Ventas!$A$2:$A$5000,0)),INDEX(Ventas!$J$2:$J$5000,MATCH($A275,Ventas!$A$2:$A$5000,0)))/(AF275*4),"0%")&amp;" de 4 meses",""))</f>
        <v/>
      </c>
      <c r="AD275" s="62" t="str">
        <f t="shared" si="7"/>
        <v/>
      </c>
      <c r="AE275" s="62" t="str">
        <f t="array" ref="AE275">IF(X275="","",IF(AND(E275=0,AVERAGE(INDEX(Ventas!$C$2:$I$5000,MATCH($A275,Ventas!$A$2:$A$5000,0),0))&gt;0,INDEX(Ventas!$J$2:$J$5000,MATCH($A275,Ventas!$A$2:$A$5000,0))&lt;0.5*AVERAGE(INDEX(Ventas!$C$2:$I$5000,MATCH($A275,Ventas!$A$2:$A$5000,0),0))),"SÍ — stock 0 y Sep cayó (prom Feb-Ago "&amp;TEXT(AVERAGE(INDEX(Ventas!$C$2:$I$5000,MATCH($A275,Ventas!$A$2:$A$5000,0),0)),"#,##0")&amp;")",""))</f>
        <v/>
      </c>
      <c r="AF275" s="60">
        <f t="array" ref="AF275">IF(X275="","",IF(AE275&lt;&gt;"",MAX(X275,AVERAGE(INDEX(Ventas!$C$2:$I$5000,MATCH($A275,Ventas!$A$2:$A$5000,0),0))),X275))</f>
        <v>25</v>
      </c>
      <c r="AG275" s="60">
        <f t="shared" si="8"/>
        <v>-987</v>
      </c>
      <c r="AH275" s="63" t="str">
        <f t="shared" si="9"/>
        <v>SOBRESTOCK</v>
      </c>
    </row>
    <row r="276" ht="13.5" customHeight="1">
      <c r="A276" s="49" t="s">
        <v>2170</v>
      </c>
      <c r="B276" s="50" t="s">
        <v>183</v>
      </c>
      <c r="C276" s="50" t="s">
        <v>3771</v>
      </c>
      <c r="D276" s="50" t="s">
        <v>3743</v>
      </c>
      <c r="E276" s="51">
        <v>665.0</v>
      </c>
      <c r="F276" s="52"/>
      <c r="G276" s="53"/>
      <c r="H276" s="55"/>
      <c r="I276" s="55"/>
      <c r="J276" s="53"/>
      <c r="K276" s="53"/>
      <c r="L276" s="55"/>
      <c r="M276" s="53"/>
      <c r="N276" s="74"/>
      <c r="O276" s="57" t="str">
        <f t="shared" si="1"/>
        <v>SOBRESTOCK — 53.2 meses de cobertura</v>
      </c>
      <c r="P276" s="58">
        <f t="shared" si="2"/>
        <v>665</v>
      </c>
      <c r="Q276" s="1"/>
      <c r="R276" s="1"/>
      <c r="S276" s="1"/>
      <c r="T276" s="1"/>
      <c r="U276" s="1"/>
      <c r="V276" s="1"/>
      <c r="W276" s="1"/>
      <c r="X276" s="60">
        <f>IFERROR(VLOOKUP($A276,Ventas!$A$2:$L$5000,12,FALSE()),"")</f>
        <v>12.5</v>
      </c>
      <c r="Y276" s="60">
        <f t="shared" si="3"/>
        <v>50</v>
      </c>
      <c r="Z276" s="61">
        <f t="shared" si="4"/>
        <v>53.2</v>
      </c>
      <c r="AA276" s="60">
        <f t="shared" si="5"/>
        <v>-615</v>
      </c>
      <c r="AB276" s="62" t="str">
        <f t="shared" si="6"/>
        <v/>
      </c>
      <c r="AC276" s="62" t="str">
        <f t="array" ref="AC276">IF(AH276&lt;&gt;"COMPRAR","",IF(MAX(INDEX(Ventas!$G$2:$G$5000,MATCH($A276,Ventas!$A$2:$A$5000,0)),INDEX(Ventas!$H$2:$H$5000,MATCH($A276,Ventas!$A$2:$A$5000,0)),INDEX(Ventas!$I$2:$I$5000,MATCH($A276,Ventas!$A$2:$A$5000,0)),INDEX(Ventas!$J$2:$J$5000,MATCH($A276,Ventas!$A$2:$A$5000,0)))&gt;0.5*AF276*4,"1 mes = "&amp;TEXT(MAX(INDEX(Ventas!$G$2:$G$5000,MATCH($A276,Ventas!$A$2:$A$5000,0)),INDEX(Ventas!$H$2:$H$5000,MATCH($A276,Ventas!$A$2:$A$5000,0)),INDEX(Ventas!$I$2:$I$5000,MATCH($A276,Ventas!$A$2:$A$5000,0)),INDEX(Ventas!$J$2:$J$5000,MATCH($A276,Ventas!$A$2:$A$5000,0)))/(AF276*4),"0%")&amp;" de 4 meses",""))</f>
        <v/>
      </c>
      <c r="AD276" s="62" t="str">
        <f t="shared" si="7"/>
        <v/>
      </c>
      <c r="AE276" s="62" t="str">
        <f t="array" ref="AE276">IF(X276="","",IF(AND(E276=0,AVERAGE(INDEX(Ventas!$C$2:$I$5000,MATCH($A276,Ventas!$A$2:$A$5000,0),0))&gt;0,INDEX(Ventas!$J$2:$J$5000,MATCH($A276,Ventas!$A$2:$A$5000,0))&lt;0.5*AVERAGE(INDEX(Ventas!$C$2:$I$5000,MATCH($A276,Ventas!$A$2:$A$5000,0),0))),"SÍ — stock 0 y Sep cayó (prom Feb-Ago "&amp;TEXT(AVERAGE(INDEX(Ventas!$C$2:$I$5000,MATCH($A276,Ventas!$A$2:$A$5000,0),0)),"#,##0")&amp;")",""))</f>
        <v/>
      </c>
      <c r="AF276" s="60">
        <f t="array" ref="AF276">IF(X276="","",IF(AE276&lt;&gt;"",MAX(X276,AVERAGE(INDEX(Ventas!$C$2:$I$5000,MATCH($A276,Ventas!$A$2:$A$5000,0),0))),X276))</f>
        <v>12.5</v>
      </c>
      <c r="AG276" s="60">
        <f t="shared" si="8"/>
        <v>-615</v>
      </c>
      <c r="AH276" s="63" t="str">
        <f t="shared" si="9"/>
        <v>SOBRESTOCK</v>
      </c>
    </row>
    <row r="277" ht="13.5" customHeight="1">
      <c r="A277" s="64" t="s">
        <v>1829</v>
      </c>
      <c r="B277" s="65" t="s">
        <v>183</v>
      </c>
      <c r="C277" s="65" t="s">
        <v>3772</v>
      </c>
      <c r="D277" s="65" t="s">
        <v>1329</v>
      </c>
      <c r="E277" s="51">
        <v>856.0</v>
      </c>
      <c r="F277" s="66"/>
      <c r="G277" s="53"/>
      <c r="H277" s="69">
        <v>1051.0</v>
      </c>
      <c r="I277" s="55"/>
      <c r="J277" s="53"/>
      <c r="K277" s="53"/>
      <c r="L277" s="55"/>
      <c r="M277" s="53"/>
      <c r="N277" s="73"/>
      <c r="O277" s="57" t="str">
        <f t="shared" si="1"/>
        <v>SOBRESTOCK — 8.1 meses de cobertura</v>
      </c>
      <c r="P277" s="58">
        <f t="shared" si="2"/>
        <v>1907</v>
      </c>
      <c r="Q277" s="1"/>
      <c r="R277" s="1"/>
      <c r="S277" s="1"/>
      <c r="T277" s="1"/>
      <c r="U277" s="1"/>
      <c r="V277" s="1"/>
      <c r="W277" s="1"/>
      <c r="X277" s="60">
        <f>IFERROR(VLOOKUP($A277,Ventas!$A$2:$L$5000,12,FALSE()),"")</f>
        <v>235.625</v>
      </c>
      <c r="Y277" s="60">
        <f t="shared" si="3"/>
        <v>943</v>
      </c>
      <c r="Z277" s="61">
        <f t="shared" si="4"/>
        <v>8.1</v>
      </c>
      <c r="AA277" s="60">
        <f t="shared" si="5"/>
        <v>-964</v>
      </c>
      <c r="AB277" s="62" t="str">
        <f t="shared" si="6"/>
        <v/>
      </c>
      <c r="AC277" s="62" t="str">
        <f t="array" ref="AC277">IF(AH277&lt;&gt;"COMPRAR","",IF(MAX(INDEX(Ventas!$G$2:$G$5000,MATCH($A277,Ventas!$A$2:$A$5000,0)),INDEX(Ventas!$H$2:$H$5000,MATCH($A277,Ventas!$A$2:$A$5000,0)),INDEX(Ventas!$I$2:$I$5000,MATCH($A277,Ventas!$A$2:$A$5000,0)),INDEX(Ventas!$J$2:$J$5000,MATCH($A277,Ventas!$A$2:$A$5000,0)))&gt;0.5*AF277*4,"1 mes = "&amp;TEXT(MAX(INDEX(Ventas!$G$2:$G$5000,MATCH($A277,Ventas!$A$2:$A$5000,0)),INDEX(Ventas!$H$2:$H$5000,MATCH($A277,Ventas!$A$2:$A$5000,0)),INDEX(Ventas!$I$2:$I$5000,MATCH($A277,Ventas!$A$2:$A$5000,0)),INDEX(Ventas!$J$2:$J$5000,MATCH($A277,Ventas!$A$2:$A$5000,0)))/(AF277*4),"0%")&amp;" de 4 meses",""))</f>
        <v/>
      </c>
      <c r="AD277" s="62" t="str">
        <f t="shared" si="7"/>
        <v/>
      </c>
      <c r="AE277" s="62" t="str">
        <f t="array" ref="AE277">IF(X277="","",IF(AND(E277=0,AVERAGE(INDEX(Ventas!$C$2:$I$5000,MATCH($A277,Ventas!$A$2:$A$5000,0),0))&gt;0,INDEX(Ventas!$J$2:$J$5000,MATCH($A277,Ventas!$A$2:$A$5000,0))&lt;0.5*AVERAGE(INDEX(Ventas!$C$2:$I$5000,MATCH($A277,Ventas!$A$2:$A$5000,0),0))),"SÍ — stock 0 y Sep cayó (prom Feb-Ago "&amp;TEXT(AVERAGE(INDEX(Ventas!$C$2:$I$5000,MATCH($A277,Ventas!$A$2:$A$5000,0),0)),"#,##0")&amp;")",""))</f>
        <v/>
      </c>
      <c r="AF277" s="60">
        <f t="array" ref="AF277">IF(X277="","",IF(AE277&lt;&gt;"",MAX(X277,AVERAGE(INDEX(Ventas!$C$2:$I$5000,MATCH($A277,Ventas!$A$2:$A$5000,0),0))),X277))</f>
        <v>235.625</v>
      </c>
      <c r="AG277" s="60">
        <f t="shared" si="8"/>
        <v>-964</v>
      </c>
      <c r="AH277" s="63" t="str">
        <f t="shared" si="9"/>
        <v>SOBRESTOCK</v>
      </c>
    </row>
    <row r="278" ht="13.5" customHeight="1">
      <c r="A278" s="49" t="s">
        <v>1831</v>
      </c>
      <c r="B278" s="50" t="s">
        <v>183</v>
      </c>
      <c r="C278" s="50" t="s">
        <v>3772</v>
      </c>
      <c r="D278" s="50" t="s">
        <v>3756</v>
      </c>
      <c r="E278" s="51">
        <v>0.0</v>
      </c>
      <c r="F278" s="52"/>
      <c r="G278" s="53"/>
      <c r="H278" s="69">
        <v>2136.0</v>
      </c>
      <c r="I278" s="55"/>
      <c r="J278" s="53"/>
      <c r="K278" s="53"/>
      <c r="L278" s="55"/>
      <c r="M278" s="53"/>
      <c r="N278" s="74"/>
      <c r="O278" s="57" t="str">
        <f t="shared" si="1"/>
        <v>SOBRESTOCK — 17.7 meses de cobertura</v>
      </c>
      <c r="P278" s="58">
        <f t="shared" si="2"/>
        <v>2136</v>
      </c>
      <c r="Q278" s="1"/>
      <c r="R278" s="1"/>
      <c r="S278" s="1"/>
      <c r="T278" s="1"/>
      <c r="U278" s="1"/>
      <c r="V278" s="1"/>
      <c r="W278" s="1"/>
      <c r="X278" s="60">
        <f>IFERROR(VLOOKUP($A278,Ventas!$A$2:$L$5000,12,FALSE()),"")</f>
        <v>120.9</v>
      </c>
      <c r="Y278" s="60">
        <f t="shared" si="3"/>
        <v>484</v>
      </c>
      <c r="Z278" s="61">
        <f t="shared" si="4"/>
        <v>17.7</v>
      </c>
      <c r="AA278" s="60">
        <f t="shared" si="5"/>
        <v>-1652</v>
      </c>
      <c r="AB278" s="62" t="str">
        <f t="shared" si="6"/>
        <v/>
      </c>
      <c r="AC278" s="62" t="str">
        <f t="array" ref="AC278">IF(AH278&lt;&gt;"COMPRAR","",IF(MAX(INDEX(Ventas!$G$2:$G$5000,MATCH($A278,Ventas!$A$2:$A$5000,0)),INDEX(Ventas!$H$2:$H$5000,MATCH($A278,Ventas!$A$2:$A$5000,0)),INDEX(Ventas!$I$2:$I$5000,MATCH($A278,Ventas!$A$2:$A$5000,0)),INDEX(Ventas!$J$2:$J$5000,MATCH($A278,Ventas!$A$2:$A$5000,0)))&gt;0.5*AF278*4,"1 mes = "&amp;TEXT(MAX(INDEX(Ventas!$G$2:$G$5000,MATCH($A278,Ventas!$A$2:$A$5000,0)),INDEX(Ventas!$H$2:$H$5000,MATCH($A278,Ventas!$A$2:$A$5000,0)),INDEX(Ventas!$I$2:$I$5000,MATCH($A278,Ventas!$A$2:$A$5000,0)),INDEX(Ventas!$J$2:$J$5000,MATCH($A278,Ventas!$A$2:$A$5000,0)))/(AF278*4),"0%")&amp;" de 4 meses",""))</f>
        <v/>
      </c>
      <c r="AD278" s="62" t="str">
        <f t="shared" si="7"/>
        <v>SÍ — 0 m vs 64 m</v>
      </c>
      <c r="AE278" s="62" t="str">
        <f t="array" ref="AE278">IF(X278="","",IF(AND(E278=0,AVERAGE(INDEX(Ventas!$C$2:$I$5000,MATCH($A278,Ventas!$A$2:$A$5000,0),0))&gt;0,INDEX(Ventas!$J$2:$J$5000,MATCH($A278,Ventas!$A$2:$A$5000,0))&lt;0.5*AVERAGE(INDEX(Ventas!$C$2:$I$5000,MATCH($A278,Ventas!$A$2:$A$5000,0),0))),"SÍ — stock 0 y Sep cayó (prom Feb-Ago "&amp;TEXT(AVERAGE(INDEX(Ventas!$C$2:$I$5000,MATCH($A278,Ventas!$A$2:$A$5000,0),0)),"#,##0")&amp;")",""))</f>
        <v>SÍ — stock 0 y Sep cayó (prom Feb-Ago 136)</v>
      </c>
      <c r="AF278" s="60">
        <f t="array" ref="AF278">IF(X278="","",IF(AE278&lt;&gt;"",MAX(X278,AVERAGE(INDEX(Ventas!$C$2:$I$5000,MATCH($A278,Ventas!$A$2:$A$5000,0),0))),X278))</f>
        <v>135.8714286</v>
      </c>
      <c r="AG278" s="60">
        <f t="shared" si="8"/>
        <v>-1593</v>
      </c>
      <c r="AH278" s="63" t="str">
        <f t="shared" si="9"/>
        <v>SOBRESTOCK</v>
      </c>
    </row>
    <row r="279" ht="13.5" customHeight="1">
      <c r="A279" s="64" t="s">
        <v>1833</v>
      </c>
      <c r="B279" s="65" t="s">
        <v>183</v>
      </c>
      <c r="C279" s="65" t="s">
        <v>3772</v>
      </c>
      <c r="D279" s="65" t="s">
        <v>3743</v>
      </c>
      <c r="E279" s="51">
        <v>1482.0</v>
      </c>
      <c r="F279" s="66"/>
      <c r="G279" s="53"/>
      <c r="H279" s="55"/>
      <c r="I279" s="55"/>
      <c r="J279" s="53"/>
      <c r="K279" s="53"/>
      <c r="L279" s="55"/>
      <c r="M279" s="53"/>
      <c r="N279" s="73"/>
      <c r="O279" s="57" t="str">
        <f t="shared" si="1"/>
        <v>SOBRESTOCK — 29.3 meses de cobertura</v>
      </c>
      <c r="P279" s="58">
        <f t="shared" si="2"/>
        <v>1482</v>
      </c>
      <c r="Q279" s="1"/>
      <c r="R279" s="1"/>
      <c r="S279" s="1"/>
      <c r="T279" s="1"/>
      <c r="U279" s="1"/>
      <c r="V279" s="1"/>
      <c r="W279" s="1"/>
      <c r="X279" s="60">
        <f>IFERROR(VLOOKUP($A279,Ventas!$A$2:$L$5000,12,FALSE()),"")</f>
        <v>50.5</v>
      </c>
      <c r="Y279" s="60">
        <f t="shared" si="3"/>
        <v>202</v>
      </c>
      <c r="Z279" s="61">
        <f t="shared" si="4"/>
        <v>29.3</v>
      </c>
      <c r="AA279" s="60">
        <f t="shared" si="5"/>
        <v>-1280</v>
      </c>
      <c r="AB279" s="62" t="str">
        <f t="shared" si="6"/>
        <v/>
      </c>
      <c r="AC279" s="62" t="str">
        <f t="array" ref="AC279">IF(AH279&lt;&gt;"COMPRAR","",IF(MAX(INDEX(Ventas!$G$2:$G$5000,MATCH($A279,Ventas!$A$2:$A$5000,0)),INDEX(Ventas!$H$2:$H$5000,MATCH($A279,Ventas!$A$2:$A$5000,0)),INDEX(Ventas!$I$2:$I$5000,MATCH($A279,Ventas!$A$2:$A$5000,0)),INDEX(Ventas!$J$2:$J$5000,MATCH($A279,Ventas!$A$2:$A$5000,0)))&gt;0.5*AF279*4,"1 mes = "&amp;TEXT(MAX(INDEX(Ventas!$G$2:$G$5000,MATCH($A279,Ventas!$A$2:$A$5000,0)),INDEX(Ventas!$H$2:$H$5000,MATCH($A279,Ventas!$A$2:$A$5000,0)),INDEX(Ventas!$I$2:$I$5000,MATCH($A279,Ventas!$A$2:$A$5000,0)),INDEX(Ventas!$J$2:$J$5000,MATCH($A279,Ventas!$A$2:$A$5000,0)))/(AF279*4),"0%")&amp;" de 4 meses",""))</f>
        <v/>
      </c>
      <c r="AD279" s="62" t="str">
        <f t="shared" si="7"/>
        <v/>
      </c>
      <c r="AE279" s="62" t="str">
        <f t="array" ref="AE279">IF(X279="","",IF(AND(E279=0,AVERAGE(INDEX(Ventas!$C$2:$I$5000,MATCH($A279,Ventas!$A$2:$A$5000,0),0))&gt;0,INDEX(Ventas!$J$2:$J$5000,MATCH($A279,Ventas!$A$2:$A$5000,0))&lt;0.5*AVERAGE(INDEX(Ventas!$C$2:$I$5000,MATCH($A279,Ventas!$A$2:$A$5000,0),0))),"SÍ — stock 0 y Sep cayó (prom Feb-Ago "&amp;TEXT(AVERAGE(INDEX(Ventas!$C$2:$I$5000,MATCH($A279,Ventas!$A$2:$A$5000,0),0)),"#,##0")&amp;")",""))</f>
        <v/>
      </c>
      <c r="AF279" s="60">
        <f t="array" ref="AF279">IF(X279="","",IF(AE279&lt;&gt;"",MAX(X279,AVERAGE(INDEX(Ventas!$C$2:$I$5000,MATCH($A279,Ventas!$A$2:$A$5000,0),0))),X279))</f>
        <v>50.5</v>
      </c>
      <c r="AG279" s="60">
        <f t="shared" si="8"/>
        <v>-1280</v>
      </c>
      <c r="AH279" s="63" t="str">
        <f t="shared" si="9"/>
        <v>SOBRESTOCK</v>
      </c>
    </row>
    <row r="280" ht="13.5" customHeight="1">
      <c r="A280" s="49" t="s">
        <v>1837</v>
      </c>
      <c r="B280" s="50" t="s">
        <v>183</v>
      </c>
      <c r="C280" s="50" t="s">
        <v>3772</v>
      </c>
      <c r="D280" s="50" t="s">
        <v>3757</v>
      </c>
      <c r="E280" s="51">
        <v>470.0</v>
      </c>
      <c r="F280" s="52"/>
      <c r="G280" s="53"/>
      <c r="H280" s="55"/>
      <c r="I280" s="55"/>
      <c r="J280" s="53"/>
      <c r="K280" s="53"/>
      <c r="L280" s="55"/>
      <c r="M280" s="53"/>
      <c r="N280" s="74"/>
      <c r="O280" s="57" t="str">
        <f t="shared" si="1"/>
        <v>SOBRESTOCK — 10.6 meses de cobertura</v>
      </c>
      <c r="P280" s="58">
        <f t="shared" si="2"/>
        <v>470</v>
      </c>
      <c r="Q280" s="1"/>
      <c r="R280" s="1"/>
      <c r="S280" s="1"/>
      <c r="T280" s="1"/>
      <c r="U280" s="1"/>
      <c r="V280" s="1"/>
      <c r="W280" s="1"/>
      <c r="X280" s="60">
        <f>IFERROR(VLOOKUP($A280,Ventas!$A$2:$L$5000,12,FALSE()),"")</f>
        <v>44.525</v>
      </c>
      <c r="Y280" s="60">
        <f t="shared" si="3"/>
        <v>178</v>
      </c>
      <c r="Z280" s="61">
        <f t="shared" si="4"/>
        <v>10.6</v>
      </c>
      <c r="AA280" s="60">
        <f t="shared" si="5"/>
        <v>-292</v>
      </c>
      <c r="AB280" s="62" t="str">
        <f t="shared" si="6"/>
        <v/>
      </c>
      <c r="AC280" s="62" t="str">
        <f t="array" ref="AC280">IF(AH280&lt;&gt;"COMPRAR","",IF(MAX(INDEX(Ventas!$G$2:$G$5000,MATCH($A280,Ventas!$A$2:$A$5000,0)),INDEX(Ventas!$H$2:$H$5000,MATCH($A280,Ventas!$A$2:$A$5000,0)),INDEX(Ventas!$I$2:$I$5000,MATCH($A280,Ventas!$A$2:$A$5000,0)),INDEX(Ventas!$J$2:$J$5000,MATCH($A280,Ventas!$A$2:$A$5000,0)))&gt;0.5*AF280*4,"1 mes = "&amp;TEXT(MAX(INDEX(Ventas!$G$2:$G$5000,MATCH($A280,Ventas!$A$2:$A$5000,0)),INDEX(Ventas!$H$2:$H$5000,MATCH($A280,Ventas!$A$2:$A$5000,0)),INDEX(Ventas!$I$2:$I$5000,MATCH($A280,Ventas!$A$2:$A$5000,0)),INDEX(Ventas!$J$2:$J$5000,MATCH($A280,Ventas!$A$2:$A$5000,0)))/(AF280*4),"0%")&amp;" de 4 meses",""))</f>
        <v/>
      </c>
      <c r="AD280" s="62" t="str">
        <f t="shared" si="7"/>
        <v/>
      </c>
      <c r="AE280" s="62" t="str">
        <f t="array" ref="AE280">IF(X280="","",IF(AND(E280=0,AVERAGE(INDEX(Ventas!$C$2:$I$5000,MATCH($A280,Ventas!$A$2:$A$5000,0),0))&gt;0,INDEX(Ventas!$J$2:$J$5000,MATCH($A280,Ventas!$A$2:$A$5000,0))&lt;0.5*AVERAGE(INDEX(Ventas!$C$2:$I$5000,MATCH($A280,Ventas!$A$2:$A$5000,0),0))),"SÍ — stock 0 y Sep cayó (prom Feb-Ago "&amp;TEXT(AVERAGE(INDEX(Ventas!$C$2:$I$5000,MATCH($A280,Ventas!$A$2:$A$5000,0),0)),"#,##0")&amp;")",""))</f>
        <v/>
      </c>
      <c r="AF280" s="60">
        <f t="array" ref="AF280">IF(X280="","",IF(AE280&lt;&gt;"",MAX(X280,AVERAGE(INDEX(Ventas!$C$2:$I$5000,MATCH($A280,Ventas!$A$2:$A$5000,0),0))),X280))</f>
        <v>44.525</v>
      </c>
      <c r="AG280" s="60">
        <f t="shared" si="8"/>
        <v>-292</v>
      </c>
      <c r="AH280" s="63" t="str">
        <f t="shared" si="9"/>
        <v>SOBRESTOCK</v>
      </c>
    </row>
    <row r="281" ht="13.5" customHeight="1">
      <c r="A281" s="64" t="s">
        <v>1827</v>
      </c>
      <c r="B281" s="65" t="s">
        <v>183</v>
      </c>
      <c r="C281" s="65" t="s">
        <v>3772</v>
      </c>
      <c r="D281" s="65" t="s">
        <v>336</v>
      </c>
      <c r="E281" s="51">
        <v>338.0</v>
      </c>
      <c r="F281" s="66"/>
      <c r="G281" s="53"/>
      <c r="H281" s="55"/>
      <c r="I281" s="55"/>
      <c r="J281" s="53"/>
      <c r="K281" s="53"/>
      <c r="L281" s="55"/>
      <c r="M281" s="53"/>
      <c r="N281" s="73"/>
      <c r="O281" s="57" t="str">
        <f t="shared" si="1"/>
        <v>SOBRESTOCK — 13.5 meses de cobertura</v>
      </c>
      <c r="P281" s="58">
        <f t="shared" si="2"/>
        <v>338</v>
      </c>
      <c r="Q281" s="1"/>
      <c r="R281" s="1"/>
      <c r="S281" s="1"/>
      <c r="T281" s="1"/>
      <c r="U281" s="1"/>
      <c r="V281" s="1"/>
      <c r="W281" s="1"/>
      <c r="X281" s="60">
        <f>IFERROR(VLOOKUP($A281,Ventas!$A$2:$L$5000,12,FALSE()),"")</f>
        <v>25</v>
      </c>
      <c r="Y281" s="60">
        <f t="shared" si="3"/>
        <v>100</v>
      </c>
      <c r="Z281" s="61">
        <f t="shared" si="4"/>
        <v>13.5</v>
      </c>
      <c r="AA281" s="60">
        <f t="shared" si="5"/>
        <v>-238</v>
      </c>
      <c r="AB281" s="62" t="str">
        <f t="shared" si="6"/>
        <v/>
      </c>
      <c r="AC281" s="62" t="str">
        <f t="array" ref="AC281">IF(AH281&lt;&gt;"COMPRAR","",IF(MAX(INDEX(Ventas!$G$2:$G$5000,MATCH($A281,Ventas!$A$2:$A$5000,0)),INDEX(Ventas!$H$2:$H$5000,MATCH($A281,Ventas!$A$2:$A$5000,0)),INDEX(Ventas!$I$2:$I$5000,MATCH($A281,Ventas!$A$2:$A$5000,0)),INDEX(Ventas!$J$2:$J$5000,MATCH($A281,Ventas!$A$2:$A$5000,0)))&gt;0.5*AF281*4,"1 mes = "&amp;TEXT(MAX(INDEX(Ventas!$G$2:$G$5000,MATCH($A281,Ventas!$A$2:$A$5000,0)),INDEX(Ventas!$H$2:$H$5000,MATCH($A281,Ventas!$A$2:$A$5000,0)),INDEX(Ventas!$I$2:$I$5000,MATCH($A281,Ventas!$A$2:$A$5000,0)),INDEX(Ventas!$J$2:$J$5000,MATCH($A281,Ventas!$A$2:$A$5000,0)))/(AF281*4),"0%")&amp;" de 4 meses",""))</f>
        <v/>
      </c>
      <c r="AD281" s="62" t="str">
        <f t="shared" si="7"/>
        <v/>
      </c>
      <c r="AE281" s="62" t="str">
        <f t="array" ref="AE281">IF(X281="","",IF(AND(E281=0,AVERAGE(INDEX(Ventas!$C$2:$I$5000,MATCH($A281,Ventas!$A$2:$A$5000,0),0))&gt;0,INDEX(Ventas!$J$2:$J$5000,MATCH($A281,Ventas!$A$2:$A$5000,0))&lt;0.5*AVERAGE(INDEX(Ventas!$C$2:$I$5000,MATCH($A281,Ventas!$A$2:$A$5000,0),0))),"SÍ — stock 0 y Sep cayó (prom Feb-Ago "&amp;TEXT(AVERAGE(INDEX(Ventas!$C$2:$I$5000,MATCH($A281,Ventas!$A$2:$A$5000,0),0)),"#,##0")&amp;")",""))</f>
        <v/>
      </c>
      <c r="AF281" s="60">
        <f t="array" ref="AF281">IF(X281="","",IF(AE281&lt;&gt;"",MAX(X281,AVERAGE(INDEX(Ventas!$C$2:$I$5000,MATCH($A281,Ventas!$A$2:$A$5000,0),0))),X281))</f>
        <v>25</v>
      </c>
      <c r="AG281" s="60">
        <f t="shared" si="8"/>
        <v>-238</v>
      </c>
      <c r="AH281" s="63" t="str">
        <f t="shared" si="9"/>
        <v>SOBRESTOCK</v>
      </c>
    </row>
    <row r="282" ht="13.5" customHeight="1">
      <c r="A282" s="49" t="s">
        <v>1835</v>
      </c>
      <c r="B282" s="50" t="s">
        <v>183</v>
      </c>
      <c r="C282" s="50" t="s">
        <v>3772</v>
      </c>
      <c r="D282" s="50" t="s">
        <v>2754</v>
      </c>
      <c r="E282" s="51">
        <v>1156.0</v>
      </c>
      <c r="F282" s="52"/>
      <c r="G282" s="53"/>
      <c r="H282" s="55"/>
      <c r="I282" s="55"/>
      <c r="J282" s="53"/>
      <c r="K282" s="53"/>
      <c r="L282" s="55"/>
      <c r="M282" s="53"/>
      <c r="N282" s="74"/>
      <c r="O282" s="57" t="str">
        <f t="shared" si="1"/>
        <v>SOBRESTOCK — 32.1 meses de cobertura</v>
      </c>
      <c r="P282" s="58">
        <f t="shared" si="2"/>
        <v>1156</v>
      </c>
      <c r="Q282" s="1"/>
      <c r="R282" s="1"/>
      <c r="S282" s="1"/>
      <c r="T282" s="1"/>
      <c r="U282" s="1"/>
      <c r="V282" s="1"/>
      <c r="W282" s="1"/>
      <c r="X282" s="60">
        <f>IFERROR(VLOOKUP($A282,Ventas!$A$2:$L$5000,12,FALSE()),"")</f>
        <v>36</v>
      </c>
      <c r="Y282" s="60">
        <f t="shared" si="3"/>
        <v>144</v>
      </c>
      <c r="Z282" s="61">
        <f t="shared" si="4"/>
        <v>32.1</v>
      </c>
      <c r="AA282" s="60">
        <f t="shared" si="5"/>
        <v>-1012</v>
      </c>
      <c r="AB282" s="62" t="str">
        <f t="shared" si="6"/>
        <v/>
      </c>
      <c r="AC282" s="62" t="str">
        <f t="array" ref="AC282">IF(AH282&lt;&gt;"COMPRAR","",IF(MAX(INDEX(Ventas!$G$2:$G$5000,MATCH($A282,Ventas!$A$2:$A$5000,0)),INDEX(Ventas!$H$2:$H$5000,MATCH($A282,Ventas!$A$2:$A$5000,0)),INDEX(Ventas!$I$2:$I$5000,MATCH($A282,Ventas!$A$2:$A$5000,0)),INDEX(Ventas!$J$2:$J$5000,MATCH($A282,Ventas!$A$2:$A$5000,0)))&gt;0.5*AF282*4,"1 mes = "&amp;TEXT(MAX(INDEX(Ventas!$G$2:$G$5000,MATCH($A282,Ventas!$A$2:$A$5000,0)),INDEX(Ventas!$H$2:$H$5000,MATCH($A282,Ventas!$A$2:$A$5000,0)),INDEX(Ventas!$I$2:$I$5000,MATCH($A282,Ventas!$A$2:$A$5000,0)),INDEX(Ventas!$J$2:$J$5000,MATCH($A282,Ventas!$A$2:$A$5000,0)))/(AF282*4),"0%")&amp;" de 4 meses",""))</f>
        <v/>
      </c>
      <c r="AD282" s="62" t="str">
        <f t="shared" si="7"/>
        <v/>
      </c>
      <c r="AE282" s="62" t="str">
        <f t="array" ref="AE282">IF(X282="","",IF(AND(E282=0,AVERAGE(INDEX(Ventas!$C$2:$I$5000,MATCH($A282,Ventas!$A$2:$A$5000,0),0))&gt;0,INDEX(Ventas!$J$2:$J$5000,MATCH($A282,Ventas!$A$2:$A$5000,0))&lt;0.5*AVERAGE(INDEX(Ventas!$C$2:$I$5000,MATCH($A282,Ventas!$A$2:$A$5000,0),0))),"SÍ — stock 0 y Sep cayó (prom Feb-Ago "&amp;TEXT(AVERAGE(INDEX(Ventas!$C$2:$I$5000,MATCH($A282,Ventas!$A$2:$A$5000,0),0)),"#,##0")&amp;")",""))</f>
        <v/>
      </c>
      <c r="AF282" s="60">
        <f t="array" ref="AF282">IF(X282="","",IF(AE282&lt;&gt;"",MAX(X282,AVERAGE(INDEX(Ventas!$C$2:$I$5000,MATCH($A282,Ventas!$A$2:$A$5000,0),0))),X282))</f>
        <v>36</v>
      </c>
      <c r="AG282" s="60">
        <f t="shared" si="8"/>
        <v>-1012</v>
      </c>
      <c r="AH282" s="63" t="str">
        <f t="shared" si="9"/>
        <v>SOBRESTOCK</v>
      </c>
    </row>
    <row r="283" ht="13.5" customHeight="1">
      <c r="A283" s="64" t="s">
        <v>1856</v>
      </c>
      <c r="B283" s="65" t="s">
        <v>183</v>
      </c>
      <c r="C283" s="65" t="s">
        <v>3773</v>
      </c>
      <c r="D283" s="65" t="s">
        <v>1329</v>
      </c>
      <c r="E283" s="51">
        <v>419.0</v>
      </c>
      <c r="F283" s="66"/>
      <c r="G283" s="53"/>
      <c r="H283" s="55"/>
      <c r="I283" s="55"/>
      <c r="J283" s="53"/>
      <c r="K283" s="53"/>
      <c r="L283" s="55"/>
      <c r="M283" s="53"/>
      <c r="N283" s="73"/>
      <c r="O283" s="57" t="str">
        <f t="shared" si="1"/>
        <v>SOBRESTOCK — 11.0 meses de cobertura</v>
      </c>
      <c r="P283" s="58">
        <f t="shared" si="2"/>
        <v>419</v>
      </c>
      <c r="Q283" s="1"/>
      <c r="R283" s="1"/>
      <c r="S283" s="1"/>
      <c r="T283" s="1"/>
      <c r="U283" s="1"/>
      <c r="V283" s="1"/>
      <c r="W283" s="1"/>
      <c r="X283" s="60">
        <f>IFERROR(VLOOKUP($A283,Ventas!$A$2:$L$5000,12,FALSE()),"")</f>
        <v>38</v>
      </c>
      <c r="Y283" s="60">
        <f t="shared" si="3"/>
        <v>152</v>
      </c>
      <c r="Z283" s="61">
        <f t="shared" si="4"/>
        <v>11</v>
      </c>
      <c r="AA283" s="60">
        <f t="shared" si="5"/>
        <v>-267</v>
      </c>
      <c r="AB283" s="62" t="str">
        <f t="shared" si="6"/>
        <v/>
      </c>
      <c r="AC283" s="62" t="str">
        <f t="array" ref="AC283">IF(AH283&lt;&gt;"COMPRAR","",IF(MAX(INDEX(Ventas!$G$2:$G$5000,MATCH($A283,Ventas!$A$2:$A$5000,0)),INDEX(Ventas!$H$2:$H$5000,MATCH($A283,Ventas!$A$2:$A$5000,0)),INDEX(Ventas!$I$2:$I$5000,MATCH($A283,Ventas!$A$2:$A$5000,0)),INDEX(Ventas!$J$2:$J$5000,MATCH($A283,Ventas!$A$2:$A$5000,0)))&gt;0.5*AF283*4,"1 mes = "&amp;TEXT(MAX(INDEX(Ventas!$G$2:$G$5000,MATCH($A283,Ventas!$A$2:$A$5000,0)),INDEX(Ventas!$H$2:$H$5000,MATCH($A283,Ventas!$A$2:$A$5000,0)),INDEX(Ventas!$I$2:$I$5000,MATCH($A283,Ventas!$A$2:$A$5000,0)),INDEX(Ventas!$J$2:$J$5000,MATCH($A283,Ventas!$A$2:$A$5000,0)))/(AF283*4),"0%")&amp;" de 4 meses",""))</f>
        <v/>
      </c>
      <c r="AD283" s="62" t="str">
        <f t="shared" si="7"/>
        <v/>
      </c>
      <c r="AE283" s="62" t="str">
        <f t="array" ref="AE283">IF(X283="","",IF(AND(E283=0,AVERAGE(INDEX(Ventas!$C$2:$I$5000,MATCH($A283,Ventas!$A$2:$A$5000,0),0))&gt;0,INDEX(Ventas!$J$2:$J$5000,MATCH($A283,Ventas!$A$2:$A$5000,0))&lt;0.5*AVERAGE(INDEX(Ventas!$C$2:$I$5000,MATCH($A283,Ventas!$A$2:$A$5000,0),0))),"SÍ — stock 0 y Sep cayó (prom Feb-Ago "&amp;TEXT(AVERAGE(INDEX(Ventas!$C$2:$I$5000,MATCH($A283,Ventas!$A$2:$A$5000,0),0)),"#,##0")&amp;")",""))</f>
        <v/>
      </c>
      <c r="AF283" s="60">
        <f t="array" ref="AF283">IF(X283="","",IF(AE283&lt;&gt;"",MAX(X283,AVERAGE(INDEX(Ventas!$C$2:$I$5000,MATCH($A283,Ventas!$A$2:$A$5000,0),0))),X283))</f>
        <v>38</v>
      </c>
      <c r="AG283" s="60">
        <f t="shared" si="8"/>
        <v>-267</v>
      </c>
      <c r="AH283" s="63" t="str">
        <f t="shared" si="9"/>
        <v>SOBRESTOCK</v>
      </c>
    </row>
    <row r="284" ht="13.5" customHeight="1">
      <c r="A284" s="49" t="s">
        <v>1858</v>
      </c>
      <c r="B284" s="50" t="s">
        <v>183</v>
      </c>
      <c r="C284" s="50" t="s">
        <v>3773</v>
      </c>
      <c r="D284" s="50" t="s">
        <v>3756</v>
      </c>
      <c r="E284" s="51">
        <v>607.0</v>
      </c>
      <c r="F284" s="52"/>
      <c r="G284" s="53"/>
      <c r="H284" s="55"/>
      <c r="I284" s="55"/>
      <c r="J284" s="53"/>
      <c r="K284" s="53"/>
      <c r="L284" s="55"/>
      <c r="M284" s="53"/>
      <c r="N284" s="74"/>
      <c r="O284" s="57" t="str">
        <f t="shared" si="1"/>
        <v>SOBRESTOCK — 22.3 meses de cobertura</v>
      </c>
      <c r="P284" s="58">
        <f t="shared" si="2"/>
        <v>607</v>
      </c>
      <c r="Q284" s="1"/>
      <c r="R284" s="1"/>
      <c r="S284" s="1"/>
      <c r="T284" s="1"/>
      <c r="U284" s="1"/>
      <c r="V284" s="1"/>
      <c r="W284" s="1"/>
      <c r="X284" s="60">
        <f>IFERROR(VLOOKUP($A284,Ventas!$A$2:$L$5000,12,FALSE()),"")</f>
        <v>27.25</v>
      </c>
      <c r="Y284" s="60">
        <f t="shared" si="3"/>
        <v>109</v>
      </c>
      <c r="Z284" s="61">
        <f t="shared" si="4"/>
        <v>22.3</v>
      </c>
      <c r="AA284" s="60">
        <f t="shared" si="5"/>
        <v>-498</v>
      </c>
      <c r="AB284" s="62" t="str">
        <f t="shared" si="6"/>
        <v/>
      </c>
      <c r="AC284" s="62" t="str">
        <f t="array" ref="AC284">IF(AH284&lt;&gt;"COMPRAR","",IF(MAX(INDEX(Ventas!$G$2:$G$5000,MATCH($A284,Ventas!$A$2:$A$5000,0)),INDEX(Ventas!$H$2:$H$5000,MATCH($A284,Ventas!$A$2:$A$5000,0)),INDEX(Ventas!$I$2:$I$5000,MATCH($A284,Ventas!$A$2:$A$5000,0)),INDEX(Ventas!$J$2:$J$5000,MATCH($A284,Ventas!$A$2:$A$5000,0)))&gt;0.5*AF284*4,"1 mes = "&amp;TEXT(MAX(INDEX(Ventas!$G$2:$G$5000,MATCH($A284,Ventas!$A$2:$A$5000,0)),INDEX(Ventas!$H$2:$H$5000,MATCH($A284,Ventas!$A$2:$A$5000,0)),INDEX(Ventas!$I$2:$I$5000,MATCH($A284,Ventas!$A$2:$A$5000,0)),INDEX(Ventas!$J$2:$J$5000,MATCH($A284,Ventas!$A$2:$A$5000,0)))/(AF284*4),"0%")&amp;" de 4 meses",""))</f>
        <v/>
      </c>
      <c r="AD284" s="62" t="str">
        <f t="shared" si="7"/>
        <v/>
      </c>
      <c r="AE284" s="62" t="str">
        <f t="array" ref="AE284">IF(X284="","",IF(AND(E284=0,AVERAGE(INDEX(Ventas!$C$2:$I$5000,MATCH($A284,Ventas!$A$2:$A$5000,0),0))&gt;0,INDEX(Ventas!$J$2:$J$5000,MATCH($A284,Ventas!$A$2:$A$5000,0))&lt;0.5*AVERAGE(INDEX(Ventas!$C$2:$I$5000,MATCH($A284,Ventas!$A$2:$A$5000,0),0))),"SÍ — stock 0 y Sep cayó (prom Feb-Ago "&amp;TEXT(AVERAGE(INDEX(Ventas!$C$2:$I$5000,MATCH($A284,Ventas!$A$2:$A$5000,0),0)),"#,##0")&amp;")",""))</f>
        <v/>
      </c>
      <c r="AF284" s="60">
        <f t="array" ref="AF284">IF(X284="","",IF(AE284&lt;&gt;"",MAX(X284,AVERAGE(INDEX(Ventas!$C$2:$I$5000,MATCH($A284,Ventas!$A$2:$A$5000,0),0))),X284))</f>
        <v>27.25</v>
      </c>
      <c r="AG284" s="60">
        <f t="shared" si="8"/>
        <v>-498</v>
      </c>
      <c r="AH284" s="63" t="str">
        <f t="shared" si="9"/>
        <v>SOBRESTOCK</v>
      </c>
    </row>
    <row r="285" ht="13.5" customHeight="1">
      <c r="A285" s="64" t="s">
        <v>1862</v>
      </c>
      <c r="B285" s="65" t="s">
        <v>183</v>
      </c>
      <c r="C285" s="65" t="s">
        <v>3773</v>
      </c>
      <c r="D285" s="65" t="s">
        <v>3757</v>
      </c>
      <c r="E285" s="51">
        <v>250.0</v>
      </c>
      <c r="F285" s="66"/>
      <c r="G285" s="53"/>
      <c r="H285" s="55"/>
      <c r="I285" s="55"/>
      <c r="J285" s="53"/>
      <c r="K285" s="53"/>
      <c r="L285" s="55"/>
      <c r="M285" s="53"/>
      <c r="N285" s="73"/>
      <c r="O285" s="57" t="str">
        <f t="shared" si="1"/>
        <v>SOBRESTOCK — 10.0 meses de cobertura</v>
      </c>
      <c r="P285" s="58">
        <f t="shared" si="2"/>
        <v>250</v>
      </c>
      <c r="Q285" s="1"/>
      <c r="R285" s="1"/>
      <c r="S285" s="1"/>
      <c r="T285" s="1"/>
      <c r="U285" s="1"/>
      <c r="V285" s="1"/>
      <c r="W285" s="1"/>
      <c r="X285" s="60">
        <f>IFERROR(VLOOKUP($A285,Ventas!$A$2:$L$5000,12,FALSE()),"")</f>
        <v>25</v>
      </c>
      <c r="Y285" s="60">
        <f t="shared" si="3"/>
        <v>100</v>
      </c>
      <c r="Z285" s="61">
        <f t="shared" si="4"/>
        <v>10</v>
      </c>
      <c r="AA285" s="60">
        <f t="shared" si="5"/>
        <v>-150</v>
      </c>
      <c r="AB285" s="62" t="str">
        <f t="shared" si="6"/>
        <v/>
      </c>
      <c r="AC285" s="62" t="str">
        <f t="array" ref="AC285">IF(AH285&lt;&gt;"COMPRAR","",IF(MAX(INDEX(Ventas!$G$2:$G$5000,MATCH($A285,Ventas!$A$2:$A$5000,0)),INDEX(Ventas!$H$2:$H$5000,MATCH($A285,Ventas!$A$2:$A$5000,0)),INDEX(Ventas!$I$2:$I$5000,MATCH($A285,Ventas!$A$2:$A$5000,0)),INDEX(Ventas!$J$2:$J$5000,MATCH($A285,Ventas!$A$2:$A$5000,0)))&gt;0.5*AF285*4,"1 mes = "&amp;TEXT(MAX(INDEX(Ventas!$G$2:$G$5000,MATCH($A285,Ventas!$A$2:$A$5000,0)),INDEX(Ventas!$H$2:$H$5000,MATCH($A285,Ventas!$A$2:$A$5000,0)),INDEX(Ventas!$I$2:$I$5000,MATCH($A285,Ventas!$A$2:$A$5000,0)),INDEX(Ventas!$J$2:$J$5000,MATCH($A285,Ventas!$A$2:$A$5000,0)))/(AF285*4),"0%")&amp;" de 4 meses",""))</f>
        <v/>
      </c>
      <c r="AD285" s="62" t="str">
        <f t="shared" si="7"/>
        <v/>
      </c>
      <c r="AE285" s="62" t="str">
        <f t="array" ref="AE285">IF(X285="","",IF(AND(E285=0,AVERAGE(INDEX(Ventas!$C$2:$I$5000,MATCH($A285,Ventas!$A$2:$A$5000,0),0))&gt;0,INDEX(Ventas!$J$2:$J$5000,MATCH($A285,Ventas!$A$2:$A$5000,0))&lt;0.5*AVERAGE(INDEX(Ventas!$C$2:$I$5000,MATCH($A285,Ventas!$A$2:$A$5000,0),0))),"SÍ — stock 0 y Sep cayó (prom Feb-Ago "&amp;TEXT(AVERAGE(INDEX(Ventas!$C$2:$I$5000,MATCH($A285,Ventas!$A$2:$A$5000,0),0)),"#,##0")&amp;")",""))</f>
        <v/>
      </c>
      <c r="AF285" s="60">
        <f t="array" ref="AF285">IF(X285="","",IF(AE285&lt;&gt;"",MAX(X285,AVERAGE(INDEX(Ventas!$C$2:$I$5000,MATCH($A285,Ventas!$A$2:$A$5000,0),0))),X285))</f>
        <v>25</v>
      </c>
      <c r="AG285" s="60">
        <f t="shared" si="8"/>
        <v>-150</v>
      </c>
      <c r="AH285" s="63" t="str">
        <f t="shared" si="9"/>
        <v>SOBRESTOCK</v>
      </c>
    </row>
    <row r="286" ht="13.5" customHeight="1">
      <c r="A286" s="49" t="s">
        <v>1860</v>
      </c>
      <c r="B286" s="50" t="s">
        <v>183</v>
      </c>
      <c r="C286" s="50" t="s">
        <v>3773</v>
      </c>
      <c r="D286" s="50" t="s">
        <v>2754</v>
      </c>
      <c r="E286" s="51">
        <v>514.0</v>
      </c>
      <c r="F286" s="52"/>
      <c r="G286" s="53"/>
      <c r="H286" s="55"/>
      <c r="I286" s="55"/>
      <c r="J286" s="53"/>
      <c r="K286" s="53"/>
      <c r="L286" s="55"/>
      <c r="M286" s="53"/>
      <c r="N286" s="74"/>
      <c r="O286" s="57" t="str">
        <f t="shared" si="1"/>
        <v>SOBRESTOCK — 41.1 meses de cobertura</v>
      </c>
      <c r="P286" s="58">
        <f t="shared" si="2"/>
        <v>514</v>
      </c>
      <c r="Q286" s="1"/>
      <c r="R286" s="1"/>
      <c r="S286" s="1"/>
      <c r="T286" s="1"/>
      <c r="U286" s="1"/>
      <c r="V286" s="1"/>
      <c r="W286" s="1"/>
      <c r="X286" s="60">
        <f>IFERROR(VLOOKUP($A286,Ventas!$A$2:$L$5000,12,FALSE()),"")</f>
        <v>12.5</v>
      </c>
      <c r="Y286" s="60">
        <f t="shared" si="3"/>
        <v>50</v>
      </c>
      <c r="Z286" s="61">
        <f t="shared" si="4"/>
        <v>41.1</v>
      </c>
      <c r="AA286" s="60">
        <f t="shared" si="5"/>
        <v>-464</v>
      </c>
      <c r="AB286" s="62" t="str">
        <f t="shared" si="6"/>
        <v/>
      </c>
      <c r="AC286" s="62" t="str">
        <f t="array" ref="AC286">IF(AH286&lt;&gt;"COMPRAR","",IF(MAX(INDEX(Ventas!$G$2:$G$5000,MATCH($A286,Ventas!$A$2:$A$5000,0)),INDEX(Ventas!$H$2:$H$5000,MATCH($A286,Ventas!$A$2:$A$5000,0)),INDEX(Ventas!$I$2:$I$5000,MATCH($A286,Ventas!$A$2:$A$5000,0)),INDEX(Ventas!$J$2:$J$5000,MATCH($A286,Ventas!$A$2:$A$5000,0)))&gt;0.5*AF286*4,"1 mes = "&amp;TEXT(MAX(INDEX(Ventas!$G$2:$G$5000,MATCH($A286,Ventas!$A$2:$A$5000,0)),INDEX(Ventas!$H$2:$H$5000,MATCH($A286,Ventas!$A$2:$A$5000,0)),INDEX(Ventas!$I$2:$I$5000,MATCH($A286,Ventas!$A$2:$A$5000,0)),INDEX(Ventas!$J$2:$J$5000,MATCH($A286,Ventas!$A$2:$A$5000,0)))/(AF286*4),"0%")&amp;" de 4 meses",""))</f>
        <v/>
      </c>
      <c r="AD286" s="62" t="str">
        <f t="shared" si="7"/>
        <v/>
      </c>
      <c r="AE286" s="62" t="str">
        <f t="array" ref="AE286">IF(X286="","",IF(AND(E286=0,AVERAGE(INDEX(Ventas!$C$2:$I$5000,MATCH($A286,Ventas!$A$2:$A$5000,0),0))&gt;0,INDEX(Ventas!$J$2:$J$5000,MATCH($A286,Ventas!$A$2:$A$5000,0))&lt;0.5*AVERAGE(INDEX(Ventas!$C$2:$I$5000,MATCH($A286,Ventas!$A$2:$A$5000,0),0))),"SÍ — stock 0 y Sep cayó (prom Feb-Ago "&amp;TEXT(AVERAGE(INDEX(Ventas!$C$2:$I$5000,MATCH($A286,Ventas!$A$2:$A$5000,0),0)),"#,##0")&amp;")",""))</f>
        <v/>
      </c>
      <c r="AF286" s="60">
        <f t="array" ref="AF286">IF(X286="","",IF(AE286&lt;&gt;"",MAX(X286,AVERAGE(INDEX(Ventas!$C$2:$I$5000,MATCH($A286,Ventas!$A$2:$A$5000,0),0))),X286))</f>
        <v>12.5</v>
      </c>
      <c r="AG286" s="60">
        <f t="shared" si="8"/>
        <v>-464</v>
      </c>
      <c r="AH286" s="63" t="str">
        <f t="shared" si="9"/>
        <v>SOBRESTOCK</v>
      </c>
    </row>
    <row r="287" ht="13.5" customHeight="1">
      <c r="A287" s="64" t="s">
        <v>1839</v>
      </c>
      <c r="B287" s="65" t="s">
        <v>183</v>
      </c>
      <c r="C287" s="65" t="s">
        <v>3774</v>
      </c>
      <c r="D287" s="65" t="s">
        <v>1329</v>
      </c>
      <c r="E287" s="51">
        <v>632.0</v>
      </c>
      <c r="F287" s="66"/>
      <c r="G287" s="53"/>
      <c r="H287" s="55"/>
      <c r="I287" s="55"/>
      <c r="J287" s="53"/>
      <c r="K287" s="53"/>
      <c r="L287" s="55"/>
      <c r="M287" s="53"/>
      <c r="N287" s="73"/>
      <c r="O287" s="57" t="str">
        <f t="shared" si="1"/>
        <v>SOBRESTOCK — 15.0 meses de cobertura</v>
      </c>
      <c r="P287" s="58">
        <f t="shared" si="2"/>
        <v>632</v>
      </c>
      <c r="Q287" s="1"/>
      <c r="R287" s="1"/>
      <c r="S287" s="1"/>
      <c r="T287" s="1"/>
      <c r="U287" s="1"/>
      <c r="V287" s="1"/>
      <c r="W287" s="1"/>
      <c r="X287" s="60">
        <f>IFERROR(VLOOKUP($A287,Ventas!$A$2:$L$5000,12,FALSE()),"")</f>
        <v>42.25</v>
      </c>
      <c r="Y287" s="60">
        <f t="shared" si="3"/>
        <v>169</v>
      </c>
      <c r="Z287" s="61">
        <f t="shared" si="4"/>
        <v>15</v>
      </c>
      <c r="AA287" s="60">
        <f t="shared" si="5"/>
        <v>-463</v>
      </c>
      <c r="AB287" s="62" t="str">
        <f t="shared" si="6"/>
        <v/>
      </c>
      <c r="AC287" s="62" t="str">
        <f t="array" ref="AC287">IF(AH287&lt;&gt;"COMPRAR","",IF(MAX(INDEX(Ventas!$G$2:$G$5000,MATCH($A287,Ventas!$A$2:$A$5000,0)),INDEX(Ventas!$H$2:$H$5000,MATCH($A287,Ventas!$A$2:$A$5000,0)),INDEX(Ventas!$I$2:$I$5000,MATCH($A287,Ventas!$A$2:$A$5000,0)),INDEX(Ventas!$J$2:$J$5000,MATCH($A287,Ventas!$A$2:$A$5000,0)))&gt;0.5*AF287*4,"1 mes = "&amp;TEXT(MAX(INDEX(Ventas!$G$2:$G$5000,MATCH($A287,Ventas!$A$2:$A$5000,0)),INDEX(Ventas!$H$2:$H$5000,MATCH($A287,Ventas!$A$2:$A$5000,0)),INDEX(Ventas!$I$2:$I$5000,MATCH($A287,Ventas!$A$2:$A$5000,0)),INDEX(Ventas!$J$2:$J$5000,MATCH($A287,Ventas!$A$2:$A$5000,0)))/(AF287*4),"0%")&amp;" de 4 meses",""))</f>
        <v/>
      </c>
      <c r="AD287" s="62" t="str">
        <f t="shared" si="7"/>
        <v/>
      </c>
      <c r="AE287" s="62" t="str">
        <f t="array" ref="AE287">IF(X287="","",IF(AND(E287=0,AVERAGE(INDEX(Ventas!$C$2:$I$5000,MATCH($A287,Ventas!$A$2:$A$5000,0),0))&gt;0,INDEX(Ventas!$J$2:$J$5000,MATCH($A287,Ventas!$A$2:$A$5000,0))&lt;0.5*AVERAGE(INDEX(Ventas!$C$2:$I$5000,MATCH($A287,Ventas!$A$2:$A$5000,0),0))),"SÍ — stock 0 y Sep cayó (prom Feb-Ago "&amp;TEXT(AVERAGE(INDEX(Ventas!$C$2:$I$5000,MATCH($A287,Ventas!$A$2:$A$5000,0),0)),"#,##0")&amp;")",""))</f>
        <v/>
      </c>
      <c r="AF287" s="60">
        <f t="array" ref="AF287">IF(X287="","",IF(AE287&lt;&gt;"",MAX(X287,AVERAGE(INDEX(Ventas!$C$2:$I$5000,MATCH($A287,Ventas!$A$2:$A$5000,0),0))),X287))</f>
        <v>42.25</v>
      </c>
      <c r="AG287" s="60">
        <f t="shared" si="8"/>
        <v>-463</v>
      </c>
      <c r="AH287" s="63" t="str">
        <f t="shared" si="9"/>
        <v>SOBRESTOCK</v>
      </c>
    </row>
    <row r="288" ht="13.5" customHeight="1">
      <c r="A288" s="49" t="s">
        <v>1845</v>
      </c>
      <c r="B288" s="50" t="s">
        <v>183</v>
      </c>
      <c r="C288" s="50" t="s">
        <v>3774</v>
      </c>
      <c r="D288" s="50" t="s">
        <v>3743</v>
      </c>
      <c r="E288" s="51">
        <v>270.0</v>
      </c>
      <c r="F288" s="52"/>
      <c r="G288" s="53"/>
      <c r="H288" s="55"/>
      <c r="I288" s="55"/>
      <c r="J288" s="53"/>
      <c r="K288" s="53"/>
      <c r="L288" s="55"/>
      <c r="M288" s="53"/>
      <c r="N288" s="74"/>
      <c r="O288" s="57" t="str">
        <f t="shared" si="1"/>
        <v>SOBRESTOCK — 18.0 meses de cobertura</v>
      </c>
      <c r="P288" s="58">
        <f t="shared" si="2"/>
        <v>270</v>
      </c>
      <c r="Q288" s="1"/>
      <c r="R288" s="1"/>
      <c r="S288" s="1"/>
      <c r="T288" s="1"/>
      <c r="U288" s="1"/>
      <c r="V288" s="1"/>
      <c r="W288" s="1"/>
      <c r="X288" s="60">
        <f>IFERROR(VLOOKUP($A288,Ventas!$A$2:$L$5000,12,FALSE()),"")</f>
        <v>15</v>
      </c>
      <c r="Y288" s="60">
        <f t="shared" si="3"/>
        <v>60</v>
      </c>
      <c r="Z288" s="61">
        <f t="shared" si="4"/>
        <v>18</v>
      </c>
      <c r="AA288" s="60">
        <f t="shared" si="5"/>
        <v>-210</v>
      </c>
      <c r="AB288" s="62" t="str">
        <f t="shared" si="6"/>
        <v/>
      </c>
      <c r="AC288" s="62" t="str">
        <f t="array" ref="AC288">IF(AH288&lt;&gt;"COMPRAR","",IF(MAX(INDEX(Ventas!$G$2:$G$5000,MATCH($A288,Ventas!$A$2:$A$5000,0)),INDEX(Ventas!$H$2:$H$5000,MATCH($A288,Ventas!$A$2:$A$5000,0)),INDEX(Ventas!$I$2:$I$5000,MATCH($A288,Ventas!$A$2:$A$5000,0)),INDEX(Ventas!$J$2:$J$5000,MATCH($A288,Ventas!$A$2:$A$5000,0)))&gt;0.5*AF288*4,"1 mes = "&amp;TEXT(MAX(INDEX(Ventas!$G$2:$G$5000,MATCH($A288,Ventas!$A$2:$A$5000,0)),INDEX(Ventas!$H$2:$H$5000,MATCH($A288,Ventas!$A$2:$A$5000,0)),INDEX(Ventas!$I$2:$I$5000,MATCH($A288,Ventas!$A$2:$A$5000,0)),INDEX(Ventas!$J$2:$J$5000,MATCH($A288,Ventas!$A$2:$A$5000,0)))/(AF288*4),"0%")&amp;" de 4 meses",""))</f>
        <v/>
      </c>
      <c r="AD288" s="62" t="str">
        <f t="shared" si="7"/>
        <v/>
      </c>
      <c r="AE288" s="62" t="str">
        <f t="array" ref="AE288">IF(X288="","",IF(AND(E288=0,AVERAGE(INDEX(Ventas!$C$2:$I$5000,MATCH($A288,Ventas!$A$2:$A$5000,0),0))&gt;0,INDEX(Ventas!$J$2:$J$5000,MATCH($A288,Ventas!$A$2:$A$5000,0))&lt;0.5*AVERAGE(INDEX(Ventas!$C$2:$I$5000,MATCH($A288,Ventas!$A$2:$A$5000,0),0))),"SÍ — stock 0 y Sep cayó (prom Feb-Ago "&amp;TEXT(AVERAGE(INDEX(Ventas!$C$2:$I$5000,MATCH($A288,Ventas!$A$2:$A$5000,0),0)),"#,##0")&amp;")",""))</f>
        <v/>
      </c>
      <c r="AF288" s="60">
        <f t="array" ref="AF288">IF(X288="","",IF(AE288&lt;&gt;"",MAX(X288,AVERAGE(INDEX(Ventas!$C$2:$I$5000,MATCH($A288,Ventas!$A$2:$A$5000,0),0))),X288))</f>
        <v>15</v>
      </c>
      <c r="AG288" s="60">
        <f t="shared" si="8"/>
        <v>-210</v>
      </c>
      <c r="AH288" s="63" t="str">
        <f t="shared" si="9"/>
        <v>SOBRESTOCK</v>
      </c>
    </row>
    <row r="289" ht="13.5" customHeight="1">
      <c r="A289" s="64" t="s">
        <v>1843</v>
      </c>
      <c r="B289" s="65" t="s">
        <v>183</v>
      </c>
      <c r="C289" s="65" t="s">
        <v>3774</v>
      </c>
      <c r="D289" s="65" t="s">
        <v>3756</v>
      </c>
      <c r="E289" s="51">
        <v>480.0</v>
      </c>
      <c r="F289" s="66"/>
      <c r="G289" s="53"/>
      <c r="H289" s="55"/>
      <c r="I289" s="55"/>
      <c r="J289" s="53"/>
      <c r="K289" s="53"/>
      <c r="L289" s="55"/>
      <c r="M289" s="53"/>
      <c r="N289" s="73"/>
      <c r="O289" s="57" t="str">
        <f t="shared" si="1"/>
        <v>SOBRESTOCK — 11.7 meses de cobertura</v>
      </c>
      <c r="P289" s="58">
        <f t="shared" si="2"/>
        <v>480</v>
      </c>
      <c r="Q289" s="1"/>
      <c r="R289" s="1"/>
      <c r="S289" s="1"/>
      <c r="T289" s="1"/>
      <c r="U289" s="1"/>
      <c r="V289" s="1"/>
      <c r="W289" s="1"/>
      <c r="X289" s="60">
        <f>IFERROR(VLOOKUP($A289,Ventas!$A$2:$L$5000,12,FALSE()),"")</f>
        <v>40.875</v>
      </c>
      <c r="Y289" s="60">
        <f t="shared" si="3"/>
        <v>164</v>
      </c>
      <c r="Z289" s="61">
        <f t="shared" si="4"/>
        <v>11.7</v>
      </c>
      <c r="AA289" s="60">
        <f t="shared" si="5"/>
        <v>-316</v>
      </c>
      <c r="AB289" s="62" t="str">
        <f t="shared" si="6"/>
        <v/>
      </c>
      <c r="AC289" s="62" t="str">
        <f t="array" ref="AC289">IF(AH289&lt;&gt;"COMPRAR","",IF(MAX(INDEX(Ventas!$G$2:$G$5000,MATCH($A289,Ventas!$A$2:$A$5000,0)),INDEX(Ventas!$H$2:$H$5000,MATCH($A289,Ventas!$A$2:$A$5000,0)),INDEX(Ventas!$I$2:$I$5000,MATCH($A289,Ventas!$A$2:$A$5000,0)),INDEX(Ventas!$J$2:$J$5000,MATCH($A289,Ventas!$A$2:$A$5000,0)))&gt;0.5*AF289*4,"1 mes = "&amp;TEXT(MAX(INDEX(Ventas!$G$2:$G$5000,MATCH($A289,Ventas!$A$2:$A$5000,0)),INDEX(Ventas!$H$2:$H$5000,MATCH($A289,Ventas!$A$2:$A$5000,0)),INDEX(Ventas!$I$2:$I$5000,MATCH($A289,Ventas!$A$2:$A$5000,0)),INDEX(Ventas!$J$2:$J$5000,MATCH($A289,Ventas!$A$2:$A$5000,0)))/(AF289*4),"0%")&amp;" de 4 meses",""))</f>
        <v/>
      </c>
      <c r="AD289" s="62" t="str">
        <f t="shared" si="7"/>
        <v/>
      </c>
      <c r="AE289" s="62" t="str">
        <f t="array" ref="AE289">IF(X289="","",IF(AND(E289=0,AVERAGE(INDEX(Ventas!$C$2:$I$5000,MATCH($A289,Ventas!$A$2:$A$5000,0),0))&gt;0,INDEX(Ventas!$J$2:$J$5000,MATCH($A289,Ventas!$A$2:$A$5000,0))&lt;0.5*AVERAGE(INDEX(Ventas!$C$2:$I$5000,MATCH($A289,Ventas!$A$2:$A$5000,0),0))),"SÍ — stock 0 y Sep cayó (prom Feb-Ago "&amp;TEXT(AVERAGE(INDEX(Ventas!$C$2:$I$5000,MATCH($A289,Ventas!$A$2:$A$5000,0),0)),"#,##0")&amp;")",""))</f>
        <v/>
      </c>
      <c r="AF289" s="60">
        <f t="array" ref="AF289">IF(X289="","",IF(AE289&lt;&gt;"",MAX(X289,AVERAGE(INDEX(Ventas!$C$2:$I$5000,MATCH($A289,Ventas!$A$2:$A$5000,0),0))),X289))</f>
        <v>40.875</v>
      </c>
      <c r="AG289" s="60">
        <f t="shared" si="8"/>
        <v>-316</v>
      </c>
      <c r="AH289" s="63" t="str">
        <f t="shared" si="9"/>
        <v>SOBRESTOCK</v>
      </c>
    </row>
    <row r="290" ht="13.5" customHeight="1">
      <c r="A290" s="49" t="s">
        <v>1847</v>
      </c>
      <c r="B290" s="50" t="s">
        <v>183</v>
      </c>
      <c r="C290" s="50" t="s">
        <v>3774</v>
      </c>
      <c r="D290" s="50" t="s">
        <v>3757</v>
      </c>
      <c r="E290" s="51">
        <v>408.0</v>
      </c>
      <c r="F290" s="52"/>
      <c r="G290" s="53"/>
      <c r="H290" s="55"/>
      <c r="I290" s="55"/>
      <c r="J290" s="53"/>
      <c r="K290" s="53"/>
      <c r="L290" s="55"/>
      <c r="M290" s="53"/>
      <c r="N290" s="74"/>
      <c r="O290" s="57" t="str">
        <f t="shared" si="1"/>
        <v>SOBRESTOCK — 27.2 meses de cobertura</v>
      </c>
      <c r="P290" s="58">
        <f t="shared" si="2"/>
        <v>408</v>
      </c>
      <c r="Q290" s="1"/>
      <c r="R290" s="1"/>
      <c r="S290" s="1"/>
      <c r="T290" s="1"/>
      <c r="U290" s="1"/>
      <c r="V290" s="1"/>
      <c r="W290" s="1"/>
      <c r="X290" s="60">
        <f>IFERROR(VLOOKUP($A290,Ventas!$A$2:$L$5000,12,FALSE()),"")</f>
        <v>15</v>
      </c>
      <c r="Y290" s="60">
        <f t="shared" si="3"/>
        <v>60</v>
      </c>
      <c r="Z290" s="61">
        <f t="shared" si="4"/>
        <v>27.2</v>
      </c>
      <c r="AA290" s="60">
        <f t="shared" si="5"/>
        <v>-348</v>
      </c>
      <c r="AB290" s="62" t="str">
        <f t="shared" si="6"/>
        <v/>
      </c>
      <c r="AC290" s="62" t="str">
        <f t="array" ref="AC290">IF(AH290&lt;&gt;"COMPRAR","",IF(MAX(INDEX(Ventas!$G$2:$G$5000,MATCH($A290,Ventas!$A$2:$A$5000,0)),INDEX(Ventas!$H$2:$H$5000,MATCH($A290,Ventas!$A$2:$A$5000,0)),INDEX(Ventas!$I$2:$I$5000,MATCH($A290,Ventas!$A$2:$A$5000,0)),INDEX(Ventas!$J$2:$J$5000,MATCH($A290,Ventas!$A$2:$A$5000,0)))&gt;0.5*AF290*4,"1 mes = "&amp;TEXT(MAX(INDEX(Ventas!$G$2:$G$5000,MATCH($A290,Ventas!$A$2:$A$5000,0)),INDEX(Ventas!$H$2:$H$5000,MATCH($A290,Ventas!$A$2:$A$5000,0)),INDEX(Ventas!$I$2:$I$5000,MATCH($A290,Ventas!$A$2:$A$5000,0)),INDEX(Ventas!$J$2:$J$5000,MATCH($A290,Ventas!$A$2:$A$5000,0)))/(AF290*4),"0%")&amp;" de 4 meses",""))</f>
        <v/>
      </c>
      <c r="AD290" s="62" t="str">
        <f t="shared" si="7"/>
        <v/>
      </c>
      <c r="AE290" s="62" t="str">
        <f t="array" ref="AE290">IF(X290="","",IF(AND(E290=0,AVERAGE(INDEX(Ventas!$C$2:$I$5000,MATCH($A290,Ventas!$A$2:$A$5000,0),0))&gt;0,INDEX(Ventas!$J$2:$J$5000,MATCH($A290,Ventas!$A$2:$A$5000,0))&lt;0.5*AVERAGE(INDEX(Ventas!$C$2:$I$5000,MATCH($A290,Ventas!$A$2:$A$5000,0),0))),"SÍ — stock 0 y Sep cayó (prom Feb-Ago "&amp;TEXT(AVERAGE(INDEX(Ventas!$C$2:$I$5000,MATCH($A290,Ventas!$A$2:$A$5000,0),0)),"#,##0")&amp;")",""))</f>
        <v/>
      </c>
      <c r="AF290" s="60">
        <f t="array" ref="AF290">IF(X290="","",IF(AE290&lt;&gt;"",MAX(X290,AVERAGE(INDEX(Ventas!$C$2:$I$5000,MATCH($A290,Ventas!$A$2:$A$5000,0),0))),X290))</f>
        <v>15</v>
      </c>
      <c r="AG290" s="60">
        <f t="shared" si="8"/>
        <v>-348</v>
      </c>
      <c r="AH290" s="63" t="str">
        <f t="shared" si="9"/>
        <v>SOBRESTOCK</v>
      </c>
    </row>
    <row r="291" ht="13.5" customHeight="1">
      <c r="A291" s="64" t="s">
        <v>1841</v>
      </c>
      <c r="B291" s="65" t="s">
        <v>183</v>
      </c>
      <c r="C291" s="65" t="s">
        <v>3774</v>
      </c>
      <c r="D291" s="65" t="s">
        <v>3758</v>
      </c>
      <c r="E291" s="51">
        <v>120.0</v>
      </c>
      <c r="F291" s="66"/>
      <c r="G291" s="53"/>
      <c r="H291" s="55"/>
      <c r="I291" s="55"/>
      <c r="J291" s="53"/>
      <c r="K291" s="53"/>
      <c r="L291" s="55"/>
      <c r="M291" s="53"/>
      <c r="N291" s="73"/>
      <c r="O291" s="57" t="str">
        <f t="shared" si="1"/>
        <v>SOBRESTOCK — 8.3 meses de cobertura</v>
      </c>
      <c r="P291" s="58">
        <f t="shared" si="2"/>
        <v>120</v>
      </c>
      <c r="Q291" s="1"/>
      <c r="R291" s="1"/>
      <c r="S291" s="1"/>
      <c r="T291" s="1"/>
      <c r="U291" s="1"/>
      <c r="V291" s="1"/>
      <c r="W291" s="1"/>
      <c r="X291" s="60">
        <f>IFERROR(VLOOKUP($A291,Ventas!$A$2:$L$5000,12,FALSE()),"")</f>
        <v>14.375</v>
      </c>
      <c r="Y291" s="60">
        <f t="shared" si="3"/>
        <v>58</v>
      </c>
      <c r="Z291" s="61">
        <f t="shared" si="4"/>
        <v>8.3</v>
      </c>
      <c r="AA291" s="60">
        <f t="shared" si="5"/>
        <v>-62</v>
      </c>
      <c r="AB291" s="62" t="str">
        <f t="shared" si="6"/>
        <v/>
      </c>
      <c r="AC291" s="62" t="str">
        <f t="array" ref="AC291">IF(AH291&lt;&gt;"COMPRAR","",IF(MAX(INDEX(Ventas!$G$2:$G$5000,MATCH($A291,Ventas!$A$2:$A$5000,0)),INDEX(Ventas!$H$2:$H$5000,MATCH($A291,Ventas!$A$2:$A$5000,0)),INDEX(Ventas!$I$2:$I$5000,MATCH($A291,Ventas!$A$2:$A$5000,0)),INDEX(Ventas!$J$2:$J$5000,MATCH($A291,Ventas!$A$2:$A$5000,0)))&gt;0.5*AF291*4,"1 mes = "&amp;TEXT(MAX(INDEX(Ventas!$G$2:$G$5000,MATCH($A291,Ventas!$A$2:$A$5000,0)),INDEX(Ventas!$H$2:$H$5000,MATCH($A291,Ventas!$A$2:$A$5000,0)),INDEX(Ventas!$I$2:$I$5000,MATCH($A291,Ventas!$A$2:$A$5000,0)),INDEX(Ventas!$J$2:$J$5000,MATCH($A291,Ventas!$A$2:$A$5000,0)))/(AF291*4),"0%")&amp;" de 4 meses",""))</f>
        <v/>
      </c>
      <c r="AD291" s="62" t="str">
        <f t="shared" si="7"/>
        <v/>
      </c>
      <c r="AE291" s="62" t="str">
        <f t="array" ref="AE291">IF(X291="","",IF(AND(E291=0,AVERAGE(INDEX(Ventas!$C$2:$I$5000,MATCH($A291,Ventas!$A$2:$A$5000,0),0))&gt;0,INDEX(Ventas!$J$2:$J$5000,MATCH($A291,Ventas!$A$2:$A$5000,0))&lt;0.5*AVERAGE(INDEX(Ventas!$C$2:$I$5000,MATCH($A291,Ventas!$A$2:$A$5000,0),0))),"SÍ — stock 0 y Sep cayó (prom Feb-Ago "&amp;TEXT(AVERAGE(INDEX(Ventas!$C$2:$I$5000,MATCH($A291,Ventas!$A$2:$A$5000,0),0)),"#,##0")&amp;")",""))</f>
        <v/>
      </c>
      <c r="AF291" s="60">
        <f t="array" ref="AF291">IF(X291="","",IF(AE291&lt;&gt;"",MAX(X291,AVERAGE(INDEX(Ventas!$C$2:$I$5000,MATCH($A291,Ventas!$A$2:$A$5000,0),0))),X291))</f>
        <v>14.375</v>
      </c>
      <c r="AG291" s="60">
        <f t="shared" si="8"/>
        <v>-62</v>
      </c>
      <c r="AH291" s="63" t="str">
        <f t="shared" si="9"/>
        <v>SOBRESTOCK</v>
      </c>
    </row>
    <row r="292" ht="13.5" customHeight="1">
      <c r="A292" s="49" t="s">
        <v>1470</v>
      </c>
      <c r="B292" s="50" t="s">
        <v>183</v>
      </c>
      <c r="C292" s="50" t="s">
        <v>3775</v>
      </c>
      <c r="D292" s="50" t="s">
        <v>3776</v>
      </c>
      <c r="E292" s="51">
        <v>400.0</v>
      </c>
      <c r="F292" s="52"/>
      <c r="G292" s="53"/>
      <c r="H292" s="55"/>
      <c r="I292" s="55"/>
      <c r="J292" s="53"/>
      <c r="K292" s="53"/>
      <c r="L292" s="55"/>
      <c r="M292" s="53"/>
      <c r="N292" s="74"/>
      <c r="O292" s="57" t="str">
        <f t="shared" si="1"/>
        <v>OK — cubierto (4.8 meses)</v>
      </c>
      <c r="P292" s="58">
        <f t="shared" si="2"/>
        <v>400</v>
      </c>
      <c r="Q292" s="1"/>
      <c r="R292" s="1"/>
      <c r="S292" s="1"/>
      <c r="T292" s="1"/>
      <c r="U292" s="1"/>
      <c r="V292" s="1"/>
      <c r="W292" s="1"/>
      <c r="X292" s="60">
        <f>IFERROR(VLOOKUP($A292,Ventas!$A$2:$L$5000,12,FALSE()),"")</f>
        <v>82.75</v>
      </c>
      <c r="Y292" s="60">
        <f t="shared" si="3"/>
        <v>331</v>
      </c>
      <c r="Z292" s="61">
        <f t="shared" si="4"/>
        <v>4.8</v>
      </c>
      <c r="AA292" s="60">
        <f t="shared" si="5"/>
        <v>-69</v>
      </c>
      <c r="AB292" s="62" t="str">
        <f t="shared" si="6"/>
        <v/>
      </c>
      <c r="AC292" s="62" t="str">
        <f t="array" ref="AC292">IF(AH292&lt;&gt;"COMPRAR","",IF(MAX(INDEX(Ventas!$G$2:$G$5000,MATCH($A292,Ventas!$A$2:$A$5000,0)),INDEX(Ventas!$H$2:$H$5000,MATCH($A292,Ventas!$A$2:$A$5000,0)),INDEX(Ventas!$I$2:$I$5000,MATCH($A292,Ventas!$A$2:$A$5000,0)),INDEX(Ventas!$J$2:$J$5000,MATCH($A292,Ventas!$A$2:$A$5000,0)))&gt;0.5*AF292*4,"1 mes = "&amp;TEXT(MAX(INDEX(Ventas!$G$2:$G$5000,MATCH($A292,Ventas!$A$2:$A$5000,0)),INDEX(Ventas!$H$2:$H$5000,MATCH($A292,Ventas!$A$2:$A$5000,0)),INDEX(Ventas!$I$2:$I$5000,MATCH($A292,Ventas!$A$2:$A$5000,0)),INDEX(Ventas!$J$2:$J$5000,MATCH($A292,Ventas!$A$2:$A$5000,0)))/(AF292*4),"0%")&amp;" de 4 meses",""))</f>
        <v/>
      </c>
      <c r="AD292" s="62" t="str">
        <f t="shared" si="7"/>
        <v/>
      </c>
      <c r="AE292" s="62" t="str">
        <f t="array" ref="AE292">IF(X292="","",IF(AND(E292=0,AVERAGE(INDEX(Ventas!$C$2:$I$5000,MATCH($A292,Ventas!$A$2:$A$5000,0),0))&gt;0,INDEX(Ventas!$J$2:$J$5000,MATCH($A292,Ventas!$A$2:$A$5000,0))&lt;0.5*AVERAGE(INDEX(Ventas!$C$2:$I$5000,MATCH($A292,Ventas!$A$2:$A$5000,0),0))),"SÍ — stock 0 y Sep cayó (prom Feb-Ago "&amp;TEXT(AVERAGE(INDEX(Ventas!$C$2:$I$5000,MATCH($A292,Ventas!$A$2:$A$5000,0),0)),"#,##0")&amp;")",""))</f>
        <v/>
      </c>
      <c r="AF292" s="60">
        <f t="array" ref="AF292">IF(X292="","",IF(AE292&lt;&gt;"",MAX(X292,AVERAGE(INDEX(Ventas!$C$2:$I$5000,MATCH($A292,Ventas!$A$2:$A$5000,0),0))),X292))</f>
        <v>82.75</v>
      </c>
      <c r="AG292" s="60">
        <f t="shared" si="8"/>
        <v>-69</v>
      </c>
      <c r="AH292" s="63" t="str">
        <f t="shared" si="9"/>
        <v>OK</v>
      </c>
    </row>
    <row r="293" ht="13.5" customHeight="1">
      <c r="A293" s="64" t="s">
        <v>1472</v>
      </c>
      <c r="B293" s="65" t="s">
        <v>183</v>
      </c>
      <c r="C293" s="65" t="s">
        <v>3775</v>
      </c>
      <c r="D293" s="65" t="s">
        <v>3743</v>
      </c>
      <c r="E293" s="51">
        <v>460.0</v>
      </c>
      <c r="F293" s="66"/>
      <c r="G293" s="53"/>
      <c r="H293" s="55"/>
      <c r="I293" s="55"/>
      <c r="J293" s="53"/>
      <c r="K293" s="53"/>
      <c r="L293" s="55"/>
      <c r="M293" s="53"/>
      <c r="N293" s="73"/>
      <c r="O293" s="57" t="str">
        <f t="shared" si="1"/>
        <v>OK — cubierto (6.1 meses)</v>
      </c>
      <c r="P293" s="58">
        <f t="shared" si="2"/>
        <v>460</v>
      </c>
      <c r="Q293" s="1"/>
      <c r="R293" s="1"/>
      <c r="S293" s="1"/>
      <c r="T293" s="1"/>
      <c r="U293" s="1"/>
      <c r="V293" s="1"/>
      <c r="W293" s="1"/>
      <c r="X293" s="60">
        <f>IFERROR(VLOOKUP($A293,Ventas!$A$2:$L$5000,12,FALSE()),"")</f>
        <v>75</v>
      </c>
      <c r="Y293" s="60">
        <f t="shared" si="3"/>
        <v>300</v>
      </c>
      <c r="Z293" s="61">
        <f t="shared" si="4"/>
        <v>6.1</v>
      </c>
      <c r="AA293" s="60">
        <f t="shared" si="5"/>
        <v>-160</v>
      </c>
      <c r="AB293" s="62" t="str">
        <f t="shared" si="6"/>
        <v/>
      </c>
      <c r="AC293" s="62" t="str">
        <f t="array" ref="AC293">IF(AH293&lt;&gt;"COMPRAR","",IF(MAX(INDEX(Ventas!$G$2:$G$5000,MATCH($A293,Ventas!$A$2:$A$5000,0)),INDEX(Ventas!$H$2:$H$5000,MATCH($A293,Ventas!$A$2:$A$5000,0)),INDEX(Ventas!$I$2:$I$5000,MATCH($A293,Ventas!$A$2:$A$5000,0)),INDEX(Ventas!$J$2:$J$5000,MATCH($A293,Ventas!$A$2:$A$5000,0)))&gt;0.5*AF293*4,"1 mes = "&amp;TEXT(MAX(INDEX(Ventas!$G$2:$G$5000,MATCH($A293,Ventas!$A$2:$A$5000,0)),INDEX(Ventas!$H$2:$H$5000,MATCH($A293,Ventas!$A$2:$A$5000,0)),INDEX(Ventas!$I$2:$I$5000,MATCH($A293,Ventas!$A$2:$A$5000,0)),INDEX(Ventas!$J$2:$J$5000,MATCH($A293,Ventas!$A$2:$A$5000,0)))/(AF293*4),"0%")&amp;" de 4 meses",""))</f>
        <v/>
      </c>
      <c r="AD293" s="62" t="str">
        <f t="shared" si="7"/>
        <v/>
      </c>
      <c r="AE293" s="62" t="str">
        <f t="array" ref="AE293">IF(X293="","",IF(AND(E293=0,AVERAGE(INDEX(Ventas!$C$2:$I$5000,MATCH($A293,Ventas!$A$2:$A$5000,0),0))&gt;0,INDEX(Ventas!$J$2:$J$5000,MATCH($A293,Ventas!$A$2:$A$5000,0))&lt;0.5*AVERAGE(INDEX(Ventas!$C$2:$I$5000,MATCH($A293,Ventas!$A$2:$A$5000,0),0))),"SÍ — stock 0 y Sep cayó (prom Feb-Ago "&amp;TEXT(AVERAGE(INDEX(Ventas!$C$2:$I$5000,MATCH($A293,Ventas!$A$2:$A$5000,0),0)),"#,##0")&amp;")",""))</f>
        <v/>
      </c>
      <c r="AF293" s="60">
        <f t="array" ref="AF293">IF(X293="","",IF(AE293&lt;&gt;"",MAX(X293,AVERAGE(INDEX(Ventas!$C$2:$I$5000,MATCH($A293,Ventas!$A$2:$A$5000,0),0))),X293))</f>
        <v>75</v>
      </c>
      <c r="AG293" s="60">
        <f t="shared" si="8"/>
        <v>-160</v>
      </c>
      <c r="AH293" s="63" t="str">
        <f t="shared" si="9"/>
        <v>OK</v>
      </c>
    </row>
    <row r="294" ht="13.5" customHeight="1">
      <c r="A294" s="49" t="s">
        <v>1474</v>
      </c>
      <c r="B294" s="50" t="s">
        <v>183</v>
      </c>
      <c r="C294" s="50" t="s">
        <v>3775</v>
      </c>
      <c r="D294" s="50" t="s">
        <v>3757</v>
      </c>
      <c r="E294" s="51">
        <v>261.0</v>
      </c>
      <c r="F294" s="52"/>
      <c r="G294" s="53"/>
      <c r="H294" s="55"/>
      <c r="I294" s="55"/>
      <c r="J294" s="53"/>
      <c r="K294" s="53"/>
      <c r="L294" s="55"/>
      <c r="M294" s="53"/>
      <c r="N294" s="74"/>
      <c r="O294" s="57" t="str">
        <f t="shared" si="1"/>
        <v>OK — cubierto (7.0 meses)</v>
      </c>
      <c r="P294" s="58">
        <f t="shared" si="2"/>
        <v>261</v>
      </c>
      <c r="Q294" s="1"/>
      <c r="R294" s="1"/>
      <c r="S294" s="1"/>
      <c r="T294" s="1"/>
      <c r="U294" s="1"/>
      <c r="V294" s="1"/>
      <c r="W294" s="1"/>
      <c r="X294" s="60">
        <f>IFERROR(VLOOKUP($A294,Ventas!$A$2:$L$5000,12,FALSE()),"")</f>
        <v>37.5</v>
      </c>
      <c r="Y294" s="60">
        <f t="shared" si="3"/>
        <v>150</v>
      </c>
      <c r="Z294" s="61">
        <f t="shared" si="4"/>
        <v>7</v>
      </c>
      <c r="AA294" s="60">
        <f t="shared" si="5"/>
        <v>-111</v>
      </c>
      <c r="AB294" s="62" t="str">
        <f t="shared" si="6"/>
        <v/>
      </c>
      <c r="AC294" s="62" t="str">
        <f t="array" ref="AC294">IF(AH294&lt;&gt;"COMPRAR","",IF(MAX(INDEX(Ventas!$G$2:$G$5000,MATCH($A294,Ventas!$A$2:$A$5000,0)),INDEX(Ventas!$H$2:$H$5000,MATCH($A294,Ventas!$A$2:$A$5000,0)),INDEX(Ventas!$I$2:$I$5000,MATCH($A294,Ventas!$A$2:$A$5000,0)),INDEX(Ventas!$J$2:$J$5000,MATCH($A294,Ventas!$A$2:$A$5000,0)))&gt;0.5*AF294*4,"1 mes = "&amp;TEXT(MAX(INDEX(Ventas!$G$2:$G$5000,MATCH($A294,Ventas!$A$2:$A$5000,0)),INDEX(Ventas!$H$2:$H$5000,MATCH($A294,Ventas!$A$2:$A$5000,0)),INDEX(Ventas!$I$2:$I$5000,MATCH($A294,Ventas!$A$2:$A$5000,0)),INDEX(Ventas!$J$2:$J$5000,MATCH($A294,Ventas!$A$2:$A$5000,0)))/(AF294*4),"0%")&amp;" de 4 meses",""))</f>
        <v/>
      </c>
      <c r="AD294" s="62" t="str">
        <f t="shared" si="7"/>
        <v/>
      </c>
      <c r="AE294" s="62" t="str">
        <f t="array" ref="AE294">IF(X294="","",IF(AND(E294=0,AVERAGE(INDEX(Ventas!$C$2:$I$5000,MATCH($A294,Ventas!$A$2:$A$5000,0),0))&gt;0,INDEX(Ventas!$J$2:$J$5000,MATCH($A294,Ventas!$A$2:$A$5000,0))&lt;0.5*AVERAGE(INDEX(Ventas!$C$2:$I$5000,MATCH($A294,Ventas!$A$2:$A$5000,0),0))),"SÍ — stock 0 y Sep cayó (prom Feb-Ago "&amp;TEXT(AVERAGE(INDEX(Ventas!$C$2:$I$5000,MATCH($A294,Ventas!$A$2:$A$5000,0),0)),"#,##0")&amp;")",""))</f>
        <v/>
      </c>
      <c r="AF294" s="60">
        <f t="array" ref="AF294">IF(X294="","",IF(AE294&lt;&gt;"",MAX(X294,AVERAGE(INDEX(Ventas!$C$2:$I$5000,MATCH($A294,Ventas!$A$2:$A$5000,0),0))),X294))</f>
        <v>37.5</v>
      </c>
      <c r="AG294" s="60">
        <f t="shared" si="8"/>
        <v>-111</v>
      </c>
      <c r="AH294" s="63" t="str">
        <f t="shared" si="9"/>
        <v>OK</v>
      </c>
    </row>
    <row r="295" ht="13.5" customHeight="1">
      <c r="A295" s="64" t="s">
        <v>1468</v>
      </c>
      <c r="B295" s="65" t="s">
        <v>183</v>
      </c>
      <c r="C295" s="65" t="s">
        <v>3775</v>
      </c>
      <c r="D295" s="65" t="s">
        <v>3758</v>
      </c>
      <c r="E295" s="51">
        <v>322.0</v>
      </c>
      <c r="F295" s="66"/>
      <c r="G295" s="53"/>
      <c r="H295" s="55"/>
      <c r="I295" s="55"/>
      <c r="J295" s="53"/>
      <c r="K295" s="53"/>
      <c r="L295" s="55"/>
      <c r="M295" s="53"/>
      <c r="N295" s="73"/>
      <c r="O295" s="57" t="str">
        <f t="shared" si="1"/>
        <v>SOBRESTOCK — 12.9 meses de cobertura</v>
      </c>
      <c r="P295" s="58">
        <f t="shared" si="2"/>
        <v>322</v>
      </c>
      <c r="Q295" s="1"/>
      <c r="R295" s="1"/>
      <c r="S295" s="1"/>
      <c r="T295" s="1"/>
      <c r="U295" s="1"/>
      <c r="V295" s="1"/>
      <c r="W295" s="1"/>
      <c r="X295" s="60">
        <f>IFERROR(VLOOKUP($A295,Ventas!$A$2:$L$5000,12,FALSE()),"")</f>
        <v>25</v>
      </c>
      <c r="Y295" s="60">
        <f t="shared" si="3"/>
        <v>100</v>
      </c>
      <c r="Z295" s="61">
        <f t="shared" si="4"/>
        <v>12.9</v>
      </c>
      <c r="AA295" s="60">
        <f t="shared" si="5"/>
        <v>-222</v>
      </c>
      <c r="AB295" s="62" t="str">
        <f t="shared" si="6"/>
        <v/>
      </c>
      <c r="AC295" s="62" t="str">
        <f t="array" ref="AC295">IF(AH295&lt;&gt;"COMPRAR","",IF(MAX(INDEX(Ventas!$G$2:$G$5000,MATCH($A295,Ventas!$A$2:$A$5000,0)),INDEX(Ventas!$H$2:$H$5000,MATCH($A295,Ventas!$A$2:$A$5000,0)),INDEX(Ventas!$I$2:$I$5000,MATCH($A295,Ventas!$A$2:$A$5000,0)),INDEX(Ventas!$J$2:$J$5000,MATCH($A295,Ventas!$A$2:$A$5000,0)))&gt;0.5*AF295*4,"1 mes = "&amp;TEXT(MAX(INDEX(Ventas!$G$2:$G$5000,MATCH($A295,Ventas!$A$2:$A$5000,0)),INDEX(Ventas!$H$2:$H$5000,MATCH($A295,Ventas!$A$2:$A$5000,0)),INDEX(Ventas!$I$2:$I$5000,MATCH($A295,Ventas!$A$2:$A$5000,0)),INDEX(Ventas!$J$2:$J$5000,MATCH($A295,Ventas!$A$2:$A$5000,0)))/(AF295*4),"0%")&amp;" de 4 meses",""))</f>
        <v/>
      </c>
      <c r="AD295" s="62" t="str">
        <f t="shared" si="7"/>
        <v/>
      </c>
      <c r="AE295" s="62" t="str">
        <f t="array" ref="AE295">IF(X295="","",IF(AND(E295=0,AVERAGE(INDEX(Ventas!$C$2:$I$5000,MATCH($A295,Ventas!$A$2:$A$5000,0),0))&gt;0,INDEX(Ventas!$J$2:$J$5000,MATCH($A295,Ventas!$A$2:$A$5000,0))&lt;0.5*AVERAGE(INDEX(Ventas!$C$2:$I$5000,MATCH($A295,Ventas!$A$2:$A$5000,0),0))),"SÍ — stock 0 y Sep cayó (prom Feb-Ago "&amp;TEXT(AVERAGE(INDEX(Ventas!$C$2:$I$5000,MATCH($A295,Ventas!$A$2:$A$5000,0),0)),"#,##0")&amp;")",""))</f>
        <v/>
      </c>
      <c r="AF295" s="60">
        <f t="array" ref="AF295">IF(X295="","",IF(AE295&lt;&gt;"",MAX(X295,AVERAGE(INDEX(Ventas!$C$2:$I$5000,MATCH($A295,Ventas!$A$2:$A$5000,0),0))),X295))</f>
        <v>25</v>
      </c>
      <c r="AG295" s="60">
        <f t="shared" si="8"/>
        <v>-222</v>
      </c>
      <c r="AH295" s="63" t="str">
        <f t="shared" si="9"/>
        <v>SOBRESTOCK</v>
      </c>
    </row>
    <row r="296" ht="13.5" customHeight="1">
      <c r="A296" s="49" t="s">
        <v>2136</v>
      </c>
      <c r="B296" s="50" t="s">
        <v>183</v>
      </c>
      <c r="C296" s="50" t="s">
        <v>3775</v>
      </c>
      <c r="D296" s="50" t="s">
        <v>3777</v>
      </c>
      <c r="E296" s="51">
        <v>0.0</v>
      </c>
      <c r="F296" s="52"/>
      <c r="G296" s="53"/>
      <c r="H296" s="55"/>
      <c r="I296" s="55"/>
      <c r="J296" s="53"/>
      <c r="K296" s="53"/>
      <c r="L296" s="55"/>
      <c r="M296" s="53"/>
      <c r="N296" s="74"/>
      <c r="O296" s="57" t="str">
        <f t="shared" si="1"/>
        <v>SIN VENTAS Jun-Sep — no comprar</v>
      </c>
      <c r="P296" s="58">
        <f t="shared" si="2"/>
        <v>0</v>
      </c>
      <c r="Q296" s="1"/>
      <c r="R296" s="1"/>
      <c r="S296" s="1"/>
      <c r="T296" s="1"/>
      <c r="U296" s="1"/>
      <c r="V296" s="1"/>
      <c r="W296" s="1"/>
      <c r="X296" s="60">
        <f>IFERROR(VLOOKUP($A296,Ventas!$A$2:$L$5000,12,FALSE()),"")</f>
        <v>0</v>
      </c>
      <c r="Y296" s="60">
        <f t="shared" si="3"/>
        <v>0</v>
      </c>
      <c r="Z296" s="61" t="str">
        <f t="shared" si="4"/>
        <v/>
      </c>
      <c r="AA296" s="60">
        <f t="shared" si="5"/>
        <v>0</v>
      </c>
      <c r="AB296" s="62" t="str">
        <f t="shared" si="6"/>
        <v>DUPLICADO</v>
      </c>
      <c r="AC296" s="62" t="str">
        <f t="array" ref="AC296">IF(AH296&lt;&gt;"COMPRAR","",IF(MAX(INDEX(Ventas!$G$2:$G$5000,MATCH($A296,Ventas!$A$2:$A$5000,0)),INDEX(Ventas!$H$2:$H$5000,MATCH($A296,Ventas!$A$2:$A$5000,0)),INDEX(Ventas!$I$2:$I$5000,MATCH($A296,Ventas!$A$2:$A$5000,0)),INDEX(Ventas!$J$2:$J$5000,MATCH($A296,Ventas!$A$2:$A$5000,0)))&gt;0.5*AF296*4,"1 mes = "&amp;TEXT(MAX(INDEX(Ventas!$G$2:$G$5000,MATCH($A296,Ventas!$A$2:$A$5000,0)),INDEX(Ventas!$H$2:$H$5000,MATCH($A296,Ventas!$A$2:$A$5000,0)),INDEX(Ventas!$I$2:$I$5000,MATCH($A296,Ventas!$A$2:$A$5000,0)),INDEX(Ventas!$J$2:$J$5000,MATCH($A296,Ventas!$A$2:$A$5000,0)))/(AF296*4),"0%")&amp;" de 4 meses",""))</f>
        <v/>
      </c>
      <c r="AD296" s="62" t="str">
        <f t="shared" si="7"/>
        <v/>
      </c>
      <c r="AE296" s="62" t="str">
        <f t="array" ref="AE296">IF(X296="","",IF(AND(E296=0,AVERAGE(INDEX(Ventas!$C$2:$I$5000,MATCH($A296,Ventas!$A$2:$A$5000,0),0))&gt;0,INDEX(Ventas!$J$2:$J$5000,MATCH($A296,Ventas!$A$2:$A$5000,0))&lt;0.5*AVERAGE(INDEX(Ventas!$C$2:$I$5000,MATCH($A296,Ventas!$A$2:$A$5000,0),0))),"SÍ — stock 0 y Sep cayó (prom Feb-Ago "&amp;TEXT(AVERAGE(INDEX(Ventas!$C$2:$I$5000,MATCH($A296,Ventas!$A$2:$A$5000,0),0)),"#,##0")&amp;")",""))</f>
        <v/>
      </c>
      <c r="AF296" s="60">
        <f t="array" ref="AF296">IF(X296="","",IF(AE296&lt;&gt;"",MAX(X296,AVERAGE(INDEX(Ventas!$C$2:$I$5000,MATCH($A296,Ventas!$A$2:$A$5000,0),0))),X296))</f>
        <v>0</v>
      </c>
      <c r="AG296" s="60">
        <f t="shared" si="8"/>
        <v>0</v>
      </c>
      <c r="AH296" s="63" t="str">
        <f t="shared" si="9"/>
        <v>SIN VENTAS</v>
      </c>
    </row>
    <row r="297" ht="13.5" customHeight="1">
      <c r="A297" s="64" t="s">
        <v>2967</v>
      </c>
      <c r="B297" s="65" t="s">
        <v>183</v>
      </c>
      <c r="C297" s="65" t="s">
        <v>3778</v>
      </c>
      <c r="D297" s="65" t="s">
        <v>1329</v>
      </c>
      <c r="E297" s="51">
        <v>100.0</v>
      </c>
      <c r="F297" s="66"/>
      <c r="G297" s="53"/>
      <c r="H297" s="55"/>
      <c r="I297" s="55"/>
      <c r="J297" s="53"/>
      <c r="K297" s="53"/>
      <c r="L297" s="55"/>
      <c r="M297" s="53"/>
      <c r="N297" s="73"/>
      <c r="O297" s="57" t="str">
        <f t="shared" si="1"/>
        <v>SIN VENTAS Jun-Sep — no comprar (100 m disponibles)</v>
      </c>
      <c r="P297" s="58">
        <f t="shared" si="2"/>
        <v>100</v>
      </c>
      <c r="Q297" s="1"/>
      <c r="R297" s="1"/>
      <c r="S297" s="1"/>
      <c r="T297" s="1"/>
      <c r="U297" s="1"/>
      <c r="V297" s="1"/>
      <c r="W297" s="1"/>
      <c r="X297" s="60">
        <f>IFERROR(VLOOKUP($A297,Ventas!$A$2:$L$5000,12,FALSE()),"")</f>
        <v>0</v>
      </c>
      <c r="Y297" s="60">
        <f t="shared" si="3"/>
        <v>0</v>
      </c>
      <c r="Z297" s="61" t="str">
        <f t="shared" si="4"/>
        <v/>
      </c>
      <c r="AA297" s="60">
        <f t="shared" si="5"/>
        <v>-100</v>
      </c>
      <c r="AB297" s="62" t="str">
        <f t="shared" si="6"/>
        <v/>
      </c>
      <c r="AC297" s="62" t="str">
        <f t="array" ref="AC297">IF(AH297&lt;&gt;"COMPRAR","",IF(MAX(INDEX(Ventas!$G$2:$G$5000,MATCH($A297,Ventas!$A$2:$A$5000,0)),INDEX(Ventas!$H$2:$H$5000,MATCH($A297,Ventas!$A$2:$A$5000,0)),INDEX(Ventas!$I$2:$I$5000,MATCH($A297,Ventas!$A$2:$A$5000,0)),INDEX(Ventas!$J$2:$J$5000,MATCH($A297,Ventas!$A$2:$A$5000,0)))&gt;0.5*AF297*4,"1 mes = "&amp;TEXT(MAX(INDEX(Ventas!$G$2:$G$5000,MATCH($A297,Ventas!$A$2:$A$5000,0)),INDEX(Ventas!$H$2:$H$5000,MATCH($A297,Ventas!$A$2:$A$5000,0)),INDEX(Ventas!$I$2:$I$5000,MATCH($A297,Ventas!$A$2:$A$5000,0)),INDEX(Ventas!$J$2:$J$5000,MATCH($A297,Ventas!$A$2:$A$5000,0)))/(AF297*4),"0%")&amp;" de 4 meses",""))</f>
        <v/>
      </c>
      <c r="AD297" s="62" t="str">
        <f t="shared" si="7"/>
        <v/>
      </c>
      <c r="AE297" s="62" t="str">
        <f t="array" ref="AE297">IF(X297="","",IF(AND(E297=0,AVERAGE(INDEX(Ventas!$C$2:$I$5000,MATCH($A297,Ventas!$A$2:$A$5000,0),0))&gt;0,INDEX(Ventas!$J$2:$J$5000,MATCH($A297,Ventas!$A$2:$A$5000,0))&lt;0.5*AVERAGE(INDEX(Ventas!$C$2:$I$5000,MATCH($A297,Ventas!$A$2:$A$5000,0),0))),"SÍ — stock 0 y Sep cayó (prom Feb-Ago "&amp;TEXT(AVERAGE(INDEX(Ventas!$C$2:$I$5000,MATCH($A297,Ventas!$A$2:$A$5000,0),0)),"#,##0")&amp;")",""))</f>
        <v/>
      </c>
      <c r="AF297" s="60">
        <f t="array" ref="AF297">IF(X297="","",IF(AE297&lt;&gt;"",MAX(X297,AVERAGE(INDEX(Ventas!$C$2:$I$5000,MATCH($A297,Ventas!$A$2:$A$5000,0),0))),X297))</f>
        <v>0</v>
      </c>
      <c r="AG297" s="60">
        <f t="shared" si="8"/>
        <v>-100</v>
      </c>
      <c r="AH297" s="63" t="str">
        <f t="shared" si="9"/>
        <v>SIN VENTAS</v>
      </c>
    </row>
    <row r="298" ht="13.5" customHeight="1">
      <c r="A298" s="49" t="s">
        <v>2969</v>
      </c>
      <c r="B298" s="50" t="s">
        <v>183</v>
      </c>
      <c r="C298" s="50" t="s">
        <v>3778</v>
      </c>
      <c r="D298" s="50" t="s">
        <v>3756</v>
      </c>
      <c r="E298" s="51">
        <v>100.0</v>
      </c>
      <c r="F298" s="52"/>
      <c r="G298" s="53"/>
      <c r="H298" s="55"/>
      <c r="I298" s="55"/>
      <c r="J298" s="53"/>
      <c r="K298" s="53"/>
      <c r="L298" s="55"/>
      <c r="M298" s="53"/>
      <c r="N298" s="74"/>
      <c r="O298" s="57" t="str">
        <f t="shared" si="1"/>
        <v>SIN VENTAS Jun-Sep — no comprar (100 m disponibles)</v>
      </c>
      <c r="P298" s="58">
        <f t="shared" si="2"/>
        <v>100</v>
      </c>
      <c r="Q298" s="1"/>
      <c r="R298" s="1"/>
      <c r="S298" s="1"/>
      <c r="T298" s="1"/>
      <c r="U298" s="1"/>
      <c r="V298" s="1"/>
      <c r="W298" s="1"/>
      <c r="X298" s="60">
        <f>IFERROR(VLOOKUP($A298,Ventas!$A$2:$L$5000,12,FALSE()),"")</f>
        <v>0</v>
      </c>
      <c r="Y298" s="60">
        <f t="shared" si="3"/>
        <v>0</v>
      </c>
      <c r="Z298" s="61" t="str">
        <f t="shared" si="4"/>
        <v/>
      </c>
      <c r="AA298" s="60">
        <f t="shared" si="5"/>
        <v>-100</v>
      </c>
      <c r="AB298" s="62" t="str">
        <f t="shared" si="6"/>
        <v/>
      </c>
      <c r="AC298" s="62" t="str">
        <f t="array" ref="AC298">IF(AH298&lt;&gt;"COMPRAR","",IF(MAX(INDEX(Ventas!$G$2:$G$5000,MATCH($A298,Ventas!$A$2:$A$5000,0)),INDEX(Ventas!$H$2:$H$5000,MATCH($A298,Ventas!$A$2:$A$5000,0)),INDEX(Ventas!$I$2:$I$5000,MATCH($A298,Ventas!$A$2:$A$5000,0)),INDEX(Ventas!$J$2:$J$5000,MATCH($A298,Ventas!$A$2:$A$5000,0)))&gt;0.5*AF298*4,"1 mes = "&amp;TEXT(MAX(INDEX(Ventas!$G$2:$G$5000,MATCH($A298,Ventas!$A$2:$A$5000,0)),INDEX(Ventas!$H$2:$H$5000,MATCH($A298,Ventas!$A$2:$A$5000,0)),INDEX(Ventas!$I$2:$I$5000,MATCH($A298,Ventas!$A$2:$A$5000,0)),INDEX(Ventas!$J$2:$J$5000,MATCH($A298,Ventas!$A$2:$A$5000,0)))/(AF298*4),"0%")&amp;" de 4 meses",""))</f>
        <v/>
      </c>
      <c r="AD298" s="62" t="str">
        <f t="shared" si="7"/>
        <v/>
      </c>
      <c r="AE298" s="62" t="str">
        <f t="array" ref="AE298">IF(X298="","",IF(AND(E298=0,AVERAGE(INDEX(Ventas!$C$2:$I$5000,MATCH($A298,Ventas!$A$2:$A$5000,0),0))&gt;0,INDEX(Ventas!$J$2:$J$5000,MATCH($A298,Ventas!$A$2:$A$5000,0))&lt;0.5*AVERAGE(INDEX(Ventas!$C$2:$I$5000,MATCH($A298,Ventas!$A$2:$A$5000,0),0))),"SÍ — stock 0 y Sep cayó (prom Feb-Ago "&amp;TEXT(AVERAGE(INDEX(Ventas!$C$2:$I$5000,MATCH($A298,Ventas!$A$2:$A$5000,0),0)),"#,##0")&amp;")",""))</f>
        <v/>
      </c>
      <c r="AF298" s="60">
        <f t="array" ref="AF298">IF(X298="","",IF(AE298&lt;&gt;"",MAX(X298,AVERAGE(INDEX(Ventas!$C$2:$I$5000,MATCH($A298,Ventas!$A$2:$A$5000,0),0))),X298))</f>
        <v>0</v>
      </c>
      <c r="AG298" s="60">
        <f t="shared" si="8"/>
        <v>-100</v>
      </c>
      <c r="AH298" s="63" t="str">
        <f t="shared" si="9"/>
        <v>SIN VENTAS</v>
      </c>
    </row>
    <row r="299" ht="13.5" customHeight="1">
      <c r="A299" s="64" t="s">
        <v>2973</v>
      </c>
      <c r="B299" s="65" t="s">
        <v>183</v>
      </c>
      <c r="C299" s="65" t="s">
        <v>3778</v>
      </c>
      <c r="D299" s="65" t="s">
        <v>3779</v>
      </c>
      <c r="E299" s="51">
        <v>60.0</v>
      </c>
      <c r="F299" s="66"/>
      <c r="G299" s="53"/>
      <c r="H299" s="55"/>
      <c r="I299" s="55"/>
      <c r="J299" s="53"/>
      <c r="K299" s="53"/>
      <c r="L299" s="55"/>
      <c r="M299" s="53"/>
      <c r="N299" s="73"/>
      <c r="O299" s="57" t="str">
        <f t="shared" si="1"/>
        <v>SIN VENTAS Jun-Sep — no comprar (60 m disponibles)</v>
      </c>
      <c r="P299" s="58">
        <f t="shared" si="2"/>
        <v>60</v>
      </c>
      <c r="Q299" s="1"/>
      <c r="R299" s="1"/>
      <c r="S299" s="1"/>
      <c r="T299" s="1"/>
      <c r="U299" s="1"/>
      <c r="V299" s="1"/>
      <c r="W299" s="1"/>
      <c r="X299" s="60">
        <f>IFERROR(VLOOKUP($A299,Ventas!$A$2:$L$5000,12,FALSE()),"")</f>
        <v>0</v>
      </c>
      <c r="Y299" s="60">
        <f t="shared" si="3"/>
        <v>0</v>
      </c>
      <c r="Z299" s="61" t="str">
        <f t="shared" si="4"/>
        <v/>
      </c>
      <c r="AA299" s="60">
        <f t="shared" si="5"/>
        <v>-60</v>
      </c>
      <c r="AB299" s="62" t="str">
        <f t="shared" si="6"/>
        <v/>
      </c>
      <c r="AC299" s="62" t="str">
        <f t="array" ref="AC299">IF(AH299&lt;&gt;"COMPRAR","",IF(MAX(INDEX(Ventas!$G$2:$G$5000,MATCH($A299,Ventas!$A$2:$A$5000,0)),INDEX(Ventas!$H$2:$H$5000,MATCH($A299,Ventas!$A$2:$A$5000,0)),INDEX(Ventas!$I$2:$I$5000,MATCH($A299,Ventas!$A$2:$A$5000,0)),INDEX(Ventas!$J$2:$J$5000,MATCH($A299,Ventas!$A$2:$A$5000,0)))&gt;0.5*AF299*4,"1 mes = "&amp;TEXT(MAX(INDEX(Ventas!$G$2:$G$5000,MATCH($A299,Ventas!$A$2:$A$5000,0)),INDEX(Ventas!$H$2:$H$5000,MATCH($A299,Ventas!$A$2:$A$5000,0)),INDEX(Ventas!$I$2:$I$5000,MATCH($A299,Ventas!$A$2:$A$5000,0)),INDEX(Ventas!$J$2:$J$5000,MATCH($A299,Ventas!$A$2:$A$5000,0)))/(AF299*4),"0%")&amp;" de 4 meses",""))</f>
        <v/>
      </c>
      <c r="AD299" s="62" t="str">
        <f t="shared" si="7"/>
        <v/>
      </c>
      <c r="AE299" s="62" t="str">
        <f t="array" ref="AE299">IF(X299="","",IF(AND(E299=0,AVERAGE(INDEX(Ventas!$C$2:$I$5000,MATCH($A299,Ventas!$A$2:$A$5000,0),0))&gt;0,INDEX(Ventas!$J$2:$J$5000,MATCH($A299,Ventas!$A$2:$A$5000,0))&lt;0.5*AVERAGE(INDEX(Ventas!$C$2:$I$5000,MATCH($A299,Ventas!$A$2:$A$5000,0),0))),"SÍ — stock 0 y Sep cayó (prom Feb-Ago "&amp;TEXT(AVERAGE(INDEX(Ventas!$C$2:$I$5000,MATCH($A299,Ventas!$A$2:$A$5000,0),0)),"#,##0")&amp;")",""))</f>
        <v/>
      </c>
      <c r="AF299" s="60">
        <f t="array" ref="AF299">IF(X299="","",IF(AE299&lt;&gt;"",MAX(X299,AVERAGE(INDEX(Ventas!$C$2:$I$5000,MATCH($A299,Ventas!$A$2:$A$5000,0),0))),X299))</f>
        <v>0</v>
      </c>
      <c r="AG299" s="60">
        <f t="shared" si="8"/>
        <v>-60</v>
      </c>
      <c r="AH299" s="63" t="str">
        <f t="shared" si="9"/>
        <v>SIN VENTAS</v>
      </c>
    </row>
    <row r="300" ht="13.5" customHeight="1">
      <c r="A300" s="49" t="s">
        <v>2971</v>
      </c>
      <c r="B300" s="50" t="s">
        <v>183</v>
      </c>
      <c r="C300" s="50" t="s">
        <v>3778</v>
      </c>
      <c r="D300" s="50" t="s">
        <v>3757</v>
      </c>
      <c r="E300" s="51">
        <v>60.0</v>
      </c>
      <c r="F300" s="52"/>
      <c r="G300" s="53"/>
      <c r="H300" s="55"/>
      <c r="I300" s="55"/>
      <c r="J300" s="53"/>
      <c r="K300" s="53"/>
      <c r="L300" s="55"/>
      <c r="M300" s="53"/>
      <c r="N300" s="74"/>
      <c r="O300" s="57" t="str">
        <f t="shared" si="1"/>
        <v>SIN VENTAS Jun-Sep — no comprar (60 m disponibles)</v>
      </c>
      <c r="P300" s="58">
        <f t="shared" si="2"/>
        <v>60</v>
      </c>
      <c r="Q300" s="1"/>
      <c r="R300" s="1"/>
      <c r="S300" s="1"/>
      <c r="T300" s="1"/>
      <c r="U300" s="1"/>
      <c r="V300" s="1"/>
      <c r="W300" s="1"/>
      <c r="X300" s="60">
        <f>IFERROR(VLOOKUP($A300,Ventas!$A$2:$L$5000,12,FALSE()),"")</f>
        <v>0</v>
      </c>
      <c r="Y300" s="60">
        <f t="shared" si="3"/>
        <v>0</v>
      </c>
      <c r="Z300" s="61" t="str">
        <f t="shared" si="4"/>
        <v/>
      </c>
      <c r="AA300" s="60">
        <f t="shared" si="5"/>
        <v>-60</v>
      </c>
      <c r="AB300" s="62" t="str">
        <f t="shared" si="6"/>
        <v/>
      </c>
      <c r="AC300" s="62" t="str">
        <f t="array" ref="AC300">IF(AH300&lt;&gt;"COMPRAR","",IF(MAX(INDEX(Ventas!$G$2:$G$5000,MATCH($A300,Ventas!$A$2:$A$5000,0)),INDEX(Ventas!$H$2:$H$5000,MATCH($A300,Ventas!$A$2:$A$5000,0)),INDEX(Ventas!$I$2:$I$5000,MATCH($A300,Ventas!$A$2:$A$5000,0)),INDEX(Ventas!$J$2:$J$5000,MATCH($A300,Ventas!$A$2:$A$5000,0)))&gt;0.5*AF300*4,"1 mes = "&amp;TEXT(MAX(INDEX(Ventas!$G$2:$G$5000,MATCH($A300,Ventas!$A$2:$A$5000,0)),INDEX(Ventas!$H$2:$H$5000,MATCH($A300,Ventas!$A$2:$A$5000,0)),INDEX(Ventas!$I$2:$I$5000,MATCH($A300,Ventas!$A$2:$A$5000,0)),INDEX(Ventas!$J$2:$J$5000,MATCH($A300,Ventas!$A$2:$A$5000,0)))/(AF300*4),"0%")&amp;" de 4 meses",""))</f>
        <v/>
      </c>
      <c r="AD300" s="62" t="str">
        <f t="shared" si="7"/>
        <v/>
      </c>
      <c r="AE300" s="62" t="str">
        <f t="array" ref="AE300">IF(X300="","",IF(AND(E300=0,AVERAGE(INDEX(Ventas!$C$2:$I$5000,MATCH($A300,Ventas!$A$2:$A$5000,0),0))&gt;0,INDEX(Ventas!$J$2:$J$5000,MATCH($A300,Ventas!$A$2:$A$5000,0))&lt;0.5*AVERAGE(INDEX(Ventas!$C$2:$I$5000,MATCH($A300,Ventas!$A$2:$A$5000,0),0))),"SÍ — stock 0 y Sep cayó (prom Feb-Ago "&amp;TEXT(AVERAGE(INDEX(Ventas!$C$2:$I$5000,MATCH($A300,Ventas!$A$2:$A$5000,0),0)),"#,##0")&amp;")",""))</f>
        <v/>
      </c>
      <c r="AF300" s="60">
        <f t="array" ref="AF300">IF(X300="","",IF(AE300&lt;&gt;"",MAX(X300,AVERAGE(INDEX(Ventas!$C$2:$I$5000,MATCH($A300,Ventas!$A$2:$A$5000,0),0))),X300))</f>
        <v>0</v>
      </c>
      <c r="AG300" s="60">
        <f t="shared" si="8"/>
        <v>-60</v>
      </c>
      <c r="AH300" s="63" t="str">
        <f t="shared" si="9"/>
        <v>SIN VENTAS</v>
      </c>
    </row>
    <row r="301" ht="13.5" customHeight="1">
      <c r="A301" s="64" t="s">
        <v>2136</v>
      </c>
      <c r="B301" s="65" t="s">
        <v>183</v>
      </c>
      <c r="C301" s="65" t="s">
        <v>3780</v>
      </c>
      <c r="D301" s="65" t="s">
        <v>3781</v>
      </c>
      <c r="E301" s="51">
        <v>0.0</v>
      </c>
      <c r="F301" s="66"/>
      <c r="G301" s="53"/>
      <c r="H301" s="55"/>
      <c r="I301" s="55"/>
      <c r="J301" s="53"/>
      <c r="K301" s="53"/>
      <c r="L301" s="55"/>
      <c r="M301" s="53"/>
      <c r="N301" s="73"/>
      <c r="O301" s="57" t="str">
        <f t="shared" si="1"/>
        <v>SIN VENTAS Jun-Sep — no comprar</v>
      </c>
      <c r="P301" s="58">
        <f t="shared" si="2"/>
        <v>0</v>
      </c>
      <c r="Q301" s="1"/>
      <c r="R301" s="1"/>
      <c r="S301" s="1"/>
      <c r="T301" s="1"/>
      <c r="U301" s="1"/>
      <c r="V301" s="1"/>
      <c r="W301" s="1"/>
      <c r="X301" s="60">
        <f>IFERROR(VLOOKUP($A301,Ventas!$A$2:$L$5000,12,FALSE()),"")</f>
        <v>0</v>
      </c>
      <c r="Y301" s="60">
        <f t="shared" si="3"/>
        <v>0</v>
      </c>
      <c r="Z301" s="61" t="str">
        <f t="shared" si="4"/>
        <v/>
      </c>
      <c r="AA301" s="60">
        <f t="shared" si="5"/>
        <v>0</v>
      </c>
      <c r="AB301" s="62" t="str">
        <f t="shared" si="6"/>
        <v>DUPLICADO</v>
      </c>
      <c r="AC301" s="62" t="str">
        <f t="array" ref="AC301">IF(AH301&lt;&gt;"COMPRAR","",IF(MAX(INDEX(Ventas!$G$2:$G$5000,MATCH($A301,Ventas!$A$2:$A$5000,0)),INDEX(Ventas!$H$2:$H$5000,MATCH($A301,Ventas!$A$2:$A$5000,0)),INDEX(Ventas!$I$2:$I$5000,MATCH($A301,Ventas!$A$2:$A$5000,0)),INDEX(Ventas!$J$2:$J$5000,MATCH($A301,Ventas!$A$2:$A$5000,0)))&gt;0.5*AF301*4,"1 mes = "&amp;TEXT(MAX(INDEX(Ventas!$G$2:$G$5000,MATCH($A301,Ventas!$A$2:$A$5000,0)),INDEX(Ventas!$H$2:$H$5000,MATCH($A301,Ventas!$A$2:$A$5000,0)),INDEX(Ventas!$I$2:$I$5000,MATCH($A301,Ventas!$A$2:$A$5000,0)),INDEX(Ventas!$J$2:$J$5000,MATCH($A301,Ventas!$A$2:$A$5000,0)))/(AF301*4),"0%")&amp;" de 4 meses",""))</f>
        <v/>
      </c>
      <c r="AD301" s="62" t="str">
        <f t="shared" si="7"/>
        <v/>
      </c>
      <c r="AE301" s="62" t="str">
        <f t="array" ref="AE301">IF(X301="","",IF(AND(E301=0,AVERAGE(INDEX(Ventas!$C$2:$I$5000,MATCH($A301,Ventas!$A$2:$A$5000,0),0))&gt;0,INDEX(Ventas!$J$2:$J$5000,MATCH($A301,Ventas!$A$2:$A$5000,0))&lt;0.5*AVERAGE(INDEX(Ventas!$C$2:$I$5000,MATCH($A301,Ventas!$A$2:$A$5000,0),0))),"SÍ — stock 0 y Sep cayó (prom Feb-Ago "&amp;TEXT(AVERAGE(INDEX(Ventas!$C$2:$I$5000,MATCH($A301,Ventas!$A$2:$A$5000,0),0)),"#,##0")&amp;")",""))</f>
        <v/>
      </c>
      <c r="AF301" s="60">
        <f t="array" ref="AF301">IF(X301="","",IF(AE301&lt;&gt;"",MAX(X301,AVERAGE(INDEX(Ventas!$C$2:$I$5000,MATCH($A301,Ventas!$A$2:$A$5000,0),0))),X301))</f>
        <v>0</v>
      </c>
      <c r="AG301" s="60">
        <f t="shared" si="8"/>
        <v>0</v>
      </c>
      <c r="AH301" s="63" t="str">
        <f t="shared" si="9"/>
        <v>SIN VENTAS</v>
      </c>
    </row>
    <row r="302" ht="13.5" customHeight="1">
      <c r="A302" s="49" t="s">
        <v>1894</v>
      </c>
      <c r="B302" s="50" t="s">
        <v>183</v>
      </c>
      <c r="C302" s="50" t="s">
        <v>3782</v>
      </c>
      <c r="D302" s="50" t="s">
        <v>1329</v>
      </c>
      <c r="E302" s="51">
        <v>358.0</v>
      </c>
      <c r="F302" s="52"/>
      <c r="G302" s="53"/>
      <c r="H302" s="55"/>
      <c r="I302" s="55"/>
      <c r="J302" s="53"/>
      <c r="K302" s="53"/>
      <c r="L302" s="55"/>
      <c r="M302" s="53"/>
      <c r="N302" s="74"/>
      <c r="O302" s="57" t="str">
        <f t="shared" si="1"/>
        <v>SOBRESTOCK — 14.3 meses de cobertura</v>
      </c>
      <c r="P302" s="58">
        <f t="shared" si="2"/>
        <v>358</v>
      </c>
      <c r="Q302" s="1"/>
      <c r="R302" s="1"/>
      <c r="S302" s="1"/>
      <c r="T302" s="1"/>
      <c r="U302" s="1"/>
      <c r="V302" s="1"/>
      <c r="W302" s="1"/>
      <c r="X302" s="60">
        <f>IFERROR(VLOOKUP($A302,Ventas!$A$2:$L$5000,12,FALSE()),"")</f>
        <v>25</v>
      </c>
      <c r="Y302" s="60">
        <f t="shared" si="3"/>
        <v>100</v>
      </c>
      <c r="Z302" s="61">
        <f t="shared" si="4"/>
        <v>14.3</v>
      </c>
      <c r="AA302" s="60">
        <f t="shared" si="5"/>
        <v>-258</v>
      </c>
      <c r="AB302" s="62" t="str">
        <f t="shared" si="6"/>
        <v/>
      </c>
      <c r="AC302" s="62" t="str">
        <f t="array" ref="AC302">IF(AH302&lt;&gt;"COMPRAR","",IF(MAX(INDEX(Ventas!$G$2:$G$5000,MATCH($A302,Ventas!$A$2:$A$5000,0)),INDEX(Ventas!$H$2:$H$5000,MATCH($A302,Ventas!$A$2:$A$5000,0)),INDEX(Ventas!$I$2:$I$5000,MATCH($A302,Ventas!$A$2:$A$5000,0)),INDEX(Ventas!$J$2:$J$5000,MATCH($A302,Ventas!$A$2:$A$5000,0)))&gt;0.5*AF302*4,"1 mes = "&amp;TEXT(MAX(INDEX(Ventas!$G$2:$G$5000,MATCH($A302,Ventas!$A$2:$A$5000,0)),INDEX(Ventas!$H$2:$H$5000,MATCH($A302,Ventas!$A$2:$A$5000,0)),INDEX(Ventas!$I$2:$I$5000,MATCH($A302,Ventas!$A$2:$A$5000,0)),INDEX(Ventas!$J$2:$J$5000,MATCH($A302,Ventas!$A$2:$A$5000,0)))/(AF302*4),"0%")&amp;" de 4 meses",""))</f>
        <v/>
      </c>
      <c r="AD302" s="62" t="str">
        <f t="shared" si="7"/>
        <v/>
      </c>
      <c r="AE302" s="62" t="str">
        <f t="array" ref="AE302">IF(X302="","",IF(AND(E302=0,AVERAGE(INDEX(Ventas!$C$2:$I$5000,MATCH($A302,Ventas!$A$2:$A$5000,0),0))&gt;0,INDEX(Ventas!$J$2:$J$5000,MATCH($A302,Ventas!$A$2:$A$5000,0))&lt;0.5*AVERAGE(INDEX(Ventas!$C$2:$I$5000,MATCH($A302,Ventas!$A$2:$A$5000,0),0))),"SÍ — stock 0 y Sep cayó (prom Feb-Ago "&amp;TEXT(AVERAGE(INDEX(Ventas!$C$2:$I$5000,MATCH($A302,Ventas!$A$2:$A$5000,0),0)),"#,##0")&amp;")",""))</f>
        <v/>
      </c>
      <c r="AF302" s="60">
        <f t="array" ref="AF302">IF(X302="","",IF(AE302&lt;&gt;"",MAX(X302,AVERAGE(INDEX(Ventas!$C$2:$I$5000,MATCH($A302,Ventas!$A$2:$A$5000,0),0))),X302))</f>
        <v>25</v>
      </c>
      <c r="AG302" s="60">
        <f t="shared" si="8"/>
        <v>-258</v>
      </c>
      <c r="AH302" s="63" t="str">
        <f t="shared" si="9"/>
        <v>SOBRESTOCK</v>
      </c>
    </row>
    <row r="303" ht="13.5" customHeight="1">
      <c r="A303" s="64" t="s">
        <v>779</v>
      </c>
      <c r="B303" s="65" t="s">
        <v>183</v>
      </c>
      <c r="C303" s="65" t="s">
        <v>3783</v>
      </c>
      <c r="D303" s="65" t="s">
        <v>1329</v>
      </c>
      <c r="E303" s="51">
        <v>1511.0</v>
      </c>
      <c r="F303" s="66"/>
      <c r="G303" s="53"/>
      <c r="H303" s="55"/>
      <c r="I303" s="55"/>
      <c r="J303" s="53"/>
      <c r="K303" s="53"/>
      <c r="L303" s="55"/>
      <c r="M303" s="53"/>
      <c r="N303" s="73"/>
      <c r="O303" s="57" t="str">
        <f t="shared" si="1"/>
        <v>SOBRESTOCK — 40.3 meses de cobertura</v>
      </c>
      <c r="P303" s="58">
        <f t="shared" si="2"/>
        <v>1511</v>
      </c>
      <c r="Q303" s="1"/>
      <c r="R303" s="1"/>
      <c r="S303" s="1"/>
      <c r="T303" s="1"/>
      <c r="U303" s="1"/>
      <c r="V303" s="1"/>
      <c r="W303" s="1"/>
      <c r="X303" s="60">
        <f>IFERROR(VLOOKUP($A303,Ventas!$A$2:$L$5000,12,FALSE()),"")</f>
        <v>37.5</v>
      </c>
      <c r="Y303" s="60">
        <f t="shared" si="3"/>
        <v>150</v>
      </c>
      <c r="Z303" s="61">
        <f t="shared" si="4"/>
        <v>40.3</v>
      </c>
      <c r="AA303" s="60">
        <f t="shared" si="5"/>
        <v>-1361</v>
      </c>
      <c r="AB303" s="62" t="str">
        <f t="shared" si="6"/>
        <v/>
      </c>
      <c r="AC303" s="62" t="str">
        <f t="array" ref="AC303">IF(AH303&lt;&gt;"COMPRAR","",IF(MAX(INDEX(Ventas!$G$2:$G$5000,MATCH($A303,Ventas!$A$2:$A$5000,0)),INDEX(Ventas!$H$2:$H$5000,MATCH($A303,Ventas!$A$2:$A$5000,0)),INDEX(Ventas!$I$2:$I$5000,MATCH($A303,Ventas!$A$2:$A$5000,0)),INDEX(Ventas!$J$2:$J$5000,MATCH($A303,Ventas!$A$2:$A$5000,0)))&gt;0.5*AF303*4,"1 mes = "&amp;TEXT(MAX(INDEX(Ventas!$G$2:$G$5000,MATCH($A303,Ventas!$A$2:$A$5000,0)),INDEX(Ventas!$H$2:$H$5000,MATCH($A303,Ventas!$A$2:$A$5000,0)),INDEX(Ventas!$I$2:$I$5000,MATCH($A303,Ventas!$A$2:$A$5000,0)),INDEX(Ventas!$J$2:$J$5000,MATCH($A303,Ventas!$A$2:$A$5000,0)))/(AF303*4),"0%")&amp;" de 4 meses",""))</f>
        <v/>
      </c>
      <c r="AD303" s="62" t="str">
        <f t="shared" si="7"/>
        <v/>
      </c>
      <c r="AE303" s="62" t="str">
        <f t="array" ref="AE303">IF(X303="","",IF(AND(E303=0,AVERAGE(INDEX(Ventas!$C$2:$I$5000,MATCH($A303,Ventas!$A$2:$A$5000,0),0))&gt;0,INDEX(Ventas!$J$2:$J$5000,MATCH($A303,Ventas!$A$2:$A$5000,0))&lt;0.5*AVERAGE(INDEX(Ventas!$C$2:$I$5000,MATCH($A303,Ventas!$A$2:$A$5000,0),0))),"SÍ — stock 0 y Sep cayó (prom Feb-Ago "&amp;TEXT(AVERAGE(INDEX(Ventas!$C$2:$I$5000,MATCH($A303,Ventas!$A$2:$A$5000,0),0)),"#,##0")&amp;")",""))</f>
        <v/>
      </c>
      <c r="AF303" s="60">
        <f t="array" ref="AF303">IF(X303="","",IF(AE303&lt;&gt;"",MAX(X303,AVERAGE(INDEX(Ventas!$C$2:$I$5000,MATCH($A303,Ventas!$A$2:$A$5000,0),0))),X303))</f>
        <v>37.5</v>
      </c>
      <c r="AG303" s="60">
        <f t="shared" si="8"/>
        <v>-1361</v>
      </c>
      <c r="AH303" s="63" t="str">
        <f t="shared" si="9"/>
        <v>SOBRESTOCK</v>
      </c>
    </row>
    <row r="304" ht="13.5" customHeight="1">
      <c r="A304" s="49" t="s">
        <v>777</v>
      </c>
      <c r="B304" s="50" t="s">
        <v>183</v>
      </c>
      <c r="C304" s="50" t="s">
        <v>3783</v>
      </c>
      <c r="D304" s="50" t="s">
        <v>336</v>
      </c>
      <c r="E304" s="51">
        <v>993.0</v>
      </c>
      <c r="F304" s="52"/>
      <c r="G304" s="53"/>
      <c r="H304" s="55"/>
      <c r="I304" s="55"/>
      <c r="J304" s="53"/>
      <c r="K304" s="53"/>
      <c r="L304" s="55"/>
      <c r="M304" s="53"/>
      <c r="N304" s="74"/>
      <c r="O304" s="57" t="str">
        <f t="shared" si="1"/>
        <v>SIN VENTAS Jun-Sep — no comprar (993 m disponibles)</v>
      </c>
      <c r="P304" s="58">
        <f t="shared" si="2"/>
        <v>993</v>
      </c>
      <c r="Q304" s="1"/>
      <c r="R304" s="1"/>
      <c r="S304" s="1"/>
      <c r="T304" s="1"/>
      <c r="U304" s="1"/>
      <c r="V304" s="1"/>
      <c r="W304" s="1"/>
      <c r="X304" s="60">
        <f>IFERROR(VLOOKUP($A304,Ventas!$A$2:$L$5000,12,FALSE()),"")</f>
        <v>0</v>
      </c>
      <c r="Y304" s="60">
        <f t="shared" si="3"/>
        <v>0</v>
      </c>
      <c r="Z304" s="61" t="str">
        <f t="shared" si="4"/>
        <v/>
      </c>
      <c r="AA304" s="60">
        <f t="shared" si="5"/>
        <v>-993</v>
      </c>
      <c r="AB304" s="62" t="str">
        <f t="shared" si="6"/>
        <v/>
      </c>
      <c r="AC304" s="62" t="str">
        <f t="array" ref="AC304">IF(AH304&lt;&gt;"COMPRAR","",IF(MAX(INDEX(Ventas!$G$2:$G$5000,MATCH($A304,Ventas!$A$2:$A$5000,0)),INDEX(Ventas!$H$2:$H$5000,MATCH($A304,Ventas!$A$2:$A$5000,0)),INDEX(Ventas!$I$2:$I$5000,MATCH($A304,Ventas!$A$2:$A$5000,0)),INDEX(Ventas!$J$2:$J$5000,MATCH($A304,Ventas!$A$2:$A$5000,0)))&gt;0.5*AF304*4,"1 mes = "&amp;TEXT(MAX(INDEX(Ventas!$G$2:$G$5000,MATCH($A304,Ventas!$A$2:$A$5000,0)),INDEX(Ventas!$H$2:$H$5000,MATCH($A304,Ventas!$A$2:$A$5000,0)),INDEX(Ventas!$I$2:$I$5000,MATCH($A304,Ventas!$A$2:$A$5000,0)),INDEX(Ventas!$J$2:$J$5000,MATCH($A304,Ventas!$A$2:$A$5000,0)))/(AF304*4),"0%")&amp;" de 4 meses",""))</f>
        <v/>
      </c>
      <c r="AD304" s="62" t="str">
        <f t="shared" si="7"/>
        <v/>
      </c>
      <c r="AE304" s="62" t="str">
        <f t="array" ref="AE304">IF(X304="","",IF(AND(E304=0,AVERAGE(INDEX(Ventas!$C$2:$I$5000,MATCH($A304,Ventas!$A$2:$A$5000,0),0))&gt;0,INDEX(Ventas!$J$2:$J$5000,MATCH($A304,Ventas!$A$2:$A$5000,0))&lt;0.5*AVERAGE(INDEX(Ventas!$C$2:$I$5000,MATCH($A304,Ventas!$A$2:$A$5000,0),0))),"SÍ — stock 0 y Sep cayó (prom Feb-Ago "&amp;TEXT(AVERAGE(INDEX(Ventas!$C$2:$I$5000,MATCH($A304,Ventas!$A$2:$A$5000,0),0)),"#,##0")&amp;")",""))</f>
        <v/>
      </c>
      <c r="AF304" s="60">
        <f t="array" ref="AF304">IF(X304="","",IF(AE304&lt;&gt;"",MAX(X304,AVERAGE(INDEX(Ventas!$C$2:$I$5000,MATCH($A304,Ventas!$A$2:$A$5000,0),0))),X304))</f>
        <v>0</v>
      </c>
      <c r="AG304" s="60">
        <f t="shared" si="8"/>
        <v>-993</v>
      </c>
      <c r="AH304" s="63" t="str">
        <f t="shared" si="9"/>
        <v>SIN VENTAS</v>
      </c>
    </row>
    <row r="305" ht="13.5" customHeight="1">
      <c r="A305" s="64" t="s">
        <v>781</v>
      </c>
      <c r="B305" s="65" t="s">
        <v>183</v>
      </c>
      <c r="C305" s="65" t="s">
        <v>3783</v>
      </c>
      <c r="D305" s="65" t="s">
        <v>646</v>
      </c>
      <c r="E305" s="51">
        <v>1070.0</v>
      </c>
      <c r="F305" s="66"/>
      <c r="G305" s="53"/>
      <c r="H305" s="55"/>
      <c r="I305" s="55"/>
      <c r="J305" s="53"/>
      <c r="K305" s="53"/>
      <c r="L305" s="55"/>
      <c r="M305" s="53"/>
      <c r="N305" s="73"/>
      <c r="O305" s="57" t="str">
        <f t="shared" si="1"/>
        <v>SOBRESTOCK — 85.6 meses de cobertura</v>
      </c>
      <c r="P305" s="58">
        <f t="shared" si="2"/>
        <v>1070</v>
      </c>
      <c r="Q305" s="1"/>
      <c r="R305" s="1"/>
      <c r="S305" s="1"/>
      <c r="T305" s="1"/>
      <c r="U305" s="1"/>
      <c r="V305" s="1"/>
      <c r="W305" s="1"/>
      <c r="X305" s="60">
        <f>IFERROR(VLOOKUP($A305,Ventas!$A$2:$L$5000,12,FALSE()),"")</f>
        <v>12.5</v>
      </c>
      <c r="Y305" s="60">
        <f t="shared" si="3"/>
        <v>50</v>
      </c>
      <c r="Z305" s="61">
        <f t="shared" si="4"/>
        <v>85.6</v>
      </c>
      <c r="AA305" s="60">
        <f t="shared" si="5"/>
        <v>-1020</v>
      </c>
      <c r="AB305" s="62" t="str">
        <f t="shared" si="6"/>
        <v/>
      </c>
      <c r="AC305" s="62" t="str">
        <f t="array" ref="AC305">IF(AH305&lt;&gt;"COMPRAR","",IF(MAX(INDEX(Ventas!$G$2:$G$5000,MATCH($A305,Ventas!$A$2:$A$5000,0)),INDEX(Ventas!$H$2:$H$5000,MATCH($A305,Ventas!$A$2:$A$5000,0)),INDEX(Ventas!$I$2:$I$5000,MATCH($A305,Ventas!$A$2:$A$5000,0)),INDEX(Ventas!$J$2:$J$5000,MATCH($A305,Ventas!$A$2:$A$5000,0)))&gt;0.5*AF305*4,"1 mes = "&amp;TEXT(MAX(INDEX(Ventas!$G$2:$G$5000,MATCH($A305,Ventas!$A$2:$A$5000,0)),INDEX(Ventas!$H$2:$H$5000,MATCH($A305,Ventas!$A$2:$A$5000,0)),INDEX(Ventas!$I$2:$I$5000,MATCH($A305,Ventas!$A$2:$A$5000,0)),INDEX(Ventas!$J$2:$J$5000,MATCH($A305,Ventas!$A$2:$A$5000,0)))/(AF305*4),"0%")&amp;" de 4 meses",""))</f>
        <v/>
      </c>
      <c r="AD305" s="62" t="str">
        <f t="shared" si="7"/>
        <v/>
      </c>
      <c r="AE305" s="62" t="str">
        <f t="array" ref="AE305">IF(X305="","",IF(AND(E305=0,AVERAGE(INDEX(Ventas!$C$2:$I$5000,MATCH($A305,Ventas!$A$2:$A$5000,0),0))&gt;0,INDEX(Ventas!$J$2:$J$5000,MATCH($A305,Ventas!$A$2:$A$5000,0))&lt;0.5*AVERAGE(INDEX(Ventas!$C$2:$I$5000,MATCH($A305,Ventas!$A$2:$A$5000,0),0))),"SÍ — stock 0 y Sep cayó (prom Feb-Ago "&amp;TEXT(AVERAGE(INDEX(Ventas!$C$2:$I$5000,MATCH($A305,Ventas!$A$2:$A$5000,0),0)),"#,##0")&amp;")",""))</f>
        <v/>
      </c>
      <c r="AF305" s="60">
        <f t="array" ref="AF305">IF(X305="","",IF(AE305&lt;&gt;"",MAX(X305,AVERAGE(INDEX(Ventas!$C$2:$I$5000,MATCH($A305,Ventas!$A$2:$A$5000,0),0))),X305))</f>
        <v>12.5</v>
      </c>
      <c r="AG305" s="60">
        <f t="shared" si="8"/>
        <v>-1020</v>
      </c>
      <c r="AH305" s="63" t="str">
        <f t="shared" si="9"/>
        <v>SOBRESTOCK</v>
      </c>
    </row>
    <row r="306" ht="13.5" customHeight="1">
      <c r="A306" s="49" t="s">
        <v>787</v>
      </c>
      <c r="B306" s="50" t="s">
        <v>183</v>
      </c>
      <c r="C306" s="50" t="s">
        <v>3783</v>
      </c>
      <c r="D306" s="50" t="s">
        <v>1911</v>
      </c>
      <c r="E306" s="51">
        <v>556.0</v>
      </c>
      <c r="F306" s="52"/>
      <c r="G306" s="53"/>
      <c r="H306" s="55"/>
      <c r="I306" s="55"/>
      <c r="J306" s="53"/>
      <c r="K306" s="53"/>
      <c r="L306" s="55"/>
      <c r="M306" s="53"/>
      <c r="N306" s="74"/>
      <c r="O306" s="57" t="str">
        <f t="shared" si="1"/>
        <v>SIN VENTAS Jun-Sep — no comprar (556 m disponibles)</v>
      </c>
      <c r="P306" s="58">
        <f t="shared" si="2"/>
        <v>556</v>
      </c>
      <c r="Q306" s="1"/>
      <c r="R306" s="1"/>
      <c r="S306" s="1"/>
      <c r="T306" s="1"/>
      <c r="U306" s="1"/>
      <c r="V306" s="1"/>
      <c r="W306" s="1"/>
      <c r="X306" s="60">
        <f>IFERROR(VLOOKUP($A306,Ventas!$A$2:$L$5000,12,FALSE()),"")</f>
        <v>0</v>
      </c>
      <c r="Y306" s="60">
        <f t="shared" si="3"/>
        <v>0</v>
      </c>
      <c r="Z306" s="61" t="str">
        <f t="shared" si="4"/>
        <v/>
      </c>
      <c r="AA306" s="60">
        <f t="shared" si="5"/>
        <v>-556</v>
      </c>
      <c r="AB306" s="62" t="str">
        <f t="shared" si="6"/>
        <v/>
      </c>
      <c r="AC306" s="62" t="str">
        <f t="array" ref="AC306">IF(AH306&lt;&gt;"COMPRAR","",IF(MAX(INDEX(Ventas!$G$2:$G$5000,MATCH($A306,Ventas!$A$2:$A$5000,0)),INDEX(Ventas!$H$2:$H$5000,MATCH($A306,Ventas!$A$2:$A$5000,0)),INDEX(Ventas!$I$2:$I$5000,MATCH($A306,Ventas!$A$2:$A$5000,0)),INDEX(Ventas!$J$2:$J$5000,MATCH($A306,Ventas!$A$2:$A$5000,0)))&gt;0.5*AF306*4,"1 mes = "&amp;TEXT(MAX(INDEX(Ventas!$G$2:$G$5000,MATCH($A306,Ventas!$A$2:$A$5000,0)),INDEX(Ventas!$H$2:$H$5000,MATCH($A306,Ventas!$A$2:$A$5000,0)),INDEX(Ventas!$I$2:$I$5000,MATCH($A306,Ventas!$A$2:$A$5000,0)),INDEX(Ventas!$J$2:$J$5000,MATCH($A306,Ventas!$A$2:$A$5000,0)))/(AF306*4),"0%")&amp;" de 4 meses",""))</f>
        <v/>
      </c>
      <c r="AD306" s="62" t="str">
        <f t="shared" si="7"/>
        <v/>
      </c>
      <c r="AE306" s="62" t="str">
        <f t="array" ref="AE306">IF(X306="","",IF(AND(E306=0,AVERAGE(INDEX(Ventas!$C$2:$I$5000,MATCH($A306,Ventas!$A$2:$A$5000,0),0))&gt;0,INDEX(Ventas!$J$2:$J$5000,MATCH($A306,Ventas!$A$2:$A$5000,0))&lt;0.5*AVERAGE(INDEX(Ventas!$C$2:$I$5000,MATCH($A306,Ventas!$A$2:$A$5000,0),0))),"SÍ — stock 0 y Sep cayó (prom Feb-Ago "&amp;TEXT(AVERAGE(INDEX(Ventas!$C$2:$I$5000,MATCH($A306,Ventas!$A$2:$A$5000,0),0)),"#,##0")&amp;")",""))</f>
        <v/>
      </c>
      <c r="AF306" s="60">
        <f t="array" ref="AF306">IF(X306="","",IF(AE306&lt;&gt;"",MAX(X306,AVERAGE(INDEX(Ventas!$C$2:$I$5000,MATCH($A306,Ventas!$A$2:$A$5000,0),0))),X306))</f>
        <v>0</v>
      </c>
      <c r="AG306" s="60">
        <f t="shared" si="8"/>
        <v>-556</v>
      </c>
      <c r="AH306" s="63" t="str">
        <f t="shared" si="9"/>
        <v>SIN VENTAS</v>
      </c>
    </row>
    <row r="307" ht="13.5" customHeight="1">
      <c r="A307" s="64" t="s">
        <v>783</v>
      </c>
      <c r="B307" s="65" t="s">
        <v>183</v>
      </c>
      <c r="C307" s="65" t="s">
        <v>3783</v>
      </c>
      <c r="D307" s="65" t="s">
        <v>3756</v>
      </c>
      <c r="E307" s="51">
        <v>293.0</v>
      </c>
      <c r="F307" s="66"/>
      <c r="G307" s="53"/>
      <c r="H307" s="55"/>
      <c r="I307" s="55"/>
      <c r="J307" s="53"/>
      <c r="K307" s="53"/>
      <c r="L307" s="55"/>
      <c r="M307" s="53"/>
      <c r="N307" s="73"/>
      <c r="O307" s="57" t="str">
        <f t="shared" si="1"/>
        <v>SIN VENTAS Jun-Sep — no comprar (293 m disponibles)</v>
      </c>
      <c r="P307" s="58">
        <f t="shared" si="2"/>
        <v>293</v>
      </c>
      <c r="Q307" s="1"/>
      <c r="R307" s="1"/>
      <c r="S307" s="1"/>
      <c r="T307" s="1"/>
      <c r="U307" s="1"/>
      <c r="V307" s="1"/>
      <c r="W307" s="1"/>
      <c r="X307" s="60">
        <f>IFERROR(VLOOKUP($A307,Ventas!$A$2:$L$5000,12,FALSE()),"")</f>
        <v>0</v>
      </c>
      <c r="Y307" s="60">
        <f t="shared" si="3"/>
        <v>0</v>
      </c>
      <c r="Z307" s="61" t="str">
        <f t="shared" si="4"/>
        <v/>
      </c>
      <c r="AA307" s="60">
        <f t="shared" si="5"/>
        <v>-293</v>
      </c>
      <c r="AB307" s="62" t="str">
        <f t="shared" si="6"/>
        <v/>
      </c>
      <c r="AC307" s="62" t="str">
        <f t="array" ref="AC307">IF(AH307&lt;&gt;"COMPRAR","",IF(MAX(INDEX(Ventas!$G$2:$G$5000,MATCH($A307,Ventas!$A$2:$A$5000,0)),INDEX(Ventas!$H$2:$H$5000,MATCH($A307,Ventas!$A$2:$A$5000,0)),INDEX(Ventas!$I$2:$I$5000,MATCH($A307,Ventas!$A$2:$A$5000,0)),INDEX(Ventas!$J$2:$J$5000,MATCH($A307,Ventas!$A$2:$A$5000,0)))&gt;0.5*AF307*4,"1 mes = "&amp;TEXT(MAX(INDEX(Ventas!$G$2:$G$5000,MATCH($A307,Ventas!$A$2:$A$5000,0)),INDEX(Ventas!$H$2:$H$5000,MATCH($A307,Ventas!$A$2:$A$5000,0)),INDEX(Ventas!$I$2:$I$5000,MATCH($A307,Ventas!$A$2:$A$5000,0)),INDEX(Ventas!$J$2:$J$5000,MATCH($A307,Ventas!$A$2:$A$5000,0)))/(AF307*4),"0%")&amp;" de 4 meses",""))</f>
        <v/>
      </c>
      <c r="AD307" s="62" t="str">
        <f t="shared" si="7"/>
        <v/>
      </c>
      <c r="AE307" s="62" t="str">
        <f t="array" ref="AE307">IF(X307="","",IF(AND(E307=0,AVERAGE(INDEX(Ventas!$C$2:$I$5000,MATCH($A307,Ventas!$A$2:$A$5000,0),0))&gt;0,INDEX(Ventas!$J$2:$J$5000,MATCH($A307,Ventas!$A$2:$A$5000,0))&lt;0.5*AVERAGE(INDEX(Ventas!$C$2:$I$5000,MATCH($A307,Ventas!$A$2:$A$5000,0),0))),"SÍ — stock 0 y Sep cayó (prom Feb-Ago "&amp;TEXT(AVERAGE(INDEX(Ventas!$C$2:$I$5000,MATCH($A307,Ventas!$A$2:$A$5000,0),0)),"#,##0")&amp;")",""))</f>
        <v/>
      </c>
      <c r="AF307" s="60">
        <f t="array" ref="AF307">IF(X307="","",IF(AE307&lt;&gt;"",MAX(X307,AVERAGE(INDEX(Ventas!$C$2:$I$5000,MATCH($A307,Ventas!$A$2:$A$5000,0),0))),X307))</f>
        <v>0</v>
      </c>
      <c r="AG307" s="60">
        <f t="shared" si="8"/>
        <v>-293</v>
      </c>
      <c r="AH307" s="63" t="str">
        <f t="shared" si="9"/>
        <v>SIN VENTAS</v>
      </c>
    </row>
    <row r="308" ht="13.5" customHeight="1">
      <c r="A308" s="49" t="s">
        <v>785</v>
      </c>
      <c r="B308" s="50" t="s">
        <v>183</v>
      </c>
      <c r="C308" s="50" t="s">
        <v>3783</v>
      </c>
      <c r="D308" s="50" t="s">
        <v>3743</v>
      </c>
      <c r="E308" s="51">
        <v>150.0</v>
      </c>
      <c r="F308" s="52"/>
      <c r="G308" s="53"/>
      <c r="H308" s="55"/>
      <c r="I308" s="55"/>
      <c r="J308" s="53"/>
      <c r="K308" s="53"/>
      <c r="L308" s="55"/>
      <c r="M308" s="53"/>
      <c r="N308" s="74"/>
      <c r="O308" s="57" t="str">
        <f t="shared" si="1"/>
        <v>OK — cubierto (6.0 meses)</v>
      </c>
      <c r="P308" s="58">
        <f t="shared" si="2"/>
        <v>150</v>
      </c>
      <c r="Q308" s="1"/>
      <c r="R308" s="1"/>
      <c r="S308" s="1"/>
      <c r="T308" s="1"/>
      <c r="U308" s="1"/>
      <c r="V308" s="1"/>
      <c r="W308" s="1"/>
      <c r="X308" s="60">
        <f>IFERROR(VLOOKUP($A308,Ventas!$A$2:$L$5000,12,FALSE()),"")</f>
        <v>25</v>
      </c>
      <c r="Y308" s="60">
        <f t="shared" si="3"/>
        <v>100</v>
      </c>
      <c r="Z308" s="61">
        <f t="shared" si="4"/>
        <v>6</v>
      </c>
      <c r="AA308" s="60">
        <f t="shared" si="5"/>
        <v>-50</v>
      </c>
      <c r="AB308" s="62" t="str">
        <f t="shared" si="6"/>
        <v/>
      </c>
      <c r="AC308" s="62" t="str">
        <f t="array" ref="AC308">IF(AH308&lt;&gt;"COMPRAR","",IF(MAX(INDEX(Ventas!$G$2:$G$5000,MATCH($A308,Ventas!$A$2:$A$5000,0)),INDEX(Ventas!$H$2:$H$5000,MATCH($A308,Ventas!$A$2:$A$5000,0)),INDEX(Ventas!$I$2:$I$5000,MATCH($A308,Ventas!$A$2:$A$5000,0)),INDEX(Ventas!$J$2:$J$5000,MATCH($A308,Ventas!$A$2:$A$5000,0)))&gt;0.5*AF308*4,"1 mes = "&amp;TEXT(MAX(INDEX(Ventas!$G$2:$G$5000,MATCH($A308,Ventas!$A$2:$A$5000,0)),INDEX(Ventas!$H$2:$H$5000,MATCH($A308,Ventas!$A$2:$A$5000,0)),INDEX(Ventas!$I$2:$I$5000,MATCH($A308,Ventas!$A$2:$A$5000,0)),INDEX(Ventas!$J$2:$J$5000,MATCH($A308,Ventas!$A$2:$A$5000,0)))/(AF308*4),"0%")&amp;" de 4 meses",""))</f>
        <v/>
      </c>
      <c r="AD308" s="62" t="str">
        <f t="shared" si="7"/>
        <v/>
      </c>
      <c r="AE308" s="62" t="str">
        <f t="array" ref="AE308">IF(X308="","",IF(AND(E308=0,AVERAGE(INDEX(Ventas!$C$2:$I$5000,MATCH($A308,Ventas!$A$2:$A$5000,0),0))&gt;0,INDEX(Ventas!$J$2:$J$5000,MATCH($A308,Ventas!$A$2:$A$5000,0))&lt;0.5*AVERAGE(INDEX(Ventas!$C$2:$I$5000,MATCH($A308,Ventas!$A$2:$A$5000,0),0))),"SÍ — stock 0 y Sep cayó (prom Feb-Ago "&amp;TEXT(AVERAGE(INDEX(Ventas!$C$2:$I$5000,MATCH($A308,Ventas!$A$2:$A$5000,0),0)),"#,##0")&amp;")",""))</f>
        <v/>
      </c>
      <c r="AF308" s="60">
        <f t="array" ref="AF308">IF(X308="","",IF(AE308&lt;&gt;"",MAX(X308,AVERAGE(INDEX(Ventas!$C$2:$I$5000,MATCH($A308,Ventas!$A$2:$A$5000,0),0))),X308))</f>
        <v>25</v>
      </c>
      <c r="AG308" s="60">
        <f t="shared" si="8"/>
        <v>-50</v>
      </c>
      <c r="AH308" s="63" t="str">
        <f t="shared" si="9"/>
        <v>OK</v>
      </c>
    </row>
    <row r="309" ht="13.5" customHeight="1">
      <c r="A309" s="64" t="s">
        <v>2803</v>
      </c>
      <c r="B309" s="65" t="s">
        <v>183</v>
      </c>
      <c r="C309" s="65" t="s">
        <v>3784</v>
      </c>
      <c r="D309" s="65" t="s">
        <v>1329</v>
      </c>
      <c r="E309" s="51">
        <v>1480.0</v>
      </c>
      <c r="F309" s="66"/>
      <c r="G309" s="53"/>
      <c r="H309" s="55"/>
      <c r="I309" s="55"/>
      <c r="J309" s="53"/>
      <c r="K309" s="53"/>
      <c r="L309" s="55"/>
      <c r="M309" s="53"/>
      <c r="N309" s="73"/>
      <c r="O309" s="57" t="str">
        <f t="shared" si="1"/>
        <v>SOBRESTOCK — 19.5 meses de cobertura</v>
      </c>
      <c r="P309" s="58">
        <f t="shared" si="2"/>
        <v>1480</v>
      </c>
      <c r="Q309" s="1"/>
      <c r="R309" s="1"/>
      <c r="S309" s="1"/>
      <c r="T309" s="1"/>
      <c r="U309" s="1"/>
      <c r="V309" s="1"/>
      <c r="W309" s="1"/>
      <c r="X309" s="60">
        <f>IFERROR(VLOOKUP($A309,Ventas!$A$2:$L$5000,12,FALSE()),"")</f>
        <v>75.75</v>
      </c>
      <c r="Y309" s="60">
        <f t="shared" si="3"/>
        <v>303</v>
      </c>
      <c r="Z309" s="61">
        <f t="shared" si="4"/>
        <v>19.5</v>
      </c>
      <c r="AA309" s="60">
        <f t="shared" si="5"/>
        <v>-1177</v>
      </c>
      <c r="AB309" s="62" t="str">
        <f t="shared" si="6"/>
        <v/>
      </c>
      <c r="AC309" s="62" t="str">
        <f t="array" ref="AC309">IF(AH309&lt;&gt;"COMPRAR","",IF(MAX(INDEX(Ventas!$G$2:$G$5000,MATCH($A309,Ventas!$A$2:$A$5000,0)),INDEX(Ventas!$H$2:$H$5000,MATCH($A309,Ventas!$A$2:$A$5000,0)),INDEX(Ventas!$I$2:$I$5000,MATCH($A309,Ventas!$A$2:$A$5000,0)),INDEX(Ventas!$J$2:$J$5000,MATCH($A309,Ventas!$A$2:$A$5000,0)))&gt;0.5*AF309*4,"1 mes = "&amp;TEXT(MAX(INDEX(Ventas!$G$2:$G$5000,MATCH($A309,Ventas!$A$2:$A$5000,0)),INDEX(Ventas!$H$2:$H$5000,MATCH($A309,Ventas!$A$2:$A$5000,0)),INDEX(Ventas!$I$2:$I$5000,MATCH($A309,Ventas!$A$2:$A$5000,0)),INDEX(Ventas!$J$2:$J$5000,MATCH($A309,Ventas!$A$2:$A$5000,0)))/(AF309*4),"0%")&amp;" de 4 meses",""))</f>
        <v/>
      </c>
      <c r="AD309" s="62" t="str">
        <f t="shared" si="7"/>
        <v/>
      </c>
      <c r="AE309" s="62" t="str">
        <f t="array" ref="AE309">IF(X309="","",IF(AND(E309=0,AVERAGE(INDEX(Ventas!$C$2:$I$5000,MATCH($A309,Ventas!$A$2:$A$5000,0),0))&gt;0,INDEX(Ventas!$J$2:$J$5000,MATCH($A309,Ventas!$A$2:$A$5000,0))&lt;0.5*AVERAGE(INDEX(Ventas!$C$2:$I$5000,MATCH($A309,Ventas!$A$2:$A$5000,0),0))),"SÍ — stock 0 y Sep cayó (prom Feb-Ago "&amp;TEXT(AVERAGE(INDEX(Ventas!$C$2:$I$5000,MATCH($A309,Ventas!$A$2:$A$5000,0),0)),"#,##0")&amp;")",""))</f>
        <v/>
      </c>
      <c r="AF309" s="60">
        <f t="array" ref="AF309">IF(X309="","",IF(AE309&lt;&gt;"",MAX(X309,AVERAGE(INDEX(Ventas!$C$2:$I$5000,MATCH($A309,Ventas!$A$2:$A$5000,0),0))),X309))</f>
        <v>75.75</v>
      </c>
      <c r="AG309" s="60">
        <f t="shared" si="8"/>
        <v>-1177</v>
      </c>
      <c r="AH309" s="63" t="str">
        <f t="shared" si="9"/>
        <v>SOBRESTOCK</v>
      </c>
    </row>
    <row r="310" ht="13.5" customHeight="1">
      <c r="A310" s="49" t="s">
        <v>2795</v>
      </c>
      <c r="B310" s="50" t="s">
        <v>183</v>
      </c>
      <c r="C310" s="50" t="s">
        <v>3784</v>
      </c>
      <c r="D310" s="50" t="s">
        <v>336</v>
      </c>
      <c r="E310" s="51">
        <v>1661.0</v>
      </c>
      <c r="F310" s="52"/>
      <c r="G310" s="53"/>
      <c r="H310" s="55"/>
      <c r="I310" s="55"/>
      <c r="J310" s="53"/>
      <c r="K310" s="53"/>
      <c r="L310" s="55"/>
      <c r="M310" s="53"/>
      <c r="N310" s="74"/>
      <c r="O310" s="57" t="str">
        <f t="shared" si="1"/>
        <v>SIN VENTAS Jun-Sep — no comprar (1,661 m disponibles)</v>
      </c>
      <c r="P310" s="58">
        <f t="shared" si="2"/>
        <v>1661</v>
      </c>
      <c r="Q310" s="1"/>
      <c r="R310" s="1"/>
      <c r="S310" s="1"/>
      <c r="T310" s="1"/>
      <c r="U310" s="1"/>
      <c r="V310" s="1"/>
      <c r="W310" s="1"/>
      <c r="X310" s="60">
        <f>IFERROR(VLOOKUP($A310,Ventas!$A$2:$L$5000,12,FALSE()),"")</f>
        <v>0</v>
      </c>
      <c r="Y310" s="60">
        <f t="shared" si="3"/>
        <v>0</v>
      </c>
      <c r="Z310" s="61" t="str">
        <f t="shared" si="4"/>
        <v/>
      </c>
      <c r="AA310" s="60">
        <f t="shared" si="5"/>
        <v>-1661</v>
      </c>
      <c r="AB310" s="62" t="str">
        <f t="shared" si="6"/>
        <v/>
      </c>
      <c r="AC310" s="62" t="str">
        <f t="array" ref="AC310">IF(AH310&lt;&gt;"COMPRAR","",IF(MAX(INDEX(Ventas!$G$2:$G$5000,MATCH($A310,Ventas!$A$2:$A$5000,0)),INDEX(Ventas!$H$2:$H$5000,MATCH($A310,Ventas!$A$2:$A$5000,0)),INDEX(Ventas!$I$2:$I$5000,MATCH($A310,Ventas!$A$2:$A$5000,0)),INDEX(Ventas!$J$2:$J$5000,MATCH($A310,Ventas!$A$2:$A$5000,0)))&gt;0.5*AF310*4,"1 mes = "&amp;TEXT(MAX(INDEX(Ventas!$G$2:$G$5000,MATCH($A310,Ventas!$A$2:$A$5000,0)),INDEX(Ventas!$H$2:$H$5000,MATCH($A310,Ventas!$A$2:$A$5000,0)),INDEX(Ventas!$I$2:$I$5000,MATCH($A310,Ventas!$A$2:$A$5000,0)),INDEX(Ventas!$J$2:$J$5000,MATCH($A310,Ventas!$A$2:$A$5000,0)))/(AF310*4),"0%")&amp;" de 4 meses",""))</f>
        <v/>
      </c>
      <c r="AD310" s="62" t="str">
        <f t="shared" si="7"/>
        <v/>
      </c>
      <c r="AE310" s="62" t="str">
        <f t="array" ref="AE310">IF(X310="","",IF(AND(E310=0,AVERAGE(INDEX(Ventas!$C$2:$I$5000,MATCH($A310,Ventas!$A$2:$A$5000,0),0))&gt;0,INDEX(Ventas!$J$2:$J$5000,MATCH($A310,Ventas!$A$2:$A$5000,0))&lt;0.5*AVERAGE(INDEX(Ventas!$C$2:$I$5000,MATCH($A310,Ventas!$A$2:$A$5000,0),0))),"SÍ — stock 0 y Sep cayó (prom Feb-Ago "&amp;TEXT(AVERAGE(INDEX(Ventas!$C$2:$I$5000,MATCH($A310,Ventas!$A$2:$A$5000,0),0)),"#,##0")&amp;")",""))</f>
        <v/>
      </c>
      <c r="AF310" s="60">
        <f t="array" ref="AF310">IF(X310="","",IF(AE310&lt;&gt;"",MAX(X310,AVERAGE(INDEX(Ventas!$C$2:$I$5000,MATCH($A310,Ventas!$A$2:$A$5000,0),0))),X310))</f>
        <v>0</v>
      </c>
      <c r="AG310" s="60">
        <f t="shared" si="8"/>
        <v>-1661</v>
      </c>
      <c r="AH310" s="63" t="str">
        <f t="shared" si="9"/>
        <v>SIN VENTAS</v>
      </c>
    </row>
    <row r="311" ht="13.5" customHeight="1">
      <c r="A311" s="64" t="s">
        <v>2805</v>
      </c>
      <c r="B311" s="65" t="s">
        <v>183</v>
      </c>
      <c r="C311" s="65" t="s">
        <v>3784</v>
      </c>
      <c r="D311" s="65" t="s">
        <v>646</v>
      </c>
      <c r="E311" s="51">
        <v>1222.0</v>
      </c>
      <c r="F311" s="66"/>
      <c r="G311" s="53"/>
      <c r="H311" s="55"/>
      <c r="I311" s="55"/>
      <c r="J311" s="53"/>
      <c r="K311" s="53"/>
      <c r="L311" s="55"/>
      <c r="M311" s="53"/>
      <c r="N311" s="73"/>
      <c r="O311" s="57" t="str">
        <f t="shared" si="1"/>
        <v>SOBRESTOCK — 97.8 meses de cobertura</v>
      </c>
      <c r="P311" s="58">
        <f t="shared" si="2"/>
        <v>1222</v>
      </c>
      <c r="Q311" s="1"/>
      <c r="R311" s="1"/>
      <c r="S311" s="1"/>
      <c r="T311" s="1"/>
      <c r="U311" s="1"/>
      <c r="V311" s="1"/>
      <c r="W311" s="1"/>
      <c r="X311" s="60">
        <f>IFERROR(VLOOKUP($A311,Ventas!$A$2:$L$5000,12,FALSE()),"")</f>
        <v>12.5</v>
      </c>
      <c r="Y311" s="60">
        <f t="shared" si="3"/>
        <v>50</v>
      </c>
      <c r="Z311" s="61">
        <f t="shared" si="4"/>
        <v>97.8</v>
      </c>
      <c r="AA311" s="60">
        <f t="shared" si="5"/>
        <v>-1172</v>
      </c>
      <c r="AB311" s="62" t="str">
        <f t="shared" si="6"/>
        <v/>
      </c>
      <c r="AC311" s="62" t="str">
        <f t="array" ref="AC311">IF(AH311&lt;&gt;"COMPRAR","",IF(MAX(INDEX(Ventas!$G$2:$G$5000,MATCH($A311,Ventas!$A$2:$A$5000,0)),INDEX(Ventas!$H$2:$H$5000,MATCH($A311,Ventas!$A$2:$A$5000,0)),INDEX(Ventas!$I$2:$I$5000,MATCH($A311,Ventas!$A$2:$A$5000,0)),INDEX(Ventas!$J$2:$J$5000,MATCH($A311,Ventas!$A$2:$A$5000,0)))&gt;0.5*AF311*4,"1 mes = "&amp;TEXT(MAX(INDEX(Ventas!$G$2:$G$5000,MATCH($A311,Ventas!$A$2:$A$5000,0)),INDEX(Ventas!$H$2:$H$5000,MATCH($A311,Ventas!$A$2:$A$5000,0)),INDEX(Ventas!$I$2:$I$5000,MATCH($A311,Ventas!$A$2:$A$5000,0)),INDEX(Ventas!$J$2:$J$5000,MATCH($A311,Ventas!$A$2:$A$5000,0)))/(AF311*4),"0%")&amp;" de 4 meses",""))</f>
        <v/>
      </c>
      <c r="AD311" s="62" t="str">
        <f t="shared" si="7"/>
        <v/>
      </c>
      <c r="AE311" s="62" t="str">
        <f t="array" ref="AE311">IF(X311="","",IF(AND(E311=0,AVERAGE(INDEX(Ventas!$C$2:$I$5000,MATCH($A311,Ventas!$A$2:$A$5000,0),0))&gt;0,INDEX(Ventas!$J$2:$J$5000,MATCH($A311,Ventas!$A$2:$A$5000,0))&lt;0.5*AVERAGE(INDEX(Ventas!$C$2:$I$5000,MATCH($A311,Ventas!$A$2:$A$5000,0),0))),"SÍ — stock 0 y Sep cayó (prom Feb-Ago "&amp;TEXT(AVERAGE(INDEX(Ventas!$C$2:$I$5000,MATCH($A311,Ventas!$A$2:$A$5000,0),0)),"#,##0")&amp;")",""))</f>
        <v/>
      </c>
      <c r="AF311" s="60">
        <f t="array" ref="AF311">IF(X311="","",IF(AE311&lt;&gt;"",MAX(X311,AVERAGE(INDEX(Ventas!$C$2:$I$5000,MATCH($A311,Ventas!$A$2:$A$5000,0),0))),X311))</f>
        <v>12.5</v>
      </c>
      <c r="AG311" s="60">
        <f t="shared" si="8"/>
        <v>-1172</v>
      </c>
      <c r="AH311" s="63" t="str">
        <f t="shared" si="9"/>
        <v>SOBRESTOCK</v>
      </c>
    </row>
    <row r="312" ht="13.5" customHeight="1">
      <c r="A312" s="49" t="s">
        <v>2801</v>
      </c>
      <c r="B312" s="50" t="s">
        <v>183</v>
      </c>
      <c r="C312" s="50" t="s">
        <v>3784</v>
      </c>
      <c r="D312" s="50" t="s">
        <v>794</v>
      </c>
      <c r="E312" s="51">
        <v>1952.0</v>
      </c>
      <c r="F312" s="52"/>
      <c r="G312" s="53"/>
      <c r="H312" s="55"/>
      <c r="I312" s="55"/>
      <c r="J312" s="53"/>
      <c r="K312" s="53"/>
      <c r="L312" s="55"/>
      <c r="M312" s="53"/>
      <c r="N312" s="74"/>
      <c r="O312" s="57" t="str">
        <f t="shared" si="1"/>
        <v>SIN VENTAS Jun-Sep — no comprar (1,952 m disponibles)</v>
      </c>
      <c r="P312" s="58">
        <f t="shared" si="2"/>
        <v>1952</v>
      </c>
      <c r="Q312" s="1"/>
      <c r="R312" s="1"/>
      <c r="S312" s="1"/>
      <c r="T312" s="1"/>
      <c r="U312" s="1"/>
      <c r="V312" s="1"/>
      <c r="W312" s="1"/>
      <c r="X312" s="60">
        <f>IFERROR(VLOOKUP($A312,Ventas!$A$2:$L$5000,12,FALSE()),"")</f>
        <v>0</v>
      </c>
      <c r="Y312" s="60">
        <f t="shared" si="3"/>
        <v>0</v>
      </c>
      <c r="Z312" s="61" t="str">
        <f t="shared" si="4"/>
        <v/>
      </c>
      <c r="AA312" s="60">
        <f t="shared" si="5"/>
        <v>-1952</v>
      </c>
      <c r="AB312" s="62" t="str">
        <f t="shared" si="6"/>
        <v/>
      </c>
      <c r="AC312" s="62" t="str">
        <f t="array" ref="AC312">IF(AH312&lt;&gt;"COMPRAR","",IF(MAX(INDEX(Ventas!$G$2:$G$5000,MATCH($A312,Ventas!$A$2:$A$5000,0)),INDEX(Ventas!$H$2:$H$5000,MATCH($A312,Ventas!$A$2:$A$5000,0)),INDEX(Ventas!$I$2:$I$5000,MATCH($A312,Ventas!$A$2:$A$5000,0)),INDEX(Ventas!$J$2:$J$5000,MATCH($A312,Ventas!$A$2:$A$5000,0)))&gt;0.5*AF312*4,"1 mes = "&amp;TEXT(MAX(INDEX(Ventas!$G$2:$G$5000,MATCH($A312,Ventas!$A$2:$A$5000,0)),INDEX(Ventas!$H$2:$H$5000,MATCH($A312,Ventas!$A$2:$A$5000,0)),INDEX(Ventas!$I$2:$I$5000,MATCH($A312,Ventas!$A$2:$A$5000,0)),INDEX(Ventas!$J$2:$J$5000,MATCH($A312,Ventas!$A$2:$A$5000,0)))/(AF312*4),"0%")&amp;" de 4 meses",""))</f>
        <v/>
      </c>
      <c r="AD312" s="62" t="str">
        <f t="shared" si="7"/>
        <v/>
      </c>
      <c r="AE312" s="62" t="str">
        <f t="array" ref="AE312">IF(X312="","",IF(AND(E312=0,AVERAGE(INDEX(Ventas!$C$2:$I$5000,MATCH($A312,Ventas!$A$2:$A$5000,0),0))&gt;0,INDEX(Ventas!$J$2:$J$5000,MATCH($A312,Ventas!$A$2:$A$5000,0))&lt;0.5*AVERAGE(INDEX(Ventas!$C$2:$I$5000,MATCH($A312,Ventas!$A$2:$A$5000,0),0))),"SÍ — stock 0 y Sep cayó (prom Feb-Ago "&amp;TEXT(AVERAGE(INDEX(Ventas!$C$2:$I$5000,MATCH($A312,Ventas!$A$2:$A$5000,0),0)),"#,##0")&amp;")",""))</f>
        <v/>
      </c>
      <c r="AF312" s="60">
        <f t="array" ref="AF312">IF(X312="","",IF(AE312&lt;&gt;"",MAX(X312,AVERAGE(INDEX(Ventas!$C$2:$I$5000,MATCH($A312,Ventas!$A$2:$A$5000,0),0))),X312))</f>
        <v>0</v>
      </c>
      <c r="AG312" s="60">
        <f t="shared" si="8"/>
        <v>-1952</v>
      </c>
      <c r="AH312" s="63" t="str">
        <f t="shared" si="9"/>
        <v>SIN VENTAS</v>
      </c>
    </row>
    <row r="313" ht="13.5" customHeight="1">
      <c r="A313" s="64" t="s">
        <v>2797</v>
      </c>
      <c r="B313" s="65" t="s">
        <v>183</v>
      </c>
      <c r="C313" s="65" t="s">
        <v>3784</v>
      </c>
      <c r="D313" s="65" t="s">
        <v>3635</v>
      </c>
      <c r="E313" s="51">
        <v>1517.0</v>
      </c>
      <c r="F313" s="66"/>
      <c r="G313" s="53"/>
      <c r="H313" s="55"/>
      <c r="I313" s="55"/>
      <c r="J313" s="53"/>
      <c r="K313" s="53"/>
      <c r="L313" s="55"/>
      <c r="M313" s="53"/>
      <c r="N313" s="73"/>
      <c r="O313" s="57" t="str">
        <f t="shared" si="1"/>
        <v>SOBRESTOCK — 121.4 meses de cobertura</v>
      </c>
      <c r="P313" s="58">
        <f t="shared" si="2"/>
        <v>1517</v>
      </c>
      <c r="Q313" s="1"/>
      <c r="R313" s="1"/>
      <c r="S313" s="1"/>
      <c r="T313" s="1"/>
      <c r="U313" s="1"/>
      <c r="V313" s="1"/>
      <c r="W313" s="1"/>
      <c r="X313" s="60">
        <f>IFERROR(VLOOKUP($A313,Ventas!$A$2:$L$5000,12,FALSE()),"")</f>
        <v>12.5</v>
      </c>
      <c r="Y313" s="60">
        <f t="shared" si="3"/>
        <v>50</v>
      </c>
      <c r="Z313" s="61">
        <f t="shared" si="4"/>
        <v>121.4</v>
      </c>
      <c r="AA313" s="60">
        <f t="shared" si="5"/>
        <v>-1467</v>
      </c>
      <c r="AB313" s="62" t="str">
        <f t="shared" si="6"/>
        <v/>
      </c>
      <c r="AC313" s="62" t="str">
        <f t="array" ref="AC313">IF(AH313&lt;&gt;"COMPRAR","",IF(MAX(INDEX(Ventas!$G$2:$G$5000,MATCH($A313,Ventas!$A$2:$A$5000,0)),INDEX(Ventas!$H$2:$H$5000,MATCH($A313,Ventas!$A$2:$A$5000,0)),INDEX(Ventas!$I$2:$I$5000,MATCH($A313,Ventas!$A$2:$A$5000,0)),INDEX(Ventas!$J$2:$J$5000,MATCH($A313,Ventas!$A$2:$A$5000,0)))&gt;0.5*AF313*4,"1 mes = "&amp;TEXT(MAX(INDEX(Ventas!$G$2:$G$5000,MATCH($A313,Ventas!$A$2:$A$5000,0)),INDEX(Ventas!$H$2:$H$5000,MATCH($A313,Ventas!$A$2:$A$5000,0)),INDEX(Ventas!$I$2:$I$5000,MATCH($A313,Ventas!$A$2:$A$5000,0)),INDEX(Ventas!$J$2:$J$5000,MATCH($A313,Ventas!$A$2:$A$5000,0)))/(AF313*4),"0%")&amp;" de 4 meses",""))</f>
        <v/>
      </c>
      <c r="AD313" s="62" t="str">
        <f t="shared" si="7"/>
        <v/>
      </c>
      <c r="AE313" s="62" t="str">
        <f t="array" ref="AE313">IF(X313="","",IF(AND(E313=0,AVERAGE(INDEX(Ventas!$C$2:$I$5000,MATCH($A313,Ventas!$A$2:$A$5000,0),0))&gt;0,INDEX(Ventas!$J$2:$J$5000,MATCH($A313,Ventas!$A$2:$A$5000,0))&lt;0.5*AVERAGE(INDEX(Ventas!$C$2:$I$5000,MATCH($A313,Ventas!$A$2:$A$5000,0),0))),"SÍ — stock 0 y Sep cayó (prom Feb-Ago "&amp;TEXT(AVERAGE(INDEX(Ventas!$C$2:$I$5000,MATCH($A313,Ventas!$A$2:$A$5000,0),0)),"#,##0")&amp;")",""))</f>
        <v/>
      </c>
      <c r="AF313" s="60">
        <f t="array" ref="AF313">IF(X313="","",IF(AE313&lt;&gt;"",MAX(X313,AVERAGE(INDEX(Ventas!$C$2:$I$5000,MATCH($A313,Ventas!$A$2:$A$5000,0),0))),X313))</f>
        <v>12.5</v>
      </c>
      <c r="AG313" s="60">
        <f t="shared" si="8"/>
        <v>-1467</v>
      </c>
      <c r="AH313" s="63" t="str">
        <f t="shared" si="9"/>
        <v>SOBRESTOCK</v>
      </c>
    </row>
    <row r="314" ht="13.5" customHeight="1">
      <c r="A314" s="49" t="s">
        <v>2799</v>
      </c>
      <c r="B314" s="50" t="s">
        <v>183</v>
      </c>
      <c r="C314" s="50" t="s">
        <v>3784</v>
      </c>
      <c r="D314" s="50" t="s">
        <v>3716</v>
      </c>
      <c r="E314" s="51">
        <v>466.0</v>
      </c>
      <c r="F314" s="52"/>
      <c r="G314" s="53"/>
      <c r="H314" s="55"/>
      <c r="I314" s="55"/>
      <c r="J314" s="53"/>
      <c r="K314" s="53"/>
      <c r="L314" s="55"/>
      <c r="M314" s="53"/>
      <c r="N314" s="74"/>
      <c r="O314" s="57" t="str">
        <f t="shared" si="1"/>
        <v>SIN VENTAS Jun-Sep — no comprar (466 m disponibles)</v>
      </c>
      <c r="P314" s="58">
        <f t="shared" si="2"/>
        <v>466</v>
      </c>
      <c r="Q314" s="1"/>
      <c r="R314" s="1"/>
      <c r="S314" s="1"/>
      <c r="T314" s="1"/>
      <c r="U314" s="1"/>
      <c r="V314" s="1"/>
      <c r="W314" s="1"/>
      <c r="X314" s="60">
        <f>IFERROR(VLOOKUP($A314,Ventas!$A$2:$L$5000,12,FALSE()),"")</f>
        <v>0</v>
      </c>
      <c r="Y314" s="60">
        <f t="shared" si="3"/>
        <v>0</v>
      </c>
      <c r="Z314" s="61" t="str">
        <f t="shared" si="4"/>
        <v/>
      </c>
      <c r="AA314" s="60">
        <f t="shared" si="5"/>
        <v>-466</v>
      </c>
      <c r="AB314" s="62" t="str">
        <f t="shared" si="6"/>
        <v/>
      </c>
      <c r="AC314" s="62" t="str">
        <f t="array" ref="AC314">IF(AH314&lt;&gt;"COMPRAR","",IF(MAX(INDEX(Ventas!$G$2:$G$5000,MATCH($A314,Ventas!$A$2:$A$5000,0)),INDEX(Ventas!$H$2:$H$5000,MATCH($A314,Ventas!$A$2:$A$5000,0)),INDEX(Ventas!$I$2:$I$5000,MATCH($A314,Ventas!$A$2:$A$5000,0)),INDEX(Ventas!$J$2:$J$5000,MATCH($A314,Ventas!$A$2:$A$5000,0)))&gt;0.5*AF314*4,"1 mes = "&amp;TEXT(MAX(INDEX(Ventas!$G$2:$G$5000,MATCH($A314,Ventas!$A$2:$A$5000,0)),INDEX(Ventas!$H$2:$H$5000,MATCH($A314,Ventas!$A$2:$A$5000,0)),INDEX(Ventas!$I$2:$I$5000,MATCH($A314,Ventas!$A$2:$A$5000,0)),INDEX(Ventas!$J$2:$J$5000,MATCH($A314,Ventas!$A$2:$A$5000,0)))/(AF314*4),"0%")&amp;" de 4 meses",""))</f>
        <v/>
      </c>
      <c r="AD314" s="62" t="str">
        <f t="shared" si="7"/>
        <v/>
      </c>
      <c r="AE314" s="62" t="str">
        <f t="array" ref="AE314">IF(X314="","",IF(AND(E314=0,AVERAGE(INDEX(Ventas!$C$2:$I$5000,MATCH($A314,Ventas!$A$2:$A$5000,0),0))&gt;0,INDEX(Ventas!$J$2:$J$5000,MATCH($A314,Ventas!$A$2:$A$5000,0))&lt;0.5*AVERAGE(INDEX(Ventas!$C$2:$I$5000,MATCH($A314,Ventas!$A$2:$A$5000,0),0))),"SÍ — stock 0 y Sep cayó (prom Feb-Ago "&amp;TEXT(AVERAGE(INDEX(Ventas!$C$2:$I$5000,MATCH($A314,Ventas!$A$2:$A$5000,0),0)),"#,##0")&amp;")",""))</f>
        <v/>
      </c>
      <c r="AF314" s="60">
        <f t="array" ref="AF314">IF(X314="","",IF(AE314&lt;&gt;"",MAX(X314,AVERAGE(INDEX(Ventas!$C$2:$I$5000,MATCH($A314,Ventas!$A$2:$A$5000,0),0))),X314))</f>
        <v>0</v>
      </c>
      <c r="AG314" s="60">
        <f t="shared" si="8"/>
        <v>-466</v>
      </c>
      <c r="AH314" s="63" t="str">
        <f t="shared" si="9"/>
        <v>SIN VENTAS</v>
      </c>
    </row>
    <row r="315" ht="13.5" customHeight="1">
      <c r="A315" s="64" t="s">
        <v>2807</v>
      </c>
      <c r="B315" s="65" t="s">
        <v>183</v>
      </c>
      <c r="C315" s="65" t="s">
        <v>3784</v>
      </c>
      <c r="D315" s="65" t="s">
        <v>3756</v>
      </c>
      <c r="E315" s="51">
        <v>689.0</v>
      </c>
      <c r="F315" s="66"/>
      <c r="G315" s="53"/>
      <c r="H315" s="55"/>
      <c r="I315" s="55"/>
      <c r="J315" s="53"/>
      <c r="K315" s="53"/>
      <c r="L315" s="55"/>
      <c r="M315" s="53"/>
      <c r="N315" s="73"/>
      <c r="O315" s="57" t="str">
        <f t="shared" si="1"/>
        <v>SOBRESTOCK — 55.1 meses de cobertura</v>
      </c>
      <c r="P315" s="58">
        <f t="shared" si="2"/>
        <v>689</v>
      </c>
      <c r="Q315" s="1"/>
      <c r="R315" s="1"/>
      <c r="S315" s="1"/>
      <c r="T315" s="1"/>
      <c r="U315" s="1"/>
      <c r="V315" s="1"/>
      <c r="W315" s="1"/>
      <c r="X315" s="60">
        <f>IFERROR(VLOOKUP($A315,Ventas!$A$2:$L$5000,12,FALSE()),"")</f>
        <v>12.5</v>
      </c>
      <c r="Y315" s="60">
        <f t="shared" si="3"/>
        <v>50</v>
      </c>
      <c r="Z315" s="61">
        <f t="shared" si="4"/>
        <v>55.1</v>
      </c>
      <c r="AA315" s="60">
        <f t="shared" si="5"/>
        <v>-639</v>
      </c>
      <c r="AB315" s="62" t="str">
        <f t="shared" si="6"/>
        <v/>
      </c>
      <c r="AC315" s="62" t="str">
        <f t="array" ref="AC315">IF(AH315&lt;&gt;"COMPRAR","",IF(MAX(INDEX(Ventas!$G$2:$G$5000,MATCH($A315,Ventas!$A$2:$A$5000,0)),INDEX(Ventas!$H$2:$H$5000,MATCH($A315,Ventas!$A$2:$A$5000,0)),INDEX(Ventas!$I$2:$I$5000,MATCH($A315,Ventas!$A$2:$A$5000,0)),INDEX(Ventas!$J$2:$J$5000,MATCH($A315,Ventas!$A$2:$A$5000,0)))&gt;0.5*AF315*4,"1 mes = "&amp;TEXT(MAX(INDEX(Ventas!$G$2:$G$5000,MATCH($A315,Ventas!$A$2:$A$5000,0)),INDEX(Ventas!$H$2:$H$5000,MATCH($A315,Ventas!$A$2:$A$5000,0)),INDEX(Ventas!$I$2:$I$5000,MATCH($A315,Ventas!$A$2:$A$5000,0)),INDEX(Ventas!$J$2:$J$5000,MATCH($A315,Ventas!$A$2:$A$5000,0)))/(AF315*4),"0%")&amp;" de 4 meses",""))</f>
        <v/>
      </c>
      <c r="AD315" s="62" t="str">
        <f t="shared" si="7"/>
        <v/>
      </c>
      <c r="AE315" s="62" t="str">
        <f t="array" ref="AE315">IF(X315="","",IF(AND(E315=0,AVERAGE(INDEX(Ventas!$C$2:$I$5000,MATCH($A315,Ventas!$A$2:$A$5000,0),0))&gt;0,INDEX(Ventas!$J$2:$J$5000,MATCH($A315,Ventas!$A$2:$A$5000,0))&lt;0.5*AVERAGE(INDEX(Ventas!$C$2:$I$5000,MATCH($A315,Ventas!$A$2:$A$5000,0),0))),"SÍ — stock 0 y Sep cayó (prom Feb-Ago "&amp;TEXT(AVERAGE(INDEX(Ventas!$C$2:$I$5000,MATCH($A315,Ventas!$A$2:$A$5000,0),0)),"#,##0")&amp;")",""))</f>
        <v/>
      </c>
      <c r="AF315" s="60">
        <f t="array" ref="AF315">IF(X315="","",IF(AE315&lt;&gt;"",MAX(X315,AVERAGE(INDEX(Ventas!$C$2:$I$5000,MATCH($A315,Ventas!$A$2:$A$5000,0),0))),X315))</f>
        <v>12.5</v>
      </c>
      <c r="AG315" s="60">
        <f t="shared" si="8"/>
        <v>-639</v>
      </c>
      <c r="AH315" s="63" t="str">
        <f t="shared" si="9"/>
        <v>SOBRESTOCK</v>
      </c>
    </row>
    <row r="316" ht="13.5" customHeight="1">
      <c r="A316" s="49" t="s">
        <v>2809</v>
      </c>
      <c r="B316" s="50" t="s">
        <v>183</v>
      </c>
      <c r="C316" s="50" t="s">
        <v>3784</v>
      </c>
      <c r="D316" s="50" t="s">
        <v>3743</v>
      </c>
      <c r="E316" s="51">
        <v>455.0</v>
      </c>
      <c r="F316" s="52"/>
      <c r="G316" s="53"/>
      <c r="H316" s="55"/>
      <c r="I316" s="55"/>
      <c r="J316" s="53"/>
      <c r="K316" s="53"/>
      <c r="L316" s="55"/>
      <c r="M316" s="53"/>
      <c r="N316" s="74"/>
      <c r="O316" s="57" t="str">
        <f t="shared" si="1"/>
        <v>SIN VENTAS Jun-Sep — no comprar (455 m disponibles)</v>
      </c>
      <c r="P316" s="58">
        <f t="shared" si="2"/>
        <v>455</v>
      </c>
      <c r="Q316" s="1"/>
      <c r="R316" s="1"/>
      <c r="S316" s="1"/>
      <c r="T316" s="1"/>
      <c r="U316" s="1"/>
      <c r="V316" s="1"/>
      <c r="W316" s="1"/>
      <c r="X316" s="60">
        <f>IFERROR(VLOOKUP($A316,Ventas!$A$2:$L$5000,12,FALSE()),"")</f>
        <v>0</v>
      </c>
      <c r="Y316" s="60">
        <f t="shared" si="3"/>
        <v>0</v>
      </c>
      <c r="Z316" s="61" t="str">
        <f t="shared" si="4"/>
        <v/>
      </c>
      <c r="AA316" s="60">
        <f t="shared" si="5"/>
        <v>-455</v>
      </c>
      <c r="AB316" s="62" t="str">
        <f t="shared" si="6"/>
        <v/>
      </c>
      <c r="AC316" s="62" t="str">
        <f t="array" ref="AC316">IF(AH316&lt;&gt;"COMPRAR","",IF(MAX(INDEX(Ventas!$G$2:$G$5000,MATCH($A316,Ventas!$A$2:$A$5000,0)),INDEX(Ventas!$H$2:$H$5000,MATCH($A316,Ventas!$A$2:$A$5000,0)),INDEX(Ventas!$I$2:$I$5000,MATCH($A316,Ventas!$A$2:$A$5000,0)),INDEX(Ventas!$J$2:$J$5000,MATCH($A316,Ventas!$A$2:$A$5000,0)))&gt;0.5*AF316*4,"1 mes = "&amp;TEXT(MAX(INDEX(Ventas!$G$2:$G$5000,MATCH($A316,Ventas!$A$2:$A$5000,0)),INDEX(Ventas!$H$2:$H$5000,MATCH($A316,Ventas!$A$2:$A$5000,0)),INDEX(Ventas!$I$2:$I$5000,MATCH($A316,Ventas!$A$2:$A$5000,0)),INDEX(Ventas!$J$2:$J$5000,MATCH($A316,Ventas!$A$2:$A$5000,0)))/(AF316*4),"0%")&amp;" de 4 meses",""))</f>
        <v/>
      </c>
      <c r="AD316" s="62" t="str">
        <f t="shared" si="7"/>
        <v/>
      </c>
      <c r="AE316" s="62" t="str">
        <f t="array" ref="AE316">IF(X316="","",IF(AND(E316=0,AVERAGE(INDEX(Ventas!$C$2:$I$5000,MATCH($A316,Ventas!$A$2:$A$5000,0),0))&gt;0,INDEX(Ventas!$J$2:$J$5000,MATCH($A316,Ventas!$A$2:$A$5000,0))&lt;0.5*AVERAGE(INDEX(Ventas!$C$2:$I$5000,MATCH($A316,Ventas!$A$2:$A$5000,0),0))),"SÍ — stock 0 y Sep cayó (prom Feb-Ago "&amp;TEXT(AVERAGE(INDEX(Ventas!$C$2:$I$5000,MATCH($A316,Ventas!$A$2:$A$5000,0),0)),"#,##0")&amp;")",""))</f>
        <v/>
      </c>
      <c r="AF316" s="60">
        <f t="array" ref="AF316">IF(X316="","",IF(AE316&lt;&gt;"",MAX(X316,AVERAGE(INDEX(Ventas!$C$2:$I$5000,MATCH($A316,Ventas!$A$2:$A$5000,0),0))),X316))</f>
        <v>0</v>
      </c>
      <c r="AG316" s="60">
        <f t="shared" si="8"/>
        <v>-455</v>
      </c>
      <c r="AH316" s="63" t="str">
        <f t="shared" si="9"/>
        <v>SIN VENTAS</v>
      </c>
    </row>
    <row r="317" ht="13.5" customHeight="1">
      <c r="A317" s="64" t="s">
        <v>1373</v>
      </c>
      <c r="B317" s="65" t="s">
        <v>183</v>
      </c>
      <c r="C317" s="65" t="s">
        <v>3781</v>
      </c>
      <c r="D317" s="65" t="s">
        <v>185</v>
      </c>
      <c r="E317" s="51">
        <v>650.0</v>
      </c>
      <c r="F317" s="66"/>
      <c r="G317" s="53"/>
      <c r="H317" s="55"/>
      <c r="I317" s="55"/>
      <c r="J317" s="53"/>
      <c r="K317" s="53"/>
      <c r="L317" s="55"/>
      <c r="M317" s="53"/>
      <c r="N317" s="73"/>
      <c r="O317" s="57" t="str">
        <f t="shared" si="1"/>
        <v>SOBRESTOCK — 26.0 meses de cobertura</v>
      </c>
      <c r="P317" s="58">
        <f t="shared" si="2"/>
        <v>650</v>
      </c>
      <c r="Q317" s="88">
        <v>277.0</v>
      </c>
      <c r="R317" s="88">
        <v>750.0</v>
      </c>
      <c r="S317" s="1"/>
      <c r="T317" s="1"/>
      <c r="U317" s="1"/>
      <c r="V317" s="1"/>
      <c r="W317" s="1"/>
      <c r="X317" s="60">
        <f>IFERROR(VLOOKUP($A317,Ventas!$A$2:$L$5000,12,FALSE()),"")</f>
        <v>25</v>
      </c>
      <c r="Y317" s="60">
        <f t="shared" si="3"/>
        <v>100</v>
      </c>
      <c r="Z317" s="61">
        <f t="shared" si="4"/>
        <v>26</v>
      </c>
      <c r="AA317" s="60">
        <f t="shared" si="5"/>
        <v>-550</v>
      </c>
      <c r="AB317" s="62" t="str">
        <f t="shared" si="6"/>
        <v/>
      </c>
      <c r="AC317" s="62" t="str">
        <f t="array" ref="AC317">IF(AH317&lt;&gt;"COMPRAR","",IF(MAX(INDEX(Ventas!$G$2:$G$5000,MATCH($A317,Ventas!$A$2:$A$5000,0)),INDEX(Ventas!$H$2:$H$5000,MATCH($A317,Ventas!$A$2:$A$5000,0)),INDEX(Ventas!$I$2:$I$5000,MATCH($A317,Ventas!$A$2:$A$5000,0)),INDEX(Ventas!$J$2:$J$5000,MATCH($A317,Ventas!$A$2:$A$5000,0)))&gt;0.5*AF317*4,"1 mes = "&amp;TEXT(MAX(INDEX(Ventas!$G$2:$G$5000,MATCH($A317,Ventas!$A$2:$A$5000,0)),INDEX(Ventas!$H$2:$H$5000,MATCH($A317,Ventas!$A$2:$A$5000,0)),INDEX(Ventas!$I$2:$I$5000,MATCH($A317,Ventas!$A$2:$A$5000,0)),INDEX(Ventas!$J$2:$J$5000,MATCH($A317,Ventas!$A$2:$A$5000,0)))/(AF317*4),"0%")&amp;" de 4 meses",""))</f>
        <v/>
      </c>
      <c r="AD317" s="62" t="str">
        <f t="shared" si="7"/>
        <v/>
      </c>
      <c r="AE317" s="62" t="str">
        <f t="array" ref="AE317">IF(X317="","",IF(AND(E317=0,AVERAGE(INDEX(Ventas!$C$2:$I$5000,MATCH($A317,Ventas!$A$2:$A$5000,0),0))&gt;0,INDEX(Ventas!$J$2:$J$5000,MATCH($A317,Ventas!$A$2:$A$5000,0))&lt;0.5*AVERAGE(INDEX(Ventas!$C$2:$I$5000,MATCH($A317,Ventas!$A$2:$A$5000,0),0))),"SÍ — stock 0 y Sep cayó (prom Feb-Ago "&amp;TEXT(AVERAGE(INDEX(Ventas!$C$2:$I$5000,MATCH($A317,Ventas!$A$2:$A$5000,0),0)),"#,##0")&amp;")",""))</f>
        <v/>
      </c>
      <c r="AF317" s="60">
        <f t="array" ref="AF317">IF(X317="","",IF(AE317&lt;&gt;"",MAX(X317,AVERAGE(INDEX(Ventas!$C$2:$I$5000,MATCH($A317,Ventas!$A$2:$A$5000,0),0))),X317))</f>
        <v>25</v>
      </c>
      <c r="AG317" s="60">
        <f t="shared" si="8"/>
        <v>-550</v>
      </c>
      <c r="AH317" s="63" t="str">
        <f t="shared" si="9"/>
        <v>SOBRESTOCK</v>
      </c>
    </row>
    <row r="318" ht="13.5" customHeight="1">
      <c r="A318" s="49" t="s">
        <v>1350</v>
      </c>
      <c r="B318" s="50" t="s">
        <v>183</v>
      </c>
      <c r="C318" s="50" t="s">
        <v>3781</v>
      </c>
      <c r="D318" s="50" t="s">
        <v>336</v>
      </c>
      <c r="E318" s="51">
        <v>0.0</v>
      </c>
      <c r="F318" s="52"/>
      <c r="G318" s="53"/>
      <c r="H318" s="55"/>
      <c r="I318" s="55"/>
      <c r="J318" s="53"/>
      <c r="K318" s="53"/>
      <c r="L318" s="55"/>
      <c r="M318" s="53"/>
      <c r="N318" s="74"/>
      <c r="O318" s="57" t="str">
        <f t="shared" si="1"/>
        <v>SIN VENTAS Jun-Sep — no comprar</v>
      </c>
      <c r="P318" s="58">
        <f t="shared" si="2"/>
        <v>0</v>
      </c>
      <c r="Q318" s="1"/>
      <c r="R318" s="1"/>
      <c r="S318" s="1"/>
      <c r="T318" s="1"/>
      <c r="U318" s="1"/>
      <c r="V318" s="1"/>
      <c r="W318" s="1"/>
      <c r="X318" s="60">
        <f>IFERROR(VLOOKUP($A318,Ventas!$A$2:$L$5000,12,FALSE()),"")</f>
        <v>0</v>
      </c>
      <c r="Y318" s="60">
        <f t="shared" si="3"/>
        <v>0</v>
      </c>
      <c r="Z318" s="61" t="str">
        <f t="shared" si="4"/>
        <v/>
      </c>
      <c r="AA318" s="60">
        <f t="shared" si="5"/>
        <v>0</v>
      </c>
      <c r="AB318" s="62" t="str">
        <f t="shared" si="6"/>
        <v/>
      </c>
      <c r="AC318" s="62" t="str">
        <f t="array" ref="AC318">IF(AH318&lt;&gt;"COMPRAR","",IF(MAX(INDEX(Ventas!$G$2:$G$5000,MATCH($A318,Ventas!$A$2:$A$5000,0)),INDEX(Ventas!$H$2:$H$5000,MATCH($A318,Ventas!$A$2:$A$5000,0)),INDEX(Ventas!$I$2:$I$5000,MATCH($A318,Ventas!$A$2:$A$5000,0)),INDEX(Ventas!$J$2:$J$5000,MATCH($A318,Ventas!$A$2:$A$5000,0)))&gt;0.5*AF318*4,"1 mes = "&amp;TEXT(MAX(INDEX(Ventas!$G$2:$G$5000,MATCH($A318,Ventas!$A$2:$A$5000,0)),INDEX(Ventas!$H$2:$H$5000,MATCH($A318,Ventas!$A$2:$A$5000,0)),INDEX(Ventas!$I$2:$I$5000,MATCH($A318,Ventas!$A$2:$A$5000,0)),INDEX(Ventas!$J$2:$J$5000,MATCH($A318,Ventas!$A$2:$A$5000,0)))/(AF318*4),"0%")&amp;" de 4 meses",""))</f>
        <v/>
      </c>
      <c r="AD318" s="62" t="str">
        <f t="shared" si="7"/>
        <v/>
      </c>
      <c r="AE318" s="62" t="str">
        <f t="array" ref="AE318">IF(X318="","",IF(AND(E318=0,AVERAGE(INDEX(Ventas!$C$2:$I$5000,MATCH($A318,Ventas!$A$2:$A$5000,0),0))&gt;0,INDEX(Ventas!$J$2:$J$5000,MATCH($A318,Ventas!$A$2:$A$5000,0))&lt;0.5*AVERAGE(INDEX(Ventas!$C$2:$I$5000,MATCH($A318,Ventas!$A$2:$A$5000,0),0))),"SÍ — stock 0 y Sep cayó (prom Feb-Ago "&amp;TEXT(AVERAGE(INDEX(Ventas!$C$2:$I$5000,MATCH($A318,Ventas!$A$2:$A$5000,0),0)),"#,##0")&amp;")",""))</f>
        <v/>
      </c>
      <c r="AF318" s="60">
        <f t="array" ref="AF318">IF(X318="","",IF(AE318&lt;&gt;"",MAX(X318,AVERAGE(INDEX(Ventas!$C$2:$I$5000,MATCH($A318,Ventas!$A$2:$A$5000,0),0))),X318))</f>
        <v>0</v>
      </c>
      <c r="AG318" s="60">
        <f t="shared" si="8"/>
        <v>0</v>
      </c>
      <c r="AH318" s="63" t="str">
        <f t="shared" si="9"/>
        <v>SIN VENTAS</v>
      </c>
    </row>
    <row r="319" ht="13.5" customHeight="1">
      <c r="A319" s="64" t="s">
        <v>1366</v>
      </c>
      <c r="B319" s="65" t="s">
        <v>183</v>
      </c>
      <c r="C319" s="65" t="s">
        <v>3781</v>
      </c>
      <c r="D319" s="65" t="s">
        <v>3657</v>
      </c>
      <c r="E319" s="51">
        <v>300.0</v>
      </c>
      <c r="F319" s="66"/>
      <c r="G319" s="53"/>
      <c r="H319" s="55"/>
      <c r="I319" s="55"/>
      <c r="J319" s="53"/>
      <c r="K319" s="53"/>
      <c r="L319" s="55"/>
      <c r="M319" s="53"/>
      <c r="N319" s="73"/>
      <c r="O319" s="57" t="str">
        <f t="shared" si="1"/>
        <v>SOBRESTOCK — 12.2 meses de cobertura</v>
      </c>
      <c r="P319" s="58">
        <f t="shared" si="2"/>
        <v>300</v>
      </c>
      <c r="Q319" s="1"/>
      <c r="R319" s="1"/>
      <c r="S319" s="1"/>
      <c r="T319" s="1"/>
      <c r="U319" s="1"/>
      <c r="V319" s="1"/>
      <c r="W319" s="1"/>
      <c r="X319" s="60">
        <f>IFERROR(VLOOKUP($A319,Ventas!$A$2:$L$5000,12,FALSE()),"")</f>
        <v>24.625</v>
      </c>
      <c r="Y319" s="60">
        <f t="shared" si="3"/>
        <v>99</v>
      </c>
      <c r="Z319" s="61">
        <f t="shared" si="4"/>
        <v>12.2</v>
      </c>
      <c r="AA319" s="60">
        <f t="shared" si="5"/>
        <v>-201</v>
      </c>
      <c r="AB319" s="62" t="str">
        <f t="shared" si="6"/>
        <v/>
      </c>
      <c r="AC319" s="62" t="str">
        <f t="array" ref="AC319">IF(AH319&lt;&gt;"COMPRAR","",IF(MAX(INDEX(Ventas!$G$2:$G$5000,MATCH($A319,Ventas!$A$2:$A$5000,0)),INDEX(Ventas!$H$2:$H$5000,MATCH($A319,Ventas!$A$2:$A$5000,0)),INDEX(Ventas!$I$2:$I$5000,MATCH($A319,Ventas!$A$2:$A$5000,0)),INDEX(Ventas!$J$2:$J$5000,MATCH($A319,Ventas!$A$2:$A$5000,0)))&gt;0.5*AF319*4,"1 mes = "&amp;TEXT(MAX(INDEX(Ventas!$G$2:$G$5000,MATCH($A319,Ventas!$A$2:$A$5000,0)),INDEX(Ventas!$H$2:$H$5000,MATCH($A319,Ventas!$A$2:$A$5000,0)),INDEX(Ventas!$I$2:$I$5000,MATCH($A319,Ventas!$A$2:$A$5000,0)),INDEX(Ventas!$J$2:$J$5000,MATCH($A319,Ventas!$A$2:$A$5000,0)))/(AF319*4),"0%")&amp;" de 4 meses",""))</f>
        <v/>
      </c>
      <c r="AD319" s="62" t="str">
        <f t="shared" si="7"/>
        <v/>
      </c>
      <c r="AE319" s="62" t="str">
        <f t="array" ref="AE319">IF(X319="","",IF(AND(E319=0,AVERAGE(INDEX(Ventas!$C$2:$I$5000,MATCH($A319,Ventas!$A$2:$A$5000,0),0))&gt;0,INDEX(Ventas!$J$2:$J$5000,MATCH($A319,Ventas!$A$2:$A$5000,0))&lt;0.5*AVERAGE(INDEX(Ventas!$C$2:$I$5000,MATCH($A319,Ventas!$A$2:$A$5000,0),0))),"SÍ — stock 0 y Sep cayó (prom Feb-Ago "&amp;TEXT(AVERAGE(INDEX(Ventas!$C$2:$I$5000,MATCH($A319,Ventas!$A$2:$A$5000,0),0)),"#,##0")&amp;")",""))</f>
        <v/>
      </c>
      <c r="AF319" s="60">
        <f t="array" ref="AF319">IF(X319="","",IF(AE319&lt;&gt;"",MAX(X319,AVERAGE(INDEX(Ventas!$C$2:$I$5000,MATCH($A319,Ventas!$A$2:$A$5000,0),0))),X319))</f>
        <v>24.625</v>
      </c>
      <c r="AG319" s="60">
        <f t="shared" si="8"/>
        <v>-201</v>
      </c>
      <c r="AH319" s="63" t="str">
        <f t="shared" si="9"/>
        <v>SOBRESTOCK</v>
      </c>
    </row>
    <row r="320" ht="13.5" customHeight="1">
      <c r="A320" s="49" t="s">
        <v>1376</v>
      </c>
      <c r="B320" s="50" t="s">
        <v>183</v>
      </c>
      <c r="C320" s="50" t="s">
        <v>3781</v>
      </c>
      <c r="D320" s="50" t="s">
        <v>3650</v>
      </c>
      <c r="E320" s="51">
        <v>250.0</v>
      </c>
      <c r="F320" s="52"/>
      <c r="G320" s="53"/>
      <c r="H320" s="55"/>
      <c r="I320" s="55"/>
      <c r="J320" s="53"/>
      <c r="K320" s="53"/>
      <c r="L320" s="55"/>
      <c r="M320" s="53"/>
      <c r="N320" s="74"/>
      <c r="O320" s="57" t="str">
        <f t="shared" si="1"/>
        <v>SOBRESTOCK — 28.6 meses de cobertura</v>
      </c>
      <c r="P320" s="58">
        <f t="shared" si="2"/>
        <v>250</v>
      </c>
      <c r="Q320" s="1"/>
      <c r="R320" s="1"/>
      <c r="S320" s="1"/>
      <c r="T320" s="1"/>
      <c r="U320" s="1"/>
      <c r="V320" s="1"/>
      <c r="W320" s="1"/>
      <c r="X320" s="60">
        <f>IFERROR(VLOOKUP($A320,Ventas!$A$2:$L$5000,12,FALSE()),"")</f>
        <v>8.75</v>
      </c>
      <c r="Y320" s="60">
        <f t="shared" si="3"/>
        <v>35</v>
      </c>
      <c r="Z320" s="61">
        <f t="shared" si="4"/>
        <v>28.6</v>
      </c>
      <c r="AA320" s="60">
        <f t="shared" si="5"/>
        <v>-215</v>
      </c>
      <c r="AB320" s="62" t="str">
        <f t="shared" si="6"/>
        <v/>
      </c>
      <c r="AC320" s="62" t="str">
        <f t="array" ref="AC320">IF(AH320&lt;&gt;"COMPRAR","",IF(MAX(INDEX(Ventas!$G$2:$G$5000,MATCH($A320,Ventas!$A$2:$A$5000,0)),INDEX(Ventas!$H$2:$H$5000,MATCH($A320,Ventas!$A$2:$A$5000,0)),INDEX(Ventas!$I$2:$I$5000,MATCH($A320,Ventas!$A$2:$A$5000,0)),INDEX(Ventas!$J$2:$J$5000,MATCH($A320,Ventas!$A$2:$A$5000,0)))&gt;0.5*AF320*4,"1 mes = "&amp;TEXT(MAX(INDEX(Ventas!$G$2:$G$5000,MATCH($A320,Ventas!$A$2:$A$5000,0)),INDEX(Ventas!$H$2:$H$5000,MATCH($A320,Ventas!$A$2:$A$5000,0)),INDEX(Ventas!$I$2:$I$5000,MATCH($A320,Ventas!$A$2:$A$5000,0)),INDEX(Ventas!$J$2:$J$5000,MATCH($A320,Ventas!$A$2:$A$5000,0)))/(AF320*4),"0%")&amp;" de 4 meses",""))</f>
        <v/>
      </c>
      <c r="AD320" s="62" t="str">
        <f t="shared" si="7"/>
        <v/>
      </c>
      <c r="AE320" s="62" t="str">
        <f t="array" ref="AE320">IF(X320="","",IF(AND(E320=0,AVERAGE(INDEX(Ventas!$C$2:$I$5000,MATCH($A320,Ventas!$A$2:$A$5000,0),0))&gt;0,INDEX(Ventas!$J$2:$J$5000,MATCH($A320,Ventas!$A$2:$A$5000,0))&lt;0.5*AVERAGE(INDEX(Ventas!$C$2:$I$5000,MATCH($A320,Ventas!$A$2:$A$5000,0),0))),"SÍ — stock 0 y Sep cayó (prom Feb-Ago "&amp;TEXT(AVERAGE(INDEX(Ventas!$C$2:$I$5000,MATCH($A320,Ventas!$A$2:$A$5000,0),0)),"#,##0")&amp;")",""))</f>
        <v/>
      </c>
      <c r="AF320" s="60">
        <f t="array" ref="AF320">IF(X320="","",IF(AE320&lt;&gt;"",MAX(X320,AVERAGE(INDEX(Ventas!$C$2:$I$5000,MATCH($A320,Ventas!$A$2:$A$5000,0),0))),X320))</f>
        <v>8.75</v>
      </c>
      <c r="AG320" s="60">
        <f t="shared" si="8"/>
        <v>-215</v>
      </c>
      <c r="AH320" s="63" t="str">
        <f t="shared" si="9"/>
        <v>SOBRESTOCK</v>
      </c>
    </row>
    <row r="321" ht="13.5" customHeight="1">
      <c r="A321" s="64" t="s">
        <v>1352</v>
      </c>
      <c r="B321" s="65" t="s">
        <v>183</v>
      </c>
      <c r="C321" s="65" t="s">
        <v>3785</v>
      </c>
      <c r="D321" s="65" t="s">
        <v>336</v>
      </c>
      <c r="E321" s="51">
        <v>350.0</v>
      </c>
      <c r="F321" s="66"/>
      <c r="G321" s="53"/>
      <c r="H321" s="55"/>
      <c r="I321" s="55"/>
      <c r="J321" s="53"/>
      <c r="K321" s="53"/>
      <c r="L321" s="55"/>
      <c r="M321" s="53"/>
      <c r="N321" s="73"/>
      <c r="O321" s="57" t="str">
        <f t="shared" si="1"/>
        <v>SOBRESTOCK — 28.0 meses de cobertura</v>
      </c>
      <c r="P321" s="58">
        <f t="shared" si="2"/>
        <v>350</v>
      </c>
      <c r="Q321" s="1"/>
      <c r="R321" s="1"/>
      <c r="S321" s="1"/>
      <c r="T321" s="1"/>
      <c r="U321" s="1"/>
      <c r="V321" s="1"/>
      <c r="W321" s="1"/>
      <c r="X321" s="60">
        <f>IFERROR(VLOOKUP($A321,Ventas!$A$2:$L$5000,12,FALSE()),"")</f>
        <v>12.5</v>
      </c>
      <c r="Y321" s="60">
        <f t="shared" si="3"/>
        <v>50</v>
      </c>
      <c r="Z321" s="61">
        <f t="shared" si="4"/>
        <v>28</v>
      </c>
      <c r="AA321" s="60">
        <f t="shared" si="5"/>
        <v>-300</v>
      </c>
      <c r="AB321" s="62" t="str">
        <f t="shared" si="6"/>
        <v/>
      </c>
      <c r="AC321" s="62" t="str">
        <f t="array" ref="AC321">IF(AH321&lt;&gt;"COMPRAR","",IF(MAX(INDEX(Ventas!$G$2:$G$5000,MATCH($A321,Ventas!$A$2:$A$5000,0)),INDEX(Ventas!$H$2:$H$5000,MATCH($A321,Ventas!$A$2:$A$5000,0)),INDEX(Ventas!$I$2:$I$5000,MATCH($A321,Ventas!$A$2:$A$5000,0)),INDEX(Ventas!$J$2:$J$5000,MATCH($A321,Ventas!$A$2:$A$5000,0)))&gt;0.5*AF321*4,"1 mes = "&amp;TEXT(MAX(INDEX(Ventas!$G$2:$G$5000,MATCH($A321,Ventas!$A$2:$A$5000,0)),INDEX(Ventas!$H$2:$H$5000,MATCH($A321,Ventas!$A$2:$A$5000,0)),INDEX(Ventas!$I$2:$I$5000,MATCH($A321,Ventas!$A$2:$A$5000,0)),INDEX(Ventas!$J$2:$J$5000,MATCH($A321,Ventas!$A$2:$A$5000,0)))/(AF321*4),"0%")&amp;" de 4 meses",""))</f>
        <v/>
      </c>
      <c r="AD321" s="62" t="str">
        <f t="shared" si="7"/>
        <v/>
      </c>
      <c r="AE321" s="62" t="str">
        <f t="array" ref="AE321">IF(X321="","",IF(AND(E321=0,AVERAGE(INDEX(Ventas!$C$2:$I$5000,MATCH($A321,Ventas!$A$2:$A$5000,0),0))&gt;0,INDEX(Ventas!$J$2:$J$5000,MATCH($A321,Ventas!$A$2:$A$5000,0))&lt;0.5*AVERAGE(INDEX(Ventas!$C$2:$I$5000,MATCH($A321,Ventas!$A$2:$A$5000,0),0))),"SÍ — stock 0 y Sep cayó (prom Feb-Ago "&amp;TEXT(AVERAGE(INDEX(Ventas!$C$2:$I$5000,MATCH($A321,Ventas!$A$2:$A$5000,0),0)),"#,##0")&amp;")",""))</f>
        <v/>
      </c>
      <c r="AF321" s="60">
        <f t="array" ref="AF321">IF(X321="","",IF(AE321&lt;&gt;"",MAX(X321,AVERAGE(INDEX(Ventas!$C$2:$I$5000,MATCH($A321,Ventas!$A$2:$A$5000,0),0))),X321))</f>
        <v>12.5</v>
      </c>
      <c r="AG321" s="60">
        <f t="shared" si="8"/>
        <v>-300</v>
      </c>
      <c r="AH321" s="63" t="str">
        <f t="shared" si="9"/>
        <v>SOBRESTOCK</v>
      </c>
    </row>
    <row r="322" ht="13.5" customHeight="1">
      <c r="A322" s="49" t="s">
        <v>1356</v>
      </c>
      <c r="B322" s="50" t="s">
        <v>183</v>
      </c>
      <c r="C322" s="50" t="s">
        <v>3785</v>
      </c>
      <c r="D322" s="50" t="s">
        <v>694</v>
      </c>
      <c r="E322" s="51">
        <v>797.0</v>
      </c>
      <c r="F322" s="52"/>
      <c r="G322" s="53"/>
      <c r="H322" s="55"/>
      <c r="I322" s="55"/>
      <c r="J322" s="53"/>
      <c r="K322" s="53"/>
      <c r="L322" s="55"/>
      <c r="M322" s="53"/>
      <c r="N322" s="74"/>
      <c r="O322" s="57" t="str">
        <f t="shared" si="1"/>
        <v>SOBRESTOCK — 63.8 meses de cobertura</v>
      </c>
      <c r="P322" s="58">
        <f t="shared" si="2"/>
        <v>797</v>
      </c>
      <c r="Q322" s="1"/>
      <c r="R322" s="1"/>
      <c r="S322" s="1"/>
      <c r="T322" s="1"/>
      <c r="U322" s="1"/>
      <c r="V322" s="1"/>
      <c r="W322" s="1"/>
      <c r="X322" s="60">
        <f>IFERROR(VLOOKUP($A322,Ventas!$A$2:$L$5000,12,FALSE()),"")</f>
        <v>12.5</v>
      </c>
      <c r="Y322" s="60">
        <f t="shared" si="3"/>
        <v>50</v>
      </c>
      <c r="Z322" s="61">
        <f t="shared" si="4"/>
        <v>63.8</v>
      </c>
      <c r="AA322" s="60">
        <f t="shared" si="5"/>
        <v>-747</v>
      </c>
      <c r="AB322" s="62" t="str">
        <f t="shared" si="6"/>
        <v/>
      </c>
      <c r="AC322" s="62" t="str">
        <f t="array" ref="AC322">IF(AH322&lt;&gt;"COMPRAR","",IF(MAX(INDEX(Ventas!$G$2:$G$5000,MATCH($A322,Ventas!$A$2:$A$5000,0)),INDEX(Ventas!$H$2:$H$5000,MATCH($A322,Ventas!$A$2:$A$5000,0)),INDEX(Ventas!$I$2:$I$5000,MATCH($A322,Ventas!$A$2:$A$5000,0)),INDEX(Ventas!$J$2:$J$5000,MATCH($A322,Ventas!$A$2:$A$5000,0)))&gt;0.5*AF322*4,"1 mes = "&amp;TEXT(MAX(INDEX(Ventas!$G$2:$G$5000,MATCH($A322,Ventas!$A$2:$A$5000,0)),INDEX(Ventas!$H$2:$H$5000,MATCH($A322,Ventas!$A$2:$A$5000,0)),INDEX(Ventas!$I$2:$I$5000,MATCH($A322,Ventas!$A$2:$A$5000,0)),INDEX(Ventas!$J$2:$J$5000,MATCH($A322,Ventas!$A$2:$A$5000,0)))/(AF322*4),"0%")&amp;" de 4 meses",""))</f>
        <v/>
      </c>
      <c r="AD322" s="62" t="str">
        <f t="shared" si="7"/>
        <v/>
      </c>
      <c r="AE322" s="62" t="str">
        <f t="array" ref="AE322">IF(X322="","",IF(AND(E322=0,AVERAGE(INDEX(Ventas!$C$2:$I$5000,MATCH($A322,Ventas!$A$2:$A$5000,0),0))&gt;0,INDEX(Ventas!$J$2:$J$5000,MATCH($A322,Ventas!$A$2:$A$5000,0))&lt;0.5*AVERAGE(INDEX(Ventas!$C$2:$I$5000,MATCH($A322,Ventas!$A$2:$A$5000,0),0))),"SÍ — stock 0 y Sep cayó (prom Feb-Ago "&amp;TEXT(AVERAGE(INDEX(Ventas!$C$2:$I$5000,MATCH($A322,Ventas!$A$2:$A$5000,0),0)),"#,##0")&amp;")",""))</f>
        <v/>
      </c>
      <c r="AF322" s="60">
        <f t="array" ref="AF322">IF(X322="","",IF(AE322&lt;&gt;"",MAX(X322,AVERAGE(INDEX(Ventas!$C$2:$I$5000,MATCH($A322,Ventas!$A$2:$A$5000,0),0))),X322))</f>
        <v>12.5</v>
      </c>
      <c r="AG322" s="60">
        <f t="shared" si="8"/>
        <v>-747</v>
      </c>
      <c r="AH322" s="63" t="str">
        <f t="shared" si="9"/>
        <v>SOBRESTOCK</v>
      </c>
    </row>
    <row r="323" ht="13.5" customHeight="1">
      <c r="A323" s="64" t="s">
        <v>1362</v>
      </c>
      <c r="B323" s="65" t="s">
        <v>183</v>
      </c>
      <c r="C323" s="65" t="s">
        <v>3785</v>
      </c>
      <c r="D323" s="65" t="s">
        <v>646</v>
      </c>
      <c r="E323" s="51">
        <v>198.0</v>
      </c>
      <c r="F323" s="66"/>
      <c r="G323" s="53"/>
      <c r="H323" s="55"/>
      <c r="I323" s="55"/>
      <c r="J323" s="53"/>
      <c r="K323" s="53"/>
      <c r="L323" s="55"/>
      <c r="M323" s="53"/>
      <c r="N323" s="73"/>
      <c r="O323" s="57" t="str">
        <f t="shared" si="1"/>
        <v>SOBRESTOCK — 15.8 meses de cobertura</v>
      </c>
      <c r="P323" s="58">
        <f t="shared" si="2"/>
        <v>198</v>
      </c>
      <c r="Q323" s="1"/>
      <c r="R323" s="1"/>
      <c r="S323" s="1"/>
      <c r="T323" s="1"/>
      <c r="U323" s="1"/>
      <c r="V323" s="1"/>
      <c r="W323" s="1"/>
      <c r="X323" s="60">
        <f>IFERROR(VLOOKUP($A323,Ventas!$A$2:$L$5000,12,FALSE()),"")</f>
        <v>12.5</v>
      </c>
      <c r="Y323" s="60">
        <f t="shared" si="3"/>
        <v>50</v>
      </c>
      <c r="Z323" s="61">
        <f t="shared" si="4"/>
        <v>15.8</v>
      </c>
      <c r="AA323" s="60">
        <f t="shared" si="5"/>
        <v>-148</v>
      </c>
      <c r="AB323" s="62" t="str">
        <f t="shared" si="6"/>
        <v/>
      </c>
      <c r="AC323" s="62" t="str">
        <f t="array" ref="AC323">IF(AH323&lt;&gt;"COMPRAR","",IF(MAX(INDEX(Ventas!$G$2:$G$5000,MATCH($A323,Ventas!$A$2:$A$5000,0)),INDEX(Ventas!$H$2:$H$5000,MATCH($A323,Ventas!$A$2:$A$5000,0)),INDEX(Ventas!$I$2:$I$5000,MATCH($A323,Ventas!$A$2:$A$5000,0)),INDEX(Ventas!$J$2:$J$5000,MATCH($A323,Ventas!$A$2:$A$5000,0)))&gt;0.5*AF323*4,"1 mes = "&amp;TEXT(MAX(INDEX(Ventas!$G$2:$G$5000,MATCH($A323,Ventas!$A$2:$A$5000,0)),INDEX(Ventas!$H$2:$H$5000,MATCH($A323,Ventas!$A$2:$A$5000,0)),INDEX(Ventas!$I$2:$I$5000,MATCH($A323,Ventas!$A$2:$A$5000,0)),INDEX(Ventas!$J$2:$J$5000,MATCH($A323,Ventas!$A$2:$A$5000,0)))/(AF323*4),"0%")&amp;" de 4 meses",""))</f>
        <v/>
      </c>
      <c r="AD323" s="62" t="str">
        <f t="shared" si="7"/>
        <v/>
      </c>
      <c r="AE323" s="62" t="str">
        <f t="array" ref="AE323">IF(X323="","",IF(AND(E323=0,AVERAGE(INDEX(Ventas!$C$2:$I$5000,MATCH($A323,Ventas!$A$2:$A$5000,0),0))&gt;0,INDEX(Ventas!$J$2:$J$5000,MATCH($A323,Ventas!$A$2:$A$5000,0))&lt;0.5*AVERAGE(INDEX(Ventas!$C$2:$I$5000,MATCH($A323,Ventas!$A$2:$A$5000,0),0))),"SÍ — stock 0 y Sep cayó (prom Feb-Ago "&amp;TEXT(AVERAGE(INDEX(Ventas!$C$2:$I$5000,MATCH($A323,Ventas!$A$2:$A$5000,0),0)),"#,##0")&amp;")",""))</f>
        <v/>
      </c>
      <c r="AF323" s="60">
        <f t="array" ref="AF323">IF(X323="","",IF(AE323&lt;&gt;"",MAX(X323,AVERAGE(INDEX(Ventas!$C$2:$I$5000,MATCH($A323,Ventas!$A$2:$A$5000,0),0))),X323))</f>
        <v>12.5</v>
      </c>
      <c r="AG323" s="60">
        <f t="shared" si="8"/>
        <v>-148</v>
      </c>
      <c r="AH323" s="63" t="str">
        <f t="shared" si="9"/>
        <v>SOBRESTOCK</v>
      </c>
    </row>
    <row r="324" ht="13.5" customHeight="1">
      <c r="A324" s="49" t="s">
        <v>1364</v>
      </c>
      <c r="B324" s="50" t="s">
        <v>183</v>
      </c>
      <c r="C324" s="50" t="s">
        <v>3785</v>
      </c>
      <c r="D324" s="50" t="s">
        <v>890</v>
      </c>
      <c r="E324" s="51">
        <v>151.0</v>
      </c>
      <c r="F324" s="52"/>
      <c r="G324" s="53"/>
      <c r="H324" s="55"/>
      <c r="I324" s="55"/>
      <c r="J324" s="53"/>
      <c r="K324" s="53"/>
      <c r="L324" s="55"/>
      <c r="M324" s="53"/>
      <c r="N324" s="74"/>
      <c r="O324" s="57" t="str">
        <f t="shared" si="1"/>
        <v>SIN VENTAS Jun-Sep — no comprar (151 m disponibles)</v>
      </c>
      <c r="P324" s="58">
        <f t="shared" si="2"/>
        <v>151</v>
      </c>
      <c r="Q324" s="1"/>
      <c r="R324" s="1"/>
      <c r="S324" s="1"/>
      <c r="T324" s="1"/>
      <c r="U324" s="1"/>
      <c r="V324" s="1"/>
      <c r="W324" s="1"/>
      <c r="X324" s="60">
        <f>IFERROR(VLOOKUP($A324,Ventas!$A$2:$L$5000,12,FALSE()),"")</f>
        <v>0</v>
      </c>
      <c r="Y324" s="60">
        <f t="shared" si="3"/>
        <v>0</v>
      </c>
      <c r="Z324" s="61" t="str">
        <f t="shared" si="4"/>
        <v/>
      </c>
      <c r="AA324" s="60">
        <f t="shared" si="5"/>
        <v>-151</v>
      </c>
      <c r="AB324" s="62" t="str">
        <f t="shared" si="6"/>
        <v/>
      </c>
      <c r="AC324" s="62" t="str">
        <f t="array" ref="AC324">IF(AH324&lt;&gt;"COMPRAR","",IF(MAX(INDEX(Ventas!$G$2:$G$5000,MATCH($A324,Ventas!$A$2:$A$5000,0)),INDEX(Ventas!$H$2:$H$5000,MATCH($A324,Ventas!$A$2:$A$5000,0)),INDEX(Ventas!$I$2:$I$5000,MATCH($A324,Ventas!$A$2:$A$5000,0)),INDEX(Ventas!$J$2:$J$5000,MATCH($A324,Ventas!$A$2:$A$5000,0)))&gt;0.5*AF324*4,"1 mes = "&amp;TEXT(MAX(INDEX(Ventas!$G$2:$G$5000,MATCH($A324,Ventas!$A$2:$A$5000,0)),INDEX(Ventas!$H$2:$H$5000,MATCH($A324,Ventas!$A$2:$A$5000,0)),INDEX(Ventas!$I$2:$I$5000,MATCH($A324,Ventas!$A$2:$A$5000,0)),INDEX(Ventas!$J$2:$J$5000,MATCH($A324,Ventas!$A$2:$A$5000,0)))/(AF324*4),"0%")&amp;" de 4 meses",""))</f>
        <v/>
      </c>
      <c r="AD324" s="62" t="str">
        <f t="shared" si="7"/>
        <v/>
      </c>
      <c r="AE324" s="62" t="str">
        <f t="array" ref="AE324">IF(X324="","",IF(AND(E324=0,AVERAGE(INDEX(Ventas!$C$2:$I$5000,MATCH($A324,Ventas!$A$2:$A$5000,0),0))&gt;0,INDEX(Ventas!$J$2:$J$5000,MATCH($A324,Ventas!$A$2:$A$5000,0))&lt;0.5*AVERAGE(INDEX(Ventas!$C$2:$I$5000,MATCH($A324,Ventas!$A$2:$A$5000,0),0))),"SÍ — stock 0 y Sep cayó (prom Feb-Ago "&amp;TEXT(AVERAGE(INDEX(Ventas!$C$2:$I$5000,MATCH($A324,Ventas!$A$2:$A$5000,0),0)),"#,##0")&amp;")",""))</f>
        <v/>
      </c>
      <c r="AF324" s="60">
        <f t="array" ref="AF324">IF(X324="","",IF(AE324&lt;&gt;"",MAX(X324,AVERAGE(INDEX(Ventas!$C$2:$I$5000,MATCH($A324,Ventas!$A$2:$A$5000,0),0))),X324))</f>
        <v>0</v>
      </c>
      <c r="AG324" s="60">
        <f t="shared" si="8"/>
        <v>-151</v>
      </c>
      <c r="AH324" s="63" t="str">
        <f t="shared" si="9"/>
        <v>SIN VENTAS</v>
      </c>
    </row>
    <row r="325" ht="13.5" customHeight="1">
      <c r="A325" s="64" t="s">
        <v>1354</v>
      </c>
      <c r="B325" s="65" t="s">
        <v>183</v>
      </c>
      <c r="C325" s="65" t="s">
        <v>3785</v>
      </c>
      <c r="D325" s="65" t="s">
        <v>3786</v>
      </c>
      <c r="E325" s="51">
        <v>83.0</v>
      </c>
      <c r="F325" s="66"/>
      <c r="G325" s="53"/>
      <c r="H325" s="55"/>
      <c r="I325" s="55"/>
      <c r="J325" s="53"/>
      <c r="K325" s="53"/>
      <c r="L325" s="55"/>
      <c r="M325" s="53"/>
      <c r="N325" s="73"/>
      <c r="O325" s="57" t="str">
        <f t="shared" si="1"/>
        <v>SIN VENTAS Jun-Sep — no comprar (83 m disponibles)</v>
      </c>
      <c r="P325" s="58">
        <f t="shared" si="2"/>
        <v>83</v>
      </c>
      <c r="Q325" s="1"/>
      <c r="R325" s="1"/>
      <c r="S325" s="1"/>
      <c r="T325" s="1"/>
      <c r="U325" s="1"/>
      <c r="V325" s="1"/>
      <c r="W325" s="1"/>
      <c r="X325" s="60">
        <f>IFERROR(VLOOKUP($A325,Ventas!$A$2:$L$5000,12,FALSE()),"")</f>
        <v>0</v>
      </c>
      <c r="Y325" s="60">
        <f t="shared" si="3"/>
        <v>0</v>
      </c>
      <c r="Z325" s="61" t="str">
        <f t="shared" si="4"/>
        <v/>
      </c>
      <c r="AA325" s="60">
        <f t="shared" si="5"/>
        <v>-83</v>
      </c>
      <c r="AB325" s="62" t="str">
        <f t="shared" si="6"/>
        <v/>
      </c>
      <c r="AC325" s="62" t="str">
        <f t="array" ref="AC325">IF(AH325&lt;&gt;"COMPRAR","",IF(MAX(INDEX(Ventas!$G$2:$G$5000,MATCH($A325,Ventas!$A$2:$A$5000,0)),INDEX(Ventas!$H$2:$H$5000,MATCH($A325,Ventas!$A$2:$A$5000,0)),INDEX(Ventas!$I$2:$I$5000,MATCH($A325,Ventas!$A$2:$A$5000,0)),INDEX(Ventas!$J$2:$J$5000,MATCH($A325,Ventas!$A$2:$A$5000,0)))&gt;0.5*AF325*4,"1 mes = "&amp;TEXT(MAX(INDEX(Ventas!$G$2:$G$5000,MATCH($A325,Ventas!$A$2:$A$5000,0)),INDEX(Ventas!$H$2:$H$5000,MATCH($A325,Ventas!$A$2:$A$5000,0)),INDEX(Ventas!$I$2:$I$5000,MATCH($A325,Ventas!$A$2:$A$5000,0)),INDEX(Ventas!$J$2:$J$5000,MATCH($A325,Ventas!$A$2:$A$5000,0)))/(AF325*4),"0%")&amp;" de 4 meses",""))</f>
        <v/>
      </c>
      <c r="AD325" s="62" t="str">
        <f t="shared" si="7"/>
        <v/>
      </c>
      <c r="AE325" s="62" t="str">
        <f t="array" ref="AE325">IF(X325="","",IF(AND(E325=0,AVERAGE(INDEX(Ventas!$C$2:$I$5000,MATCH($A325,Ventas!$A$2:$A$5000,0),0))&gt;0,INDEX(Ventas!$J$2:$J$5000,MATCH($A325,Ventas!$A$2:$A$5000,0))&lt;0.5*AVERAGE(INDEX(Ventas!$C$2:$I$5000,MATCH($A325,Ventas!$A$2:$A$5000,0),0))),"SÍ — stock 0 y Sep cayó (prom Feb-Ago "&amp;TEXT(AVERAGE(INDEX(Ventas!$C$2:$I$5000,MATCH($A325,Ventas!$A$2:$A$5000,0),0)),"#,##0")&amp;")",""))</f>
        <v/>
      </c>
      <c r="AF325" s="60">
        <f t="array" ref="AF325">IF(X325="","",IF(AE325&lt;&gt;"",MAX(X325,AVERAGE(INDEX(Ventas!$C$2:$I$5000,MATCH($A325,Ventas!$A$2:$A$5000,0),0))),X325))</f>
        <v>0</v>
      </c>
      <c r="AG325" s="60">
        <f t="shared" si="8"/>
        <v>-83</v>
      </c>
      <c r="AH325" s="63" t="str">
        <f t="shared" si="9"/>
        <v>SIN VENTAS</v>
      </c>
    </row>
    <row r="326" ht="13.5" customHeight="1">
      <c r="A326" s="49" t="s">
        <v>1358</v>
      </c>
      <c r="B326" s="50" t="s">
        <v>183</v>
      </c>
      <c r="C326" s="50" t="s">
        <v>3785</v>
      </c>
      <c r="D326" s="50" t="s">
        <v>844</v>
      </c>
      <c r="E326" s="51">
        <v>549.0</v>
      </c>
      <c r="F326" s="52"/>
      <c r="G326" s="53"/>
      <c r="H326" s="55"/>
      <c r="I326" s="55"/>
      <c r="J326" s="53"/>
      <c r="K326" s="53"/>
      <c r="L326" s="55"/>
      <c r="M326" s="53"/>
      <c r="N326" s="74"/>
      <c r="O326" s="57" t="str">
        <f t="shared" si="1"/>
        <v>SIN VENTAS Jun-Sep — no comprar (549 m disponibles)</v>
      </c>
      <c r="P326" s="58">
        <f t="shared" si="2"/>
        <v>549</v>
      </c>
      <c r="Q326" s="1"/>
      <c r="R326" s="1"/>
      <c r="S326" s="1"/>
      <c r="T326" s="1"/>
      <c r="U326" s="1"/>
      <c r="V326" s="1"/>
      <c r="W326" s="1"/>
      <c r="X326" s="60">
        <f>IFERROR(VLOOKUP($A326,Ventas!$A$2:$L$5000,12,FALSE()),"")</f>
        <v>0</v>
      </c>
      <c r="Y326" s="60">
        <f t="shared" si="3"/>
        <v>0</v>
      </c>
      <c r="Z326" s="61" t="str">
        <f t="shared" si="4"/>
        <v/>
      </c>
      <c r="AA326" s="60">
        <f t="shared" si="5"/>
        <v>-549</v>
      </c>
      <c r="AB326" s="62" t="str">
        <f t="shared" si="6"/>
        <v/>
      </c>
      <c r="AC326" s="62" t="str">
        <f t="array" ref="AC326">IF(AH326&lt;&gt;"COMPRAR","",IF(MAX(INDEX(Ventas!$G$2:$G$5000,MATCH($A326,Ventas!$A$2:$A$5000,0)),INDEX(Ventas!$H$2:$H$5000,MATCH($A326,Ventas!$A$2:$A$5000,0)),INDEX(Ventas!$I$2:$I$5000,MATCH($A326,Ventas!$A$2:$A$5000,0)),INDEX(Ventas!$J$2:$J$5000,MATCH($A326,Ventas!$A$2:$A$5000,0)))&gt;0.5*AF326*4,"1 mes = "&amp;TEXT(MAX(INDEX(Ventas!$G$2:$G$5000,MATCH($A326,Ventas!$A$2:$A$5000,0)),INDEX(Ventas!$H$2:$H$5000,MATCH($A326,Ventas!$A$2:$A$5000,0)),INDEX(Ventas!$I$2:$I$5000,MATCH($A326,Ventas!$A$2:$A$5000,0)),INDEX(Ventas!$J$2:$J$5000,MATCH($A326,Ventas!$A$2:$A$5000,0)))/(AF326*4),"0%")&amp;" de 4 meses",""))</f>
        <v/>
      </c>
      <c r="AD326" s="62" t="str">
        <f t="shared" si="7"/>
        <v/>
      </c>
      <c r="AE326" s="62" t="str">
        <f t="array" ref="AE326">IF(X326="","",IF(AND(E326=0,AVERAGE(INDEX(Ventas!$C$2:$I$5000,MATCH($A326,Ventas!$A$2:$A$5000,0),0))&gt;0,INDEX(Ventas!$J$2:$J$5000,MATCH($A326,Ventas!$A$2:$A$5000,0))&lt;0.5*AVERAGE(INDEX(Ventas!$C$2:$I$5000,MATCH($A326,Ventas!$A$2:$A$5000,0),0))),"SÍ — stock 0 y Sep cayó (prom Feb-Ago "&amp;TEXT(AVERAGE(INDEX(Ventas!$C$2:$I$5000,MATCH($A326,Ventas!$A$2:$A$5000,0),0)),"#,##0")&amp;")",""))</f>
        <v/>
      </c>
      <c r="AF326" s="60">
        <f t="array" ref="AF326">IF(X326="","",IF(AE326&lt;&gt;"",MAX(X326,AVERAGE(INDEX(Ventas!$C$2:$I$5000,MATCH($A326,Ventas!$A$2:$A$5000,0),0))),X326))</f>
        <v>0</v>
      </c>
      <c r="AG326" s="60">
        <f t="shared" si="8"/>
        <v>-549</v>
      </c>
      <c r="AH326" s="63" t="str">
        <f t="shared" si="9"/>
        <v>SIN VENTAS</v>
      </c>
    </row>
    <row r="327" ht="13.5" customHeight="1">
      <c r="A327" s="64" t="s">
        <v>1252</v>
      </c>
      <c r="B327" s="65" t="s">
        <v>183</v>
      </c>
      <c r="C327" s="65" t="s">
        <v>3787</v>
      </c>
      <c r="D327" s="65" t="s">
        <v>1329</v>
      </c>
      <c r="E327" s="51">
        <v>200.0</v>
      </c>
      <c r="F327" s="66"/>
      <c r="G327" s="53"/>
      <c r="H327" s="55"/>
      <c r="I327" s="55"/>
      <c r="J327" s="53"/>
      <c r="K327" s="53"/>
      <c r="L327" s="55"/>
      <c r="M327" s="53"/>
      <c r="N327" s="73"/>
      <c r="O327" s="57" t="str">
        <f t="shared" si="1"/>
        <v>SOBRESTOCK — 16.0 meses de cobertura</v>
      </c>
      <c r="P327" s="58">
        <f t="shared" si="2"/>
        <v>200</v>
      </c>
      <c r="Q327" s="1"/>
      <c r="R327" s="1"/>
      <c r="S327" s="1"/>
      <c r="T327" s="1"/>
      <c r="U327" s="1"/>
      <c r="V327" s="1"/>
      <c r="W327" s="1"/>
      <c r="X327" s="60">
        <f>IFERROR(VLOOKUP($A327,Ventas!$A$2:$L$5000,12,FALSE()),"")</f>
        <v>12.5</v>
      </c>
      <c r="Y327" s="60">
        <f t="shared" si="3"/>
        <v>50</v>
      </c>
      <c r="Z327" s="61">
        <f t="shared" si="4"/>
        <v>16</v>
      </c>
      <c r="AA327" s="60">
        <f t="shared" si="5"/>
        <v>-150</v>
      </c>
      <c r="AB327" s="62" t="str">
        <f t="shared" si="6"/>
        <v/>
      </c>
      <c r="AC327" s="62" t="str">
        <f t="array" ref="AC327">IF(AH327&lt;&gt;"COMPRAR","",IF(MAX(INDEX(Ventas!$G$2:$G$5000,MATCH($A327,Ventas!$A$2:$A$5000,0)),INDEX(Ventas!$H$2:$H$5000,MATCH($A327,Ventas!$A$2:$A$5000,0)),INDEX(Ventas!$I$2:$I$5000,MATCH($A327,Ventas!$A$2:$A$5000,0)),INDEX(Ventas!$J$2:$J$5000,MATCH($A327,Ventas!$A$2:$A$5000,0)))&gt;0.5*AF327*4,"1 mes = "&amp;TEXT(MAX(INDEX(Ventas!$G$2:$G$5000,MATCH($A327,Ventas!$A$2:$A$5000,0)),INDEX(Ventas!$H$2:$H$5000,MATCH($A327,Ventas!$A$2:$A$5000,0)),INDEX(Ventas!$I$2:$I$5000,MATCH($A327,Ventas!$A$2:$A$5000,0)),INDEX(Ventas!$J$2:$J$5000,MATCH($A327,Ventas!$A$2:$A$5000,0)))/(AF327*4),"0%")&amp;" de 4 meses",""))</f>
        <v/>
      </c>
      <c r="AD327" s="62" t="str">
        <f t="shared" si="7"/>
        <v/>
      </c>
      <c r="AE327" s="62" t="str">
        <f t="array" ref="AE327">IF(X327="","",IF(AND(E327=0,AVERAGE(INDEX(Ventas!$C$2:$I$5000,MATCH($A327,Ventas!$A$2:$A$5000,0),0))&gt;0,INDEX(Ventas!$J$2:$J$5000,MATCH($A327,Ventas!$A$2:$A$5000,0))&lt;0.5*AVERAGE(INDEX(Ventas!$C$2:$I$5000,MATCH($A327,Ventas!$A$2:$A$5000,0),0))),"SÍ — stock 0 y Sep cayó (prom Feb-Ago "&amp;TEXT(AVERAGE(INDEX(Ventas!$C$2:$I$5000,MATCH($A327,Ventas!$A$2:$A$5000,0),0)),"#,##0")&amp;")",""))</f>
        <v/>
      </c>
      <c r="AF327" s="60">
        <f t="array" ref="AF327">IF(X327="","",IF(AE327&lt;&gt;"",MAX(X327,AVERAGE(INDEX(Ventas!$C$2:$I$5000,MATCH($A327,Ventas!$A$2:$A$5000,0),0))),X327))</f>
        <v>12.5</v>
      </c>
      <c r="AG327" s="60">
        <f t="shared" si="8"/>
        <v>-150</v>
      </c>
      <c r="AH327" s="63" t="str">
        <f t="shared" si="9"/>
        <v>SOBRESTOCK</v>
      </c>
    </row>
    <row r="328" ht="13.5" customHeight="1">
      <c r="A328" s="49" t="s">
        <v>1254</v>
      </c>
      <c r="B328" s="50" t="s">
        <v>183</v>
      </c>
      <c r="C328" s="50" t="s">
        <v>3787</v>
      </c>
      <c r="D328" s="50" t="s">
        <v>3788</v>
      </c>
      <c r="E328" s="51">
        <v>150.0</v>
      </c>
      <c r="F328" s="52"/>
      <c r="G328" s="53"/>
      <c r="H328" s="55"/>
      <c r="I328" s="55"/>
      <c r="J328" s="53"/>
      <c r="K328" s="53"/>
      <c r="L328" s="55"/>
      <c r="M328" s="53"/>
      <c r="N328" s="74"/>
      <c r="O328" s="57" t="str">
        <f t="shared" si="1"/>
        <v>SIN VENTAS Jun-Sep — no comprar (150 m disponibles)</v>
      </c>
      <c r="P328" s="58">
        <f t="shared" si="2"/>
        <v>150</v>
      </c>
      <c r="Q328" s="1"/>
      <c r="R328" s="1"/>
      <c r="S328" s="1"/>
      <c r="T328" s="1"/>
      <c r="U328" s="1"/>
      <c r="V328" s="1"/>
      <c r="W328" s="1"/>
      <c r="X328" s="60">
        <f>IFERROR(VLOOKUP($A328,Ventas!$A$2:$L$5000,12,FALSE()),"")</f>
        <v>0</v>
      </c>
      <c r="Y328" s="60">
        <f t="shared" si="3"/>
        <v>0</v>
      </c>
      <c r="Z328" s="61" t="str">
        <f t="shared" si="4"/>
        <v/>
      </c>
      <c r="AA328" s="60">
        <f t="shared" si="5"/>
        <v>-150</v>
      </c>
      <c r="AB328" s="62" t="str">
        <f t="shared" si="6"/>
        <v/>
      </c>
      <c r="AC328" s="62" t="str">
        <f t="array" ref="AC328">IF(AH328&lt;&gt;"COMPRAR","",IF(MAX(INDEX(Ventas!$G$2:$G$5000,MATCH($A328,Ventas!$A$2:$A$5000,0)),INDEX(Ventas!$H$2:$H$5000,MATCH($A328,Ventas!$A$2:$A$5000,0)),INDEX(Ventas!$I$2:$I$5000,MATCH($A328,Ventas!$A$2:$A$5000,0)),INDEX(Ventas!$J$2:$J$5000,MATCH($A328,Ventas!$A$2:$A$5000,0)))&gt;0.5*AF328*4,"1 mes = "&amp;TEXT(MAX(INDEX(Ventas!$G$2:$G$5000,MATCH($A328,Ventas!$A$2:$A$5000,0)),INDEX(Ventas!$H$2:$H$5000,MATCH($A328,Ventas!$A$2:$A$5000,0)),INDEX(Ventas!$I$2:$I$5000,MATCH($A328,Ventas!$A$2:$A$5000,0)),INDEX(Ventas!$J$2:$J$5000,MATCH($A328,Ventas!$A$2:$A$5000,0)))/(AF328*4),"0%")&amp;" de 4 meses",""))</f>
        <v/>
      </c>
      <c r="AD328" s="62" t="str">
        <f t="shared" si="7"/>
        <v/>
      </c>
      <c r="AE328" s="62" t="str">
        <f t="array" ref="AE328">IF(X328="","",IF(AND(E328=0,AVERAGE(INDEX(Ventas!$C$2:$I$5000,MATCH($A328,Ventas!$A$2:$A$5000,0),0))&gt;0,INDEX(Ventas!$J$2:$J$5000,MATCH($A328,Ventas!$A$2:$A$5000,0))&lt;0.5*AVERAGE(INDEX(Ventas!$C$2:$I$5000,MATCH($A328,Ventas!$A$2:$A$5000,0),0))),"SÍ — stock 0 y Sep cayó (prom Feb-Ago "&amp;TEXT(AVERAGE(INDEX(Ventas!$C$2:$I$5000,MATCH($A328,Ventas!$A$2:$A$5000,0),0)),"#,##0")&amp;")",""))</f>
        <v/>
      </c>
      <c r="AF328" s="60">
        <f t="array" ref="AF328">IF(X328="","",IF(AE328&lt;&gt;"",MAX(X328,AVERAGE(INDEX(Ventas!$C$2:$I$5000,MATCH($A328,Ventas!$A$2:$A$5000,0),0))),X328))</f>
        <v>0</v>
      </c>
      <c r="AG328" s="60">
        <f t="shared" si="8"/>
        <v>-150</v>
      </c>
      <c r="AH328" s="63" t="str">
        <f t="shared" si="9"/>
        <v>SIN VENTAS</v>
      </c>
    </row>
    <row r="329" ht="13.5" customHeight="1">
      <c r="A329" s="64" t="s">
        <v>3578</v>
      </c>
      <c r="B329" s="65" t="s">
        <v>183</v>
      </c>
      <c r="C329" s="65" t="s">
        <v>3789</v>
      </c>
      <c r="D329" s="65" t="s">
        <v>3790</v>
      </c>
      <c r="E329" s="51">
        <v>300.0</v>
      </c>
      <c r="F329" s="66"/>
      <c r="G329" s="53"/>
      <c r="H329" s="55"/>
      <c r="I329" s="55"/>
      <c r="J329" s="53"/>
      <c r="K329" s="53"/>
      <c r="L329" s="55"/>
      <c r="M329" s="53"/>
      <c r="N329" s="73"/>
      <c r="O329" s="57" t="str">
        <f t="shared" si="1"/>
        <v>OK — cubierto (4.0 meses)</v>
      </c>
      <c r="P329" s="58">
        <f t="shared" si="2"/>
        <v>300</v>
      </c>
      <c r="Q329" s="1"/>
      <c r="R329" s="1"/>
      <c r="S329" s="1"/>
      <c r="T329" s="1"/>
      <c r="U329" s="1"/>
      <c r="V329" s="1"/>
      <c r="W329" s="1"/>
      <c r="X329" s="60">
        <f>IFERROR(VLOOKUP($A329,Ventas!$A$2:$L$5000,12,FALSE()),"")</f>
        <v>74.75</v>
      </c>
      <c r="Y329" s="60">
        <f t="shared" si="3"/>
        <v>299</v>
      </c>
      <c r="Z329" s="61">
        <f t="shared" si="4"/>
        <v>4</v>
      </c>
      <c r="AA329" s="60">
        <f t="shared" si="5"/>
        <v>-1</v>
      </c>
      <c r="AB329" s="62" t="str">
        <f t="shared" si="6"/>
        <v/>
      </c>
      <c r="AC329" s="62" t="str">
        <f t="array" ref="AC329">IF(AH329&lt;&gt;"COMPRAR","",IF(MAX(INDEX(Ventas!$G$2:$G$5000,MATCH($A329,Ventas!$A$2:$A$5000,0)),INDEX(Ventas!$H$2:$H$5000,MATCH($A329,Ventas!$A$2:$A$5000,0)),INDEX(Ventas!$I$2:$I$5000,MATCH($A329,Ventas!$A$2:$A$5000,0)),INDEX(Ventas!$J$2:$J$5000,MATCH($A329,Ventas!$A$2:$A$5000,0)))&gt;0.5*AF329*4,"1 mes = "&amp;TEXT(MAX(INDEX(Ventas!$G$2:$G$5000,MATCH($A329,Ventas!$A$2:$A$5000,0)),INDEX(Ventas!$H$2:$H$5000,MATCH($A329,Ventas!$A$2:$A$5000,0)),INDEX(Ventas!$I$2:$I$5000,MATCH($A329,Ventas!$A$2:$A$5000,0)),INDEX(Ventas!$J$2:$J$5000,MATCH($A329,Ventas!$A$2:$A$5000,0)))/(AF329*4),"0%")&amp;" de 4 meses",""))</f>
        <v/>
      </c>
      <c r="AD329" s="62" t="str">
        <f t="shared" si="7"/>
        <v/>
      </c>
      <c r="AE329" s="62" t="str">
        <f t="array" ref="AE329">IF(X329="","",IF(AND(E329=0,AVERAGE(INDEX(Ventas!$C$2:$I$5000,MATCH($A329,Ventas!$A$2:$A$5000,0),0))&gt;0,INDEX(Ventas!$J$2:$J$5000,MATCH($A329,Ventas!$A$2:$A$5000,0))&lt;0.5*AVERAGE(INDEX(Ventas!$C$2:$I$5000,MATCH($A329,Ventas!$A$2:$A$5000,0),0))),"SÍ — stock 0 y Sep cayó (prom Feb-Ago "&amp;TEXT(AVERAGE(INDEX(Ventas!$C$2:$I$5000,MATCH($A329,Ventas!$A$2:$A$5000,0),0)),"#,##0")&amp;")",""))</f>
        <v/>
      </c>
      <c r="AF329" s="60">
        <f t="array" ref="AF329">IF(X329="","",IF(AE329&lt;&gt;"",MAX(X329,AVERAGE(INDEX(Ventas!$C$2:$I$5000,MATCH($A329,Ventas!$A$2:$A$5000,0),0))),X329))</f>
        <v>74.75</v>
      </c>
      <c r="AG329" s="60">
        <f t="shared" si="8"/>
        <v>-1</v>
      </c>
      <c r="AH329" s="63" t="str">
        <f t="shared" si="9"/>
        <v>OK</v>
      </c>
    </row>
    <row r="330" ht="13.5" customHeight="1">
      <c r="A330" s="49" t="s">
        <v>3576</v>
      </c>
      <c r="B330" s="50" t="s">
        <v>183</v>
      </c>
      <c r="C330" s="50" t="s">
        <v>3789</v>
      </c>
      <c r="D330" s="50" t="s">
        <v>3700</v>
      </c>
      <c r="E330" s="51">
        <v>500.0</v>
      </c>
      <c r="F330" s="52"/>
      <c r="G330" s="53"/>
      <c r="H330" s="55"/>
      <c r="I330" s="55"/>
      <c r="J330" s="53"/>
      <c r="K330" s="53"/>
      <c r="L330" s="55"/>
      <c r="M330" s="53"/>
      <c r="N330" s="74"/>
      <c r="O330" s="57" t="str">
        <f t="shared" si="1"/>
        <v>SOBRESTOCK — 40.0 meses de cobertura</v>
      </c>
      <c r="P330" s="58">
        <f t="shared" si="2"/>
        <v>500</v>
      </c>
      <c r="Q330" s="1"/>
      <c r="R330" s="1"/>
      <c r="S330" s="1"/>
      <c r="T330" s="1"/>
      <c r="U330" s="1"/>
      <c r="V330" s="1"/>
      <c r="W330" s="1"/>
      <c r="X330" s="60">
        <f>IFERROR(VLOOKUP($A330,Ventas!$A$2:$L$5000,12,FALSE()),"")</f>
        <v>12.5</v>
      </c>
      <c r="Y330" s="60">
        <f t="shared" si="3"/>
        <v>50</v>
      </c>
      <c r="Z330" s="61">
        <f t="shared" si="4"/>
        <v>40</v>
      </c>
      <c r="AA330" s="60">
        <f t="shared" si="5"/>
        <v>-450</v>
      </c>
      <c r="AB330" s="62" t="str">
        <f t="shared" si="6"/>
        <v/>
      </c>
      <c r="AC330" s="62" t="str">
        <f t="array" ref="AC330">IF(AH330&lt;&gt;"COMPRAR","",IF(MAX(INDEX(Ventas!$G$2:$G$5000,MATCH($A330,Ventas!$A$2:$A$5000,0)),INDEX(Ventas!$H$2:$H$5000,MATCH($A330,Ventas!$A$2:$A$5000,0)),INDEX(Ventas!$I$2:$I$5000,MATCH($A330,Ventas!$A$2:$A$5000,0)),INDEX(Ventas!$J$2:$J$5000,MATCH($A330,Ventas!$A$2:$A$5000,0)))&gt;0.5*AF330*4,"1 mes = "&amp;TEXT(MAX(INDEX(Ventas!$G$2:$G$5000,MATCH($A330,Ventas!$A$2:$A$5000,0)),INDEX(Ventas!$H$2:$H$5000,MATCH($A330,Ventas!$A$2:$A$5000,0)),INDEX(Ventas!$I$2:$I$5000,MATCH($A330,Ventas!$A$2:$A$5000,0)),INDEX(Ventas!$J$2:$J$5000,MATCH($A330,Ventas!$A$2:$A$5000,0)))/(AF330*4),"0%")&amp;" de 4 meses",""))</f>
        <v/>
      </c>
      <c r="AD330" s="62" t="str">
        <f t="shared" si="7"/>
        <v/>
      </c>
      <c r="AE330" s="62" t="str">
        <f t="array" ref="AE330">IF(X330="","",IF(AND(E330=0,AVERAGE(INDEX(Ventas!$C$2:$I$5000,MATCH($A330,Ventas!$A$2:$A$5000,0),0))&gt;0,INDEX(Ventas!$J$2:$J$5000,MATCH($A330,Ventas!$A$2:$A$5000,0))&lt;0.5*AVERAGE(INDEX(Ventas!$C$2:$I$5000,MATCH($A330,Ventas!$A$2:$A$5000,0),0))),"SÍ — stock 0 y Sep cayó (prom Feb-Ago "&amp;TEXT(AVERAGE(INDEX(Ventas!$C$2:$I$5000,MATCH($A330,Ventas!$A$2:$A$5000,0),0)),"#,##0")&amp;")",""))</f>
        <v/>
      </c>
      <c r="AF330" s="60">
        <f t="array" ref="AF330">IF(X330="","",IF(AE330&lt;&gt;"",MAX(X330,AVERAGE(INDEX(Ventas!$C$2:$I$5000,MATCH($A330,Ventas!$A$2:$A$5000,0),0))),X330))</f>
        <v>12.5</v>
      </c>
      <c r="AG330" s="60">
        <f t="shared" si="8"/>
        <v>-450</v>
      </c>
      <c r="AH330" s="63" t="str">
        <f t="shared" si="9"/>
        <v>SOBRESTOCK</v>
      </c>
    </row>
    <row r="331" ht="13.5" customHeight="1">
      <c r="A331" s="64" t="s">
        <v>2148</v>
      </c>
      <c r="B331" s="65" t="s">
        <v>183</v>
      </c>
      <c r="C331" s="65" t="s">
        <v>3791</v>
      </c>
      <c r="D331" s="65" t="s">
        <v>3792</v>
      </c>
      <c r="E331" s="51">
        <v>1583.0</v>
      </c>
      <c r="F331" s="66"/>
      <c r="G331" s="53"/>
      <c r="H331" s="55"/>
      <c r="I331" s="55"/>
      <c r="J331" s="53"/>
      <c r="K331" s="53"/>
      <c r="L331" s="55"/>
      <c r="M331" s="53"/>
      <c r="N331" s="73"/>
      <c r="O331" s="57" t="str">
        <f t="shared" si="1"/>
        <v>SIN VENTAS Jun-Sep — no comprar (1,583 m disponibles)</v>
      </c>
      <c r="P331" s="58">
        <f t="shared" si="2"/>
        <v>1583</v>
      </c>
      <c r="Q331" s="1"/>
      <c r="R331" s="1"/>
      <c r="S331" s="1"/>
      <c r="T331" s="1"/>
      <c r="U331" s="1"/>
      <c r="V331" s="1"/>
      <c r="W331" s="1"/>
      <c r="X331" s="60">
        <f>IFERROR(VLOOKUP($A331,Ventas!$A$2:$L$5000,12,FALSE()),"")</f>
        <v>0</v>
      </c>
      <c r="Y331" s="60">
        <f t="shared" si="3"/>
        <v>0</v>
      </c>
      <c r="Z331" s="61" t="str">
        <f t="shared" si="4"/>
        <v/>
      </c>
      <c r="AA331" s="60">
        <f t="shared" si="5"/>
        <v>-1583</v>
      </c>
      <c r="AB331" s="62" t="str">
        <f t="shared" si="6"/>
        <v>DUPLICADO</v>
      </c>
      <c r="AC331" s="62" t="str">
        <f t="array" ref="AC331">IF(AH331&lt;&gt;"COMPRAR","",IF(MAX(INDEX(Ventas!$G$2:$G$5000,MATCH($A331,Ventas!$A$2:$A$5000,0)),INDEX(Ventas!$H$2:$H$5000,MATCH($A331,Ventas!$A$2:$A$5000,0)),INDEX(Ventas!$I$2:$I$5000,MATCH($A331,Ventas!$A$2:$A$5000,0)),INDEX(Ventas!$J$2:$J$5000,MATCH($A331,Ventas!$A$2:$A$5000,0)))&gt;0.5*AF331*4,"1 mes = "&amp;TEXT(MAX(INDEX(Ventas!$G$2:$G$5000,MATCH($A331,Ventas!$A$2:$A$5000,0)),INDEX(Ventas!$H$2:$H$5000,MATCH($A331,Ventas!$A$2:$A$5000,0)),INDEX(Ventas!$I$2:$I$5000,MATCH($A331,Ventas!$A$2:$A$5000,0)),INDEX(Ventas!$J$2:$J$5000,MATCH($A331,Ventas!$A$2:$A$5000,0)))/(AF331*4),"0%")&amp;" de 4 meses",""))</f>
        <v/>
      </c>
      <c r="AD331" s="62" t="str">
        <f t="shared" si="7"/>
        <v/>
      </c>
      <c r="AE331" s="62" t="str">
        <f t="array" ref="AE331">IF(X331="","",IF(AND(E331=0,AVERAGE(INDEX(Ventas!$C$2:$I$5000,MATCH($A331,Ventas!$A$2:$A$5000,0),0))&gt;0,INDEX(Ventas!$J$2:$J$5000,MATCH($A331,Ventas!$A$2:$A$5000,0))&lt;0.5*AVERAGE(INDEX(Ventas!$C$2:$I$5000,MATCH($A331,Ventas!$A$2:$A$5000,0),0))),"SÍ — stock 0 y Sep cayó (prom Feb-Ago "&amp;TEXT(AVERAGE(INDEX(Ventas!$C$2:$I$5000,MATCH($A331,Ventas!$A$2:$A$5000,0),0)),"#,##0")&amp;")",""))</f>
        <v/>
      </c>
      <c r="AF331" s="60">
        <f t="array" ref="AF331">IF(X331="","",IF(AE331&lt;&gt;"",MAX(X331,AVERAGE(INDEX(Ventas!$C$2:$I$5000,MATCH($A331,Ventas!$A$2:$A$5000,0),0))),X331))</f>
        <v>0</v>
      </c>
      <c r="AG331" s="60">
        <f t="shared" si="8"/>
        <v>-1583</v>
      </c>
      <c r="AH331" s="63" t="str">
        <f t="shared" si="9"/>
        <v>SIN VENTAS</v>
      </c>
    </row>
    <row r="332" ht="13.5" customHeight="1">
      <c r="A332" s="49" t="s">
        <v>2146</v>
      </c>
      <c r="B332" s="50" t="s">
        <v>183</v>
      </c>
      <c r="C332" s="50" t="s">
        <v>3791</v>
      </c>
      <c r="D332" s="50" t="s">
        <v>1329</v>
      </c>
      <c r="E332" s="51">
        <v>700.0</v>
      </c>
      <c r="F332" s="52"/>
      <c r="G332" s="53"/>
      <c r="H332" s="55"/>
      <c r="I332" s="55"/>
      <c r="J332" s="53"/>
      <c r="K332" s="53"/>
      <c r="L332" s="55"/>
      <c r="M332" s="53"/>
      <c r="N332" s="74"/>
      <c r="O332" s="57" t="str">
        <f t="shared" si="1"/>
        <v>SOBRESTOCK — 14.2 meses de cobertura</v>
      </c>
      <c r="P332" s="58">
        <f t="shared" si="2"/>
        <v>700</v>
      </c>
      <c r="Q332" s="1"/>
      <c r="R332" s="1"/>
      <c r="S332" s="1"/>
      <c r="T332" s="1"/>
      <c r="U332" s="1"/>
      <c r="V332" s="1"/>
      <c r="W332" s="1"/>
      <c r="X332" s="60">
        <f>IFERROR(VLOOKUP($A332,Ventas!$A$2:$L$5000,12,FALSE()),"")</f>
        <v>49.375</v>
      </c>
      <c r="Y332" s="60">
        <f t="shared" si="3"/>
        <v>198</v>
      </c>
      <c r="Z332" s="61">
        <f t="shared" si="4"/>
        <v>14.2</v>
      </c>
      <c r="AA332" s="60">
        <f t="shared" si="5"/>
        <v>-502</v>
      </c>
      <c r="AB332" s="62" t="str">
        <f t="shared" si="6"/>
        <v>DUPLICADO</v>
      </c>
      <c r="AC332" s="62" t="str">
        <f t="array" ref="AC332">IF(AH332&lt;&gt;"COMPRAR","",IF(MAX(INDEX(Ventas!$G$2:$G$5000,MATCH($A332,Ventas!$A$2:$A$5000,0)),INDEX(Ventas!$H$2:$H$5000,MATCH($A332,Ventas!$A$2:$A$5000,0)),INDEX(Ventas!$I$2:$I$5000,MATCH($A332,Ventas!$A$2:$A$5000,0)),INDEX(Ventas!$J$2:$J$5000,MATCH($A332,Ventas!$A$2:$A$5000,0)))&gt;0.5*AF332*4,"1 mes = "&amp;TEXT(MAX(INDEX(Ventas!$G$2:$G$5000,MATCH($A332,Ventas!$A$2:$A$5000,0)),INDEX(Ventas!$H$2:$H$5000,MATCH($A332,Ventas!$A$2:$A$5000,0)),INDEX(Ventas!$I$2:$I$5000,MATCH($A332,Ventas!$A$2:$A$5000,0)),INDEX(Ventas!$J$2:$J$5000,MATCH($A332,Ventas!$A$2:$A$5000,0)))/(AF332*4),"0%")&amp;" de 4 meses",""))</f>
        <v/>
      </c>
      <c r="AD332" s="62" t="str">
        <f t="shared" si="7"/>
        <v/>
      </c>
      <c r="AE332" s="62" t="str">
        <f t="array" ref="AE332">IF(X332="","",IF(AND(E332=0,AVERAGE(INDEX(Ventas!$C$2:$I$5000,MATCH($A332,Ventas!$A$2:$A$5000,0),0))&gt;0,INDEX(Ventas!$J$2:$J$5000,MATCH($A332,Ventas!$A$2:$A$5000,0))&lt;0.5*AVERAGE(INDEX(Ventas!$C$2:$I$5000,MATCH($A332,Ventas!$A$2:$A$5000,0),0))),"SÍ — stock 0 y Sep cayó (prom Feb-Ago "&amp;TEXT(AVERAGE(INDEX(Ventas!$C$2:$I$5000,MATCH($A332,Ventas!$A$2:$A$5000,0),0)),"#,##0")&amp;")",""))</f>
        <v/>
      </c>
      <c r="AF332" s="60">
        <f t="array" ref="AF332">IF(X332="","",IF(AE332&lt;&gt;"",MAX(X332,AVERAGE(INDEX(Ventas!$C$2:$I$5000,MATCH($A332,Ventas!$A$2:$A$5000,0),0))),X332))</f>
        <v>49.375</v>
      </c>
      <c r="AG332" s="60">
        <f t="shared" si="8"/>
        <v>-502</v>
      </c>
      <c r="AH332" s="63" t="str">
        <f t="shared" si="9"/>
        <v>SOBRESTOCK</v>
      </c>
    </row>
    <row r="333" ht="13.5" customHeight="1">
      <c r="A333" s="64" t="s">
        <v>2144</v>
      </c>
      <c r="B333" s="65" t="s">
        <v>183</v>
      </c>
      <c r="C333" s="65" t="s">
        <v>3791</v>
      </c>
      <c r="D333" s="65" t="s">
        <v>3793</v>
      </c>
      <c r="E333" s="51">
        <v>1700.0</v>
      </c>
      <c r="F333" s="66"/>
      <c r="G333" s="53"/>
      <c r="H333" s="55"/>
      <c r="I333" s="55"/>
      <c r="J333" s="53"/>
      <c r="K333" s="53"/>
      <c r="L333" s="55"/>
      <c r="M333" s="53"/>
      <c r="N333" s="73"/>
      <c r="O333" s="57" t="str">
        <f t="shared" si="1"/>
        <v>OK — cubierto (7.3 meses)</v>
      </c>
      <c r="P333" s="58">
        <f t="shared" si="2"/>
        <v>1700</v>
      </c>
      <c r="Q333" s="1"/>
      <c r="R333" s="1"/>
      <c r="S333" s="1"/>
      <c r="T333" s="1"/>
      <c r="U333" s="1"/>
      <c r="V333" s="1"/>
      <c r="W333" s="1"/>
      <c r="X333" s="60">
        <f>IFERROR(VLOOKUP($A333,Ventas!$A$2:$L$5000,12,FALSE()),"")</f>
        <v>232.5</v>
      </c>
      <c r="Y333" s="60">
        <f t="shared" si="3"/>
        <v>930</v>
      </c>
      <c r="Z333" s="61">
        <f t="shared" si="4"/>
        <v>7.3</v>
      </c>
      <c r="AA333" s="60">
        <f t="shared" si="5"/>
        <v>-770</v>
      </c>
      <c r="AB333" s="62" t="str">
        <f t="shared" si="6"/>
        <v/>
      </c>
      <c r="AC333" s="62" t="str">
        <f t="array" ref="AC333">IF(AH333&lt;&gt;"COMPRAR","",IF(MAX(INDEX(Ventas!$G$2:$G$5000,MATCH($A333,Ventas!$A$2:$A$5000,0)),INDEX(Ventas!$H$2:$H$5000,MATCH($A333,Ventas!$A$2:$A$5000,0)),INDEX(Ventas!$I$2:$I$5000,MATCH($A333,Ventas!$A$2:$A$5000,0)),INDEX(Ventas!$J$2:$J$5000,MATCH($A333,Ventas!$A$2:$A$5000,0)))&gt;0.5*AF333*4,"1 mes = "&amp;TEXT(MAX(INDEX(Ventas!$G$2:$G$5000,MATCH($A333,Ventas!$A$2:$A$5000,0)),INDEX(Ventas!$H$2:$H$5000,MATCH($A333,Ventas!$A$2:$A$5000,0)),INDEX(Ventas!$I$2:$I$5000,MATCH($A333,Ventas!$A$2:$A$5000,0)),INDEX(Ventas!$J$2:$J$5000,MATCH($A333,Ventas!$A$2:$A$5000,0)))/(AF333*4),"0%")&amp;" de 4 meses",""))</f>
        <v/>
      </c>
      <c r="AD333" s="62" t="str">
        <f t="shared" si="7"/>
        <v/>
      </c>
      <c r="AE333" s="62" t="str">
        <f t="array" ref="AE333">IF(X333="","",IF(AND(E333=0,AVERAGE(INDEX(Ventas!$C$2:$I$5000,MATCH($A333,Ventas!$A$2:$A$5000,0),0))&gt;0,INDEX(Ventas!$J$2:$J$5000,MATCH($A333,Ventas!$A$2:$A$5000,0))&lt;0.5*AVERAGE(INDEX(Ventas!$C$2:$I$5000,MATCH($A333,Ventas!$A$2:$A$5000,0),0))),"SÍ — stock 0 y Sep cayó (prom Feb-Ago "&amp;TEXT(AVERAGE(INDEX(Ventas!$C$2:$I$5000,MATCH($A333,Ventas!$A$2:$A$5000,0),0)),"#,##0")&amp;")",""))</f>
        <v/>
      </c>
      <c r="AF333" s="60">
        <f t="array" ref="AF333">IF(X333="","",IF(AE333&lt;&gt;"",MAX(X333,AVERAGE(INDEX(Ventas!$C$2:$I$5000,MATCH($A333,Ventas!$A$2:$A$5000,0),0))),X333))</f>
        <v>232.5</v>
      </c>
      <c r="AG333" s="60">
        <f t="shared" si="8"/>
        <v>-770</v>
      </c>
      <c r="AH333" s="63" t="str">
        <f t="shared" si="9"/>
        <v>OK</v>
      </c>
    </row>
    <row r="334" ht="13.5" customHeight="1">
      <c r="A334" s="49" t="s">
        <v>1900</v>
      </c>
      <c r="B334" s="50" t="s">
        <v>183</v>
      </c>
      <c r="C334" s="50" t="s">
        <v>3791</v>
      </c>
      <c r="D334" s="50" t="s">
        <v>3794</v>
      </c>
      <c r="E334" s="51">
        <v>1350.0</v>
      </c>
      <c r="F334" s="52"/>
      <c r="G334" s="53"/>
      <c r="H334" s="55"/>
      <c r="I334" s="55"/>
      <c r="J334" s="53"/>
      <c r="K334" s="53"/>
      <c r="L334" s="55"/>
      <c r="M334" s="53"/>
      <c r="N334" s="74"/>
      <c r="O334" s="57" t="str">
        <f t="shared" si="1"/>
        <v>SOBRESTOCK — 11.8 meses de cobertura</v>
      </c>
      <c r="P334" s="58">
        <f t="shared" si="2"/>
        <v>1350</v>
      </c>
      <c r="Q334" s="1"/>
      <c r="R334" s="1"/>
      <c r="S334" s="1"/>
      <c r="T334" s="1"/>
      <c r="U334" s="1"/>
      <c r="V334" s="1"/>
      <c r="W334" s="1"/>
      <c r="X334" s="60">
        <f>IFERROR(VLOOKUP($A334,Ventas!$A$2:$L$5000,12,FALSE()),"")</f>
        <v>114.25</v>
      </c>
      <c r="Y334" s="60">
        <f t="shared" si="3"/>
        <v>457</v>
      </c>
      <c r="Z334" s="61">
        <f t="shared" si="4"/>
        <v>11.8</v>
      </c>
      <c r="AA334" s="60">
        <f t="shared" si="5"/>
        <v>-893</v>
      </c>
      <c r="AB334" s="62" t="str">
        <f t="shared" si="6"/>
        <v/>
      </c>
      <c r="AC334" s="62" t="str">
        <f t="array" ref="AC334">IF(AH334&lt;&gt;"COMPRAR","",IF(MAX(INDEX(Ventas!$G$2:$G$5000,MATCH($A334,Ventas!$A$2:$A$5000,0)),INDEX(Ventas!$H$2:$H$5000,MATCH($A334,Ventas!$A$2:$A$5000,0)),INDEX(Ventas!$I$2:$I$5000,MATCH($A334,Ventas!$A$2:$A$5000,0)),INDEX(Ventas!$J$2:$J$5000,MATCH($A334,Ventas!$A$2:$A$5000,0)))&gt;0.5*AF334*4,"1 mes = "&amp;TEXT(MAX(INDEX(Ventas!$G$2:$G$5000,MATCH($A334,Ventas!$A$2:$A$5000,0)),INDEX(Ventas!$H$2:$H$5000,MATCH($A334,Ventas!$A$2:$A$5000,0)),INDEX(Ventas!$I$2:$I$5000,MATCH($A334,Ventas!$A$2:$A$5000,0)),INDEX(Ventas!$J$2:$J$5000,MATCH($A334,Ventas!$A$2:$A$5000,0)))/(AF334*4),"0%")&amp;" de 4 meses",""))</f>
        <v/>
      </c>
      <c r="AD334" s="62" t="str">
        <f t="shared" si="7"/>
        <v/>
      </c>
      <c r="AE334" s="62" t="str">
        <f t="array" ref="AE334">IF(X334="","",IF(AND(E334=0,AVERAGE(INDEX(Ventas!$C$2:$I$5000,MATCH($A334,Ventas!$A$2:$A$5000,0),0))&gt;0,INDEX(Ventas!$J$2:$J$5000,MATCH($A334,Ventas!$A$2:$A$5000,0))&lt;0.5*AVERAGE(INDEX(Ventas!$C$2:$I$5000,MATCH($A334,Ventas!$A$2:$A$5000,0),0))),"SÍ — stock 0 y Sep cayó (prom Feb-Ago "&amp;TEXT(AVERAGE(INDEX(Ventas!$C$2:$I$5000,MATCH($A334,Ventas!$A$2:$A$5000,0),0)),"#,##0")&amp;")",""))</f>
        <v/>
      </c>
      <c r="AF334" s="60">
        <f t="array" ref="AF334">IF(X334="","",IF(AE334&lt;&gt;"",MAX(X334,AVERAGE(INDEX(Ventas!$C$2:$I$5000,MATCH($A334,Ventas!$A$2:$A$5000,0),0))),X334))</f>
        <v>114.25</v>
      </c>
      <c r="AG334" s="60">
        <f t="shared" si="8"/>
        <v>-893</v>
      </c>
      <c r="AH334" s="63" t="str">
        <f t="shared" si="9"/>
        <v>SOBRESTOCK</v>
      </c>
    </row>
    <row r="335" ht="13.5" customHeight="1">
      <c r="A335" s="64" t="s">
        <v>106</v>
      </c>
      <c r="B335" s="65" t="s">
        <v>183</v>
      </c>
      <c r="C335" s="65" t="s">
        <v>3795</v>
      </c>
      <c r="D335" s="65" t="s">
        <v>1329</v>
      </c>
      <c r="E335" s="51">
        <v>1660.0</v>
      </c>
      <c r="F335" s="66"/>
      <c r="G335" s="53"/>
      <c r="H335" s="55"/>
      <c r="I335" s="55"/>
      <c r="J335" s="53"/>
      <c r="K335" s="53"/>
      <c r="L335" s="55"/>
      <c r="M335" s="53"/>
      <c r="N335" s="73"/>
      <c r="O335" s="57" t="str">
        <f t="shared" si="1"/>
        <v>SOBRESTOCK — 55.3 meses de cobertura</v>
      </c>
      <c r="P335" s="58">
        <f t="shared" si="2"/>
        <v>1660</v>
      </c>
      <c r="Q335" s="1"/>
      <c r="R335" s="1"/>
      <c r="S335" s="1"/>
      <c r="T335" s="1"/>
      <c r="U335" s="1"/>
      <c r="V335" s="1"/>
      <c r="W335" s="1"/>
      <c r="X335" s="60">
        <f>IFERROR(VLOOKUP($A335,Ventas!$A$2:$L$5000,12,FALSE()),"")</f>
        <v>30</v>
      </c>
      <c r="Y335" s="60">
        <f t="shared" si="3"/>
        <v>120</v>
      </c>
      <c r="Z335" s="61">
        <f t="shared" si="4"/>
        <v>55.3</v>
      </c>
      <c r="AA335" s="60">
        <f t="shared" si="5"/>
        <v>-1540</v>
      </c>
      <c r="AB335" s="62" t="str">
        <f t="shared" si="6"/>
        <v/>
      </c>
      <c r="AC335" s="62" t="str">
        <f t="array" ref="AC335">IF(AH335&lt;&gt;"COMPRAR","",IF(MAX(INDEX(Ventas!$G$2:$G$5000,MATCH($A335,Ventas!$A$2:$A$5000,0)),INDEX(Ventas!$H$2:$H$5000,MATCH($A335,Ventas!$A$2:$A$5000,0)),INDEX(Ventas!$I$2:$I$5000,MATCH($A335,Ventas!$A$2:$A$5000,0)),INDEX(Ventas!$J$2:$J$5000,MATCH($A335,Ventas!$A$2:$A$5000,0)))&gt;0.5*AF335*4,"1 mes = "&amp;TEXT(MAX(INDEX(Ventas!$G$2:$G$5000,MATCH($A335,Ventas!$A$2:$A$5000,0)),INDEX(Ventas!$H$2:$H$5000,MATCH($A335,Ventas!$A$2:$A$5000,0)),INDEX(Ventas!$I$2:$I$5000,MATCH($A335,Ventas!$A$2:$A$5000,0)),INDEX(Ventas!$J$2:$J$5000,MATCH($A335,Ventas!$A$2:$A$5000,0)))/(AF335*4),"0%")&amp;" de 4 meses",""))</f>
        <v/>
      </c>
      <c r="AD335" s="62" t="str">
        <f t="shared" si="7"/>
        <v/>
      </c>
      <c r="AE335" s="62" t="str">
        <f t="array" ref="AE335">IF(X335="","",IF(AND(E335=0,AVERAGE(INDEX(Ventas!$C$2:$I$5000,MATCH($A335,Ventas!$A$2:$A$5000,0),0))&gt;0,INDEX(Ventas!$J$2:$J$5000,MATCH($A335,Ventas!$A$2:$A$5000,0))&lt;0.5*AVERAGE(INDEX(Ventas!$C$2:$I$5000,MATCH($A335,Ventas!$A$2:$A$5000,0),0))),"SÍ — stock 0 y Sep cayó (prom Feb-Ago "&amp;TEXT(AVERAGE(INDEX(Ventas!$C$2:$I$5000,MATCH($A335,Ventas!$A$2:$A$5000,0),0)),"#,##0")&amp;")",""))</f>
        <v/>
      </c>
      <c r="AF335" s="60">
        <f t="array" ref="AF335">IF(X335="","",IF(AE335&lt;&gt;"",MAX(X335,AVERAGE(INDEX(Ventas!$C$2:$I$5000,MATCH($A335,Ventas!$A$2:$A$5000,0),0))),X335))</f>
        <v>30</v>
      </c>
      <c r="AG335" s="60">
        <f t="shared" si="8"/>
        <v>-1540</v>
      </c>
      <c r="AH335" s="63" t="str">
        <f t="shared" si="9"/>
        <v>SOBRESTOCK</v>
      </c>
    </row>
    <row r="336" ht="13.5" customHeight="1">
      <c r="A336" s="49" t="s">
        <v>108</v>
      </c>
      <c r="B336" s="50" t="s">
        <v>183</v>
      </c>
      <c r="C336" s="50" t="s">
        <v>3795</v>
      </c>
      <c r="D336" s="50" t="s">
        <v>748</v>
      </c>
      <c r="E336" s="51">
        <v>584.0</v>
      </c>
      <c r="F336" s="52"/>
      <c r="G336" s="53"/>
      <c r="H336" s="55"/>
      <c r="I336" s="55"/>
      <c r="J336" s="53"/>
      <c r="K336" s="53"/>
      <c r="L336" s="55"/>
      <c r="M336" s="53"/>
      <c r="N336" s="74"/>
      <c r="O336" s="57" t="str">
        <f t="shared" si="1"/>
        <v>SIN VENTAS Jun-Sep — no comprar (584 m disponibles)</v>
      </c>
      <c r="P336" s="58">
        <f t="shared" si="2"/>
        <v>584</v>
      </c>
      <c r="Q336" s="1"/>
      <c r="R336" s="1"/>
      <c r="S336" s="1"/>
      <c r="T336" s="1"/>
      <c r="U336" s="1"/>
      <c r="V336" s="1"/>
      <c r="W336" s="1"/>
      <c r="X336" s="60">
        <f>IFERROR(VLOOKUP($A336,Ventas!$A$2:$L$5000,12,FALSE()),"")</f>
        <v>0</v>
      </c>
      <c r="Y336" s="60">
        <f t="shared" si="3"/>
        <v>0</v>
      </c>
      <c r="Z336" s="61" t="str">
        <f t="shared" si="4"/>
        <v/>
      </c>
      <c r="AA336" s="60">
        <f t="shared" si="5"/>
        <v>-584</v>
      </c>
      <c r="AB336" s="62" t="str">
        <f t="shared" si="6"/>
        <v/>
      </c>
      <c r="AC336" s="62" t="str">
        <f t="array" ref="AC336">IF(AH336&lt;&gt;"COMPRAR","",IF(MAX(INDEX(Ventas!$G$2:$G$5000,MATCH($A336,Ventas!$A$2:$A$5000,0)),INDEX(Ventas!$H$2:$H$5000,MATCH($A336,Ventas!$A$2:$A$5000,0)),INDEX(Ventas!$I$2:$I$5000,MATCH($A336,Ventas!$A$2:$A$5000,0)),INDEX(Ventas!$J$2:$J$5000,MATCH($A336,Ventas!$A$2:$A$5000,0)))&gt;0.5*AF336*4,"1 mes = "&amp;TEXT(MAX(INDEX(Ventas!$G$2:$G$5000,MATCH($A336,Ventas!$A$2:$A$5000,0)),INDEX(Ventas!$H$2:$H$5000,MATCH($A336,Ventas!$A$2:$A$5000,0)),INDEX(Ventas!$I$2:$I$5000,MATCH($A336,Ventas!$A$2:$A$5000,0)),INDEX(Ventas!$J$2:$J$5000,MATCH($A336,Ventas!$A$2:$A$5000,0)))/(AF336*4),"0%")&amp;" de 4 meses",""))</f>
        <v/>
      </c>
      <c r="AD336" s="62" t="str">
        <f t="shared" si="7"/>
        <v/>
      </c>
      <c r="AE336" s="62" t="str">
        <f t="array" ref="AE336">IF(X336="","",IF(AND(E336=0,AVERAGE(INDEX(Ventas!$C$2:$I$5000,MATCH($A336,Ventas!$A$2:$A$5000,0),0))&gt;0,INDEX(Ventas!$J$2:$J$5000,MATCH($A336,Ventas!$A$2:$A$5000,0))&lt;0.5*AVERAGE(INDEX(Ventas!$C$2:$I$5000,MATCH($A336,Ventas!$A$2:$A$5000,0),0))),"SÍ — stock 0 y Sep cayó (prom Feb-Ago "&amp;TEXT(AVERAGE(INDEX(Ventas!$C$2:$I$5000,MATCH($A336,Ventas!$A$2:$A$5000,0),0)),"#,##0")&amp;")",""))</f>
        <v/>
      </c>
      <c r="AF336" s="60">
        <f t="array" ref="AF336">IF(X336="","",IF(AE336&lt;&gt;"",MAX(X336,AVERAGE(INDEX(Ventas!$C$2:$I$5000,MATCH($A336,Ventas!$A$2:$A$5000,0),0))),X336))</f>
        <v>0</v>
      </c>
      <c r="AG336" s="60">
        <f t="shared" si="8"/>
        <v>-584</v>
      </c>
      <c r="AH336" s="63" t="str">
        <f t="shared" si="9"/>
        <v>SIN VENTAS</v>
      </c>
    </row>
    <row r="337" ht="13.5" customHeight="1">
      <c r="A337" s="64" t="s">
        <v>103</v>
      </c>
      <c r="B337" s="65" t="s">
        <v>183</v>
      </c>
      <c r="C337" s="65" t="s">
        <v>3795</v>
      </c>
      <c r="D337" s="65" t="s">
        <v>590</v>
      </c>
      <c r="E337" s="51">
        <v>40.0</v>
      </c>
      <c r="F337" s="66"/>
      <c r="G337" s="53"/>
      <c r="H337" s="55"/>
      <c r="I337" s="55"/>
      <c r="J337" s="53"/>
      <c r="K337" s="53"/>
      <c r="L337" s="55"/>
      <c r="M337" s="53"/>
      <c r="N337" s="73"/>
      <c r="O337" s="57" t="str">
        <f t="shared" si="1"/>
        <v>COMPRAR — faltan 880 m para 4 meses</v>
      </c>
      <c r="P337" s="58">
        <f t="shared" si="2"/>
        <v>40</v>
      </c>
      <c r="Q337" s="1"/>
      <c r="R337" s="1"/>
      <c r="S337" s="1"/>
      <c r="T337" s="1"/>
      <c r="U337" s="1"/>
      <c r="V337" s="1"/>
      <c r="W337" s="1"/>
      <c r="X337" s="60">
        <f>IFERROR(VLOOKUP($A337,Ventas!$A$2:$L$5000,12,FALSE()),"")</f>
        <v>230</v>
      </c>
      <c r="Y337" s="60">
        <f t="shared" si="3"/>
        <v>920</v>
      </c>
      <c r="Z337" s="61">
        <f t="shared" si="4"/>
        <v>0.2</v>
      </c>
      <c r="AA337" s="60">
        <f t="shared" si="5"/>
        <v>880</v>
      </c>
      <c r="AB337" s="62" t="str">
        <f t="shared" si="6"/>
        <v/>
      </c>
      <c r="AC337" s="62" t="str">
        <f t="array" ref="AC337">IF(AH337&lt;&gt;"COMPRAR","",IF(MAX(INDEX(Ventas!$G$2:$G$5000,MATCH($A337,Ventas!$A$2:$A$5000,0)),INDEX(Ventas!$H$2:$H$5000,MATCH($A337,Ventas!$A$2:$A$5000,0)),INDEX(Ventas!$I$2:$I$5000,MATCH($A337,Ventas!$A$2:$A$5000,0)),INDEX(Ventas!$J$2:$J$5000,MATCH($A337,Ventas!$A$2:$A$5000,0)))&gt;0.5*AF337*4,"1 mes = "&amp;TEXT(MAX(INDEX(Ventas!$G$2:$G$5000,MATCH($A337,Ventas!$A$2:$A$5000,0)),INDEX(Ventas!$H$2:$H$5000,MATCH($A337,Ventas!$A$2:$A$5000,0)),INDEX(Ventas!$I$2:$I$5000,MATCH($A337,Ventas!$A$2:$A$5000,0)),INDEX(Ventas!$J$2:$J$5000,MATCH($A337,Ventas!$A$2:$A$5000,0)))/(AF337*4),"0%")&amp;" de 4 meses",""))</f>
        <v/>
      </c>
      <c r="AD337" s="62" t="str">
        <f t="shared" si="7"/>
        <v>SÍ — 40 m vs 122 m</v>
      </c>
      <c r="AE337" s="62" t="str">
        <f t="array" ref="AE337">IF(X337="","",IF(AND(E337=0,AVERAGE(INDEX(Ventas!$C$2:$I$5000,MATCH($A337,Ventas!$A$2:$A$5000,0),0))&gt;0,INDEX(Ventas!$J$2:$J$5000,MATCH($A337,Ventas!$A$2:$A$5000,0))&lt;0.5*AVERAGE(INDEX(Ventas!$C$2:$I$5000,MATCH($A337,Ventas!$A$2:$A$5000,0),0))),"SÍ — stock 0 y Sep cayó (prom Feb-Ago "&amp;TEXT(AVERAGE(INDEX(Ventas!$C$2:$I$5000,MATCH($A337,Ventas!$A$2:$A$5000,0),0)),"#,##0")&amp;")",""))</f>
        <v/>
      </c>
      <c r="AF337" s="60">
        <f t="array" ref="AF337">IF(X337="","",IF(AE337&lt;&gt;"",MAX(X337,AVERAGE(INDEX(Ventas!$C$2:$I$5000,MATCH($A337,Ventas!$A$2:$A$5000,0),0))),X337))</f>
        <v>230</v>
      </c>
      <c r="AG337" s="60">
        <f t="shared" si="8"/>
        <v>880</v>
      </c>
      <c r="AH337" s="63" t="str">
        <f t="shared" si="9"/>
        <v>COMPRAR</v>
      </c>
    </row>
    <row r="338" ht="13.5" customHeight="1">
      <c r="A338" s="49" t="s">
        <v>1444</v>
      </c>
      <c r="B338" s="50" t="s">
        <v>183</v>
      </c>
      <c r="C338" s="50" t="s">
        <v>3796</v>
      </c>
      <c r="D338" s="50" t="s">
        <v>1329</v>
      </c>
      <c r="E338" s="51">
        <v>0.0</v>
      </c>
      <c r="F338" s="52"/>
      <c r="G338" s="53"/>
      <c r="H338" s="55"/>
      <c r="I338" s="55"/>
      <c r="J338" s="53"/>
      <c r="K338" s="53"/>
      <c r="L338" s="55"/>
      <c r="M338" s="53"/>
      <c r="N338" s="74"/>
      <c r="O338" s="57" t="str">
        <f t="shared" si="1"/>
        <v>SIN VENTAS Jun-Sep — no comprar</v>
      </c>
      <c r="P338" s="58">
        <f t="shared" si="2"/>
        <v>0</v>
      </c>
      <c r="Q338" s="1"/>
      <c r="R338" s="1"/>
      <c r="S338" s="1"/>
      <c r="T338" s="1"/>
      <c r="U338" s="1"/>
      <c r="V338" s="1"/>
      <c r="W338" s="1"/>
      <c r="X338" s="60">
        <f>IFERROR(VLOOKUP($A338,Ventas!$A$2:$L$5000,12,FALSE()),"")</f>
        <v>0</v>
      </c>
      <c r="Y338" s="60">
        <f t="shared" si="3"/>
        <v>0</v>
      </c>
      <c r="Z338" s="61" t="str">
        <f t="shared" si="4"/>
        <v/>
      </c>
      <c r="AA338" s="60">
        <f t="shared" si="5"/>
        <v>0</v>
      </c>
      <c r="AB338" s="62" t="str">
        <f t="shared" si="6"/>
        <v/>
      </c>
      <c r="AC338" s="62" t="str">
        <f t="array" ref="AC338">IF(AH338&lt;&gt;"COMPRAR","",IF(MAX(INDEX(Ventas!$G$2:$G$5000,MATCH($A338,Ventas!$A$2:$A$5000,0)),INDEX(Ventas!$H$2:$H$5000,MATCH($A338,Ventas!$A$2:$A$5000,0)),INDEX(Ventas!$I$2:$I$5000,MATCH($A338,Ventas!$A$2:$A$5000,0)),INDEX(Ventas!$J$2:$J$5000,MATCH($A338,Ventas!$A$2:$A$5000,0)))&gt;0.5*AF338*4,"1 mes = "&amp;TEXT(MAX(INDEX(Ventas!$G$2:$G$5000,MATCH($A338,Ventas!$A$2:$A$5000,0)),INDEX(Ventas!$H$2:$H$5000,MATCH($A338,Ventas!$A$2:$A$5000,0)),INDEX(Ventas!$I$2:$I$5000,MATCH($A338,Ventas!$A$2:$A$5000,0)),INDEX(Ventas!$J$2:$J$5000,MATCH($A338,Ventas!$A$2:$A$5000,0)))/(AF338*4),"0%")&amp;" de 4 meses",""))</f>
        <v/>
      </c>
      <c r="AD338" s="62" t="str">
        <f t="shared" si="7"/>
        <v/>
      </c>
      <c r="AE338" s="62" t="str">
        <f t="array" ref="AE338">IF(X338="","",IF(AND(E338=0,AVERAGE(INDEX(Ventas!$C$2:$I$5000,MATCH($A338,Ventas!$A$2:$A$5000,0),0))&gt;0,INDEX(Ventas!$J$2:$J$5000,MATCH($A338,Ventas!$A$2:$A$5000,0))&lt;0.5*AVERAGE(INDEX(Ventas!$C$2:$I$5000,MATCH($A338,Ventas!$A$2:$A$5000,0),0))),"SÍ — stock 0 y Sep cayó (prom Feb-Ago "&amp;TEXT(AVERAGE(INDEX(Ventas!$C$2:$I$5000,MATCH($A338,Ventas!$A$2:$A$5000,0),0)),"#,##0")&amp;")",""))</f>
        <v/>
      </c>
      <c r="AF338" s="60">
        <f t="array" ref="AF338">IF(X338="","",IF(AE338&lt;&gt;"",MAX(X338,AVERAGE(INDEX(Ventas!$C$2:$I$5000,MATCH($A338,Ventas!$A$2:$A$5000,0),0))),X338))</f>
        <v>0</v>
      </c>
      <c r="AG338" s="60">
        <f t="shared" si="8"/>
        <v>0</v>
      </c>
      <c r="AH338" s="63" t="str">
        <f t="shared" si="9"/>
        <v>SIN VENTAS</v>
      </c>
    </row>
    <row r="339" ht="13.5" customHeight="1">
      <c r="A339" s="64" t="s">
        <v>1441</v>
      </c>
      <c r="B339" s="65" t="s">
        <v>183</v>
      </c>
      <c r="C339" s="65" t="s">
        <v>3796</v>
      </c>
      <c r="D339" s="65" t="s">
        <v>694</v>
      </c>
      <c r="E339" s="51">
        <v>200.0</v>
      </c>
      <c r="F339" s="66"/>
      <c r="G339" s="53"/>
      <c r="H339" s="55"/>
      <c r="I339" s="55"/>
      <c r="J339" s="53"/>
      <c r="K339" s="53"/>
      <c r="L339" s="55"/>
      <c r="M339" s="53"/>
      <c r="N339" s="73"/>
      <c r="O339" s="57" t="str">
        <f t="shared" si="1"/>
        <v>OK — cubierto (8.0 meses)</v>
      </c>
      <c r="P339" s="58">
        <f t="shared" si="2"/>
        <v>200</v>
      </c>
      <c r="Q339" s="1"/>
      <c r="R339" s="1"/>
      <c r="S339" s="1"/>
      <c r="T339" s="1"/>
      <c r="U339" s="1"/>
      <c r="V339" s="1"/>
      <c r="W339" s="1"/>
      <c r="X339" s="60">
        <f>IFERROR(VLOOKUP($A339,Ventas!$A$2:$L$5000,12,FALSE()),"")</f>
        <v>25</v>
      </c>
      <c r="Y339" s="60">
        <f t="shared" si="3"/>
        <v>100</v>
      </c>
      <c r="Z339" s="61">
        <f t="shared" si="4"/>
        <v>8</v>
      </c>
      <c r="AA339" s="60">
        <f t="shared" si="5"/>
        <v>-100</v>
      </c>
      <c r="AB339" s="62" t="str">
        <f t="shared" si="6"/>
        <v/>
      </c>
      <c r="AC339" s="62" t="str">
        <f t="array" ref="AC339">IF(AH339&lt;&gt;"COMPRAR","",IF(MAX(INDEX(Ventas!$G$2:$G$5000,MATCH($A339,Ventas!$A$2:$A$5000,0)),INDEX(Ventas!$H$2:$H$5000,MATCH($A339,Ventas!$A$2:$A$5000,0)),INDEX(Ventas!$I$2:$I$5000,MATCH($A339,Ventas!$A$2:$A$5000,0)),INDEX(Ventas!$J$2:$J$5000,MATCH($A339,Ventas!$A$2:$A$5000,0)))&gt;0.5*AF339*4,"1 mes = "&amp;TEXT(MAX(INDEX(Ventas!$G$2:$G$5000,MATCH($A339,Ventas!$A$2:$A$5000,0)),INDEX(Ventas!$H$2:$H$5000,MATCH($A339,Ventas!$A$2:$A$5000,0)),INDEX(Ventas!$I$2:$I$5000,MATCH($A339,Ventas!$A$2:$A$5000,0)),INDEX(Ventas!$J$2:$J$5000,MATCH($A339,Ventas!$A$2:$A$5000,0)))/(AF339*4),"0%")&amp;" de 4 meses",""))</f>
        <v/>
      </c>
      <c r="AD339" s="62" t="str">
        <f t="shared" si="7"/>
        <v/>
      </c>
      <c r="AE339" s="62" t="str">
        <f t="array" ref="AE339">IF(X339="","",IF(AND(E339=0,AVERAGE(INDEX(Ventas!$C$2:$I$5000,MATCH($A339,Ventas!$A$2:$A$5000,0),0))&gt;0,INDEX(Ventas!$J$2:$J$5000,MATCH($A339,Ventas!$A$2:$A$5000,0))&lt;0.5*AVERAGE(INDEX(Ventas!$C$2:$I$5000,MATCH($A339,Ventas!$A$2:$A$5000,0),0))),"SÍ — stock 0 y Sep cayó (prom Feb-Ago "&amp;TEXT(AVERAGE(INDEX(Ventas!$C$2:$I$5000,MATCH($A339,Ventas!$A$2:$A$5000,0),0)),"#,##0")&amp;")",""))</f>
        <v/>
      </c>
      <c r="AF339" s="60">
        <f t="array" ref="AF339">IF(X339="","",IF(AE339&lt;&gt;"",MAX(X339,AVERAGE(INDEX(Ventas!$C$2:$I$5000,MATCH($A339,Ventas!$A$2:$A$5000,0),0))),X339))</f>
        <v>25</v>
      </c>
      <c r="AG339" s="60">
        <f t="shared" si="8"/>
        <v>-100</v>
      </c>
      <c r="AH339" s="63" t="str">
        <f t="shared" si="9"/>
        <v>OK</v>
      </c>
    </row>
    <row r="340" ht="13.5" customHeight="1">
      <c r="A340" s="49" t="s">
        <v>1430</v>
      </c>
      <c r="B340" s="50" t="s">
        <v>183</v>
      </c>
      <c r="C340" s="50" t="s">
        <v>3796</v>
      </c>
      <c r="D340" s="50" t="s">
        <v>336</v>
      </c>
      <c r="E340" s="51">
        <v>0.0</v>
      </c>
      <c r="F340" s="52"/>
      <c r="G340" s="53"/>
      <c r="H340" s="55"/>
      <c r="I340" s="55"/>
      <c r="J340" s="53"/>
      <c r="K340" s="53"/>
      <c r="L340" s="55"/>
      <c r="M340" s="53"/>
      <c r="N340" s="74"/>
      <c r="O340" s="57" t="str">
        <f t="shared" si="1"/>
        <v>SIN VENTAS Jun-Sep — no comprar</v>
      </c>
      <c r="P340" s="58">
        <f t="shared" si="2"/>
        <v>0</v>
      </c>
      <c r="Q340" s="1"/>
      <c r="R340" s="1"/>
      <c r="S340" s="1"/>
      <c r="T340" s="1"/>
      <c r="U340" s="1"/>
      <c r="V340" s="1"/>
      <c r="W340" s="1"/>
      <c r="X340" s="60">
        <f>IFERROR(VLOOKUP($A340,Ventas!$A$2:$L$5000,12,FALSE()),"")</f>
        <v>0</v>
      </c>
      <c r="Y340" s="60">
        <f t="shared" si="3"/>
        <v>0</v>
      </c>
      <c r="Z340" s="61" t="str">
        <f t="shared" si="4"/>
        <v/>
      </c>
      <c r="AA340" s="60">
        <f t="shared" si="5"/>
        <v>0</v>
      </c>
      <c r="AB340" s="62" t="str">
        <f t="shared" si="6"/>
        <v/>
      </c>
      <c r="AC340" s="62" t="str">
        <f t="array" ref="AC340">IF(AH340&lt;&gt;"COMPRAR","",IF(MAX(INDEX(Ventas!$G$2:$G$5000,MATCH($A340,Ventas!$A$2:$A$5000,0)),INDEX(Ventas!$H$2:$H$5000,MATCH($A340,Ventas!$A$2:$A$5000,0)),INDEX(Ventas!$I$2:$I$5000,MATCH($A340,Ventas!$A$2:$A$5000,0)),INDEX(Ventas!$J$2:$J$5000,MATCH($A340,Ventas!$A$2:$A$5000,0)))&gt;0.5*AF340*4,"1 mes = "&amp;TEXT(MAX(INDEX(Ventas!$G$2:$G$5000,MATCH($A340,Ventas!$A$2:$A$5000,0)),INDEX(Ventas!$H$2:$H$5000,MATCH($A340,Ventas!$A$2:$A$5000,0)),INDEX(Ventas!$I$2:$I$5000,MATCH($A340,Ventas!$A$2:$A$5000,0)),INDEX(Ventas!$J$2:$J$5000,MATCH($A340,Ventas!$A$2:$A$5000,0)))/(AF340*4),"0%")&amp;" de 4 meses",""))</f>
        <v/>
      </c>
      <c r="AD340" s="62" t="str">
        <f t="shared" si="7"/>
        <v/>
      </c>
      <c r="AE340" s="62" t="str">
        <f t="array" ref="AE340">IF(X340="","",IF(AND(E340=0,AVERAGE(INDEX(Ventas!$C$2:$I$5000,MATCH($A340,Ventas!$A$2:$A$5000,0),0))&gt;0,INDEX(Ventas!$J$2:$J$5000,MATCH($A340,Ventas!$A$2:$A$5000,0))&lt;0.5*AVERAGE(INDEX(Ventas!$C$2:$I$5000,MATCH($A340,Ventas!$A$2:$A$5000,0),0))),"SÍ — stock 0 y Sep cayó (prom Feb-Ago "&amp;TEXT(AVERAGE(INDEX(Ventas!$C$2:$I$5000,MATCH($A340,Ventas!$A$2:$A$5000,0),0)),"#,##0")&amp;")",""))</f>
        <v/>
      </c>
      <c r="AF340" s="60">
        <f t="array" ref="AF340">IF(X340="","",IF(AE340&lt;&gt;"",MAX(X340,AVERAGE(INDEX(Ventas!$C$2:$I$5000,MATCH($A340,Ventas!$A$2:$A$5000,0),0))),X340))</f>
        <v>0</v>
      </c>
      <c r="AG340" s="60">
        <f t="shared" si="8"/>
        <v>0</v>
      </c>
      <c r="AH340" s="63" t="str">
        <f t="shared" si="9"/>
        <v>SIN VENTAS</v>
      </c>
    </row>
    <row r="341" ht="13.5" customHeight="1">
      <c r="A341" s="64" t="s">
        <v>1432</v>
      </c>
      <c r="B341" s="65" t="s">
        <v>183</v>
      </c>
      <c r="C341" s="65" t="s">
        <v>3796</v>
      </c>
      <c r="D341" s="65" t="s">
        <v>2820</v>
      </c>
      <c r="E341" s="51">
        <v>0.0</v>
      </c>
      <c r="F341" s="66"/>
      <c r="G341" s="53"/>
      <c r="H341" s="55"/>
      <c r="I341" s="55"/>
      <c r="J341" s="53"/>
      <c r="K341" s="53"/>
      <c r="L341" s="55"/>
      <c r="M341" s="53"/>
      <c r="N341" s="73"/>
      <c r="O341" s="57" t="str">
        <f t="shared" si="1"/>
        <v>COMPRAR — faltan 100 m para 4 meses</v>
      </c>
      <c r="P341" s="58">
        <f t="shared" si="2"/>
        <v>0</v>
      </c>
      <c r="Q341" s="1"/>
      <c r="R341" s="1"/>
      <c r="S341" s="1"/>
      <c r="T341" s="1"/>
      <c r="U341" s="1"/>
      <c r="V341" s="1"/>
      <c r="W341" s="1"/>
      <c r="X341" s="60">
        <f>IFERROR(VLOOKUP($A341,Ventas!$A$2:$L$5000,12,FALSE()),"")</f>
        <v>25</v>
      </c>
      <c r="Y341" s="60">
        <f t="shared" si="3"/>
        <v>100</v>
      </c>
      <c r="Z341" s="61">
        <f t="shared" si="4"/>
        <v>0</v>
      </c>
      <c r="AA341" s="60">
        <f t="shared" si="5"/>
        <v>100</v>
      </c>
      <c r="AB341" s="62" t="str">
        <f t="shared" si="6"/>
        <v/>
      </c>
      <c r="AC341" s="62" t="str">
        <f t="array" ref="AC341">IF(AH341&lt;&gt;"COMPRAR","",IF(MAX(INDEX(Ventas!$G$2:$G$5000,MATCH($A341,Ventas!$A$2:$A$5000,0)),INDEX(Ventas!$H$2:$H$5000,MATCH($A341,Ventas!$A$2:$A$5000,0)),INDEX(Ventas!$I$2:$I$5000,MATCH($A341,Ventas!$A$2:$A$5000,0)),INDEX(Ventas!$J$2:$J$5000,MATCH($A341,Ventas!$A$2:$A$5000,0)))&gt;0.5*AF341*4,"1 mes = "&amp;TEXT(MAX(INDEX(Ventas!$G$2:$G$5000,MATCH($A341,Ventas!$A$2:$A$5000,0)),INDEX(Ventas!$H$2:$H$5000,MATCH($A341,Ventas!$A$2:$A$5000,0)),INDEX(Ventas!$I$2:$I$5000,MATCH($A341,Ventas!$A$2:$A$5000,0)),INDEX(Ventas!$J$2:$J$5000,MATCH($A341,Ventas!$A$2:$A$5000,0)))/(AF341*4),"0%")&amp;" de 4 meses",""))</f>
        <v/>
      </c>
      <c r="AD341" s="62" t="str">
        <f t="shared" si="7"/>
        <v>SÍ — 0 m vs 13 m</v>
      </c>
      <c r="AE341" s="62" t="str">
        <f t="array" ref="AE341">IF(X341="","",IF(AND(E341=0,AVERAGE(INDEX(Ventas!$C$2:$I$5000,MATCH($A341,Ventas!$A$2:$A$5000,0),0))&gt;0,INDEX(Ventas!$J$2:$J$5000,MATCH($A341,Ventas!$A$2:$A$5000,0))&lt;0.5*AVERAGE(INDEX(Ventas!$C$2:$I$5000,MATCH($A341,Ventas!$A$2:$A$5000,0),0))),"SÍ — stock 0 y Sep cayó (prom Feb-Ago "&amp;TEXT(AVERAGE(INDEX(Ventas!$C$2:$I$5000,MATCH($A341,Ventas!$A$2:$A$5000,0),0)),"#,##0")&amp;")",""))</f>
        <v>SÍ — stock 0 y Sep cayó (prom Feb-Ago 24)</v>
      </c>
      <c r="AF341" s="60">
        <f t="array" ref="AF341">IF(X341="","",IF(AE341&lt;&gt;"",MAX(X341,AVERAGE(INDEX(Ventas!$C$2:$I$5000,MATCH($A341,Ventas!$A$2:$A$5000,0),0))),X341))</f>
        <v>25</v>
      </c>
      <c r="AG341" s="60">
        <f t="shared" si="8"/>
        <v>100</v>
      </c>
      <c r="AH341" s="63" t="str">
        <f t="shared" si="9"/>
        <v>COMPRAR</v>
      </c>
    </row>
    <row r="342" ht="13.5" customHeight="1">
      <c r="A342" s="49" t="s">
        <v>1171</v>
      </c>
      <c r="B342" s="50" t="s">
        <v>183</v>
      </c>
      <c r="C342" s="50" t="s">
        <v>3797</v>
      </c>
      <c r="D342" s="50" t="s">
        <v>1329</v>
      </c>
      <c r="E342" s="51">
        <v>0.0</v>
      </c>
      <c r="F342" s="52"/>
      <c r="G342" s="53"/>
      <c r="H342" s="55">
        <v>1006.0</v>
      </c>
      <c r="I342" s="55"/>
      <c r="J342" s="53"/>
      <c r="K342" s="53"/>
      <c r="L342" s="55">
        <v>1000.0</v>
      </c>
      <c r="M342" s="53"/>
      <c r="N342" s="74"/>
      <c r="O342" s="57" t="str">
        <f t="shared" si="1"/>
        <v>PEDIR MENOS — sobran 784 m; revisar pedidos sin facturar (1,000 m)</v>
      </c>
      <c r="P342" s="58">
        <f t="shared" si="2"/>
        <v>2006</v>
      </c>
      <c r="Q342" s="1"/>
      <c r="R342" s="1"/>
      <c r="S342" s="1"/>
      <c r="T342" s="1"/>
      <c r="U342" s="1"/>
      <c r="V342" s="1"/>
      <c r="W342" s="1"/>
      <c r="X342" s="60">
        <f>IFERROR(VLOOKUP($A342,Ventas!$A$2:$L$5000,12,FALSE()),"")</f>
        <v>305.5</v>
      </c>
      <c r="Y342" s="60">
        <f t="shared" si="3"/>
        <v>1222</v>
      </c>
      <c r="Z342" s="61">
        <f t="shared" si="4"/>
        <v>6.6</v>
      </c>
      <c r="AA342" s="60">
        <f t="shared" si="5"/>
        <v>-784</v>
      </c>
      <c r="AB342" s="62" t="str">
        <f t="shared" si="6"/>
        <v/>
      </c>
      <c r="AC342" s="62" t="str">
        <f t="array" ref="AC342">IF(AH342&lt;&gt;"COMPRAR","",IF(MAX(INDEX(Ventas!$G$2:$G$5000,MATCH($A342,Ventas!$A$2:$A$5000,0)),INDEX(Ventas!$H$2:$H$5000,MATCH($A342,Ventas!$A$2:$A$5000,0)),INDEX(Ventas!$I$2:$I$5000,MATCH($A342,Ventas!$A$2:$A$5000,0)),INDEX(Ventas!$J$2:$J$5000,MATCH($A342,Ventas!$A$2:$A$5000,0)))&gt;0.5*AF342*4,"1 mes = "&amp;TEXT(MAX(INDEX(Ventas!$G$2:$G$5000,MATCH($A342,Ventas!$A$2:$A$5000,0)),INDEX(Ventas!$H$2:$H$5000,MATCH($A342,Ventas!$A$2:$A$5000,0)),INDEX(Ventas!$I$2:$I$5000,MATCH($A342,Ventas!$A$2:$A$5000,0)),INDEX(Ventas!$J$2:$J$5000,MATCH($A342,Ventas!$A$2:$A$5000,0)))/(AF342*4),"0%")&amp;" de 4 meses",""))</f>
        <v/>
      </c>
      <c r="AD342" s="62" t="str">
        <f t="shared" si="7"/>
        <v>SÍ — 0 m vs 162 m</v>
      </c>
      <c r="AE342" s="62" t="str">
        <f t="array" ref="AE342">IF(X342="","",IF(AND(E342=0,AVERAGE(INDEX(Ventas!$C$2:$I$5000,MATCH($A342,Ventas!$A$2:$A$5000,0),0))&gt;0,INDEX(Ventas!$J$2:$J$5000,MATCH($A342,Ventas!$A$2:$A$5000,0))&lt;0.5*AVERAGE(INDEX(Ventas!$C$2:$I$5000,MATCH($A342,Ventas!$A$2:$A$5000,0),0))),"SÍ — stock 0 y Sep cayó (prom Feb-Ago "&amp;TEXT(AVERAGE(INDEX(Ventas!$C$2:$I$5000,MATCH($A342,Ventas!$A$2:$A$5000,0),0)),"#,##0")&amp;")",""))</f>
        <v>SÍ — stock 0 y Sep cayó (prom Feb-Ago 597)</v>
      </c>
      <c r="AF342" s="60">
        <f t="array" ref="AF342">IF(X342="","",IF(AE342&lt;&gt;"",MAX(X342,AVERAGE(INDEX(Ventas!$C$2:$I$5000,MATCH($A342,Ventas!$A$2:$A$5000,0),0))),X342))</f>
        <v>597.2857143</v>
      </c>
      <c r="AG342" s="60">
        <f t="shared" si="8"/>
        <v>383</v>
      </c>
      <c r="AH342" s="63" t="str">
        <f t="shared" si="9"/>
        <v>COMPRAR</v>
      </c>
    </row>
    <row r="343" ht="13.5" customHeight="1">
      <c r="A343" s="64" t="s">
        <v>1167</v>
      </c>
      <c r="B343" s="65" t="s">
        <v>183</v>
      </c>
      <c r="C343" s="65" t="s">
        <v>3797</v>
      </c>
      <c r="D343" s="65" t="s">
        <v>336</v>
      </c>
      <c r="E343" s="51">
        <v>878.0</v>
      </c>
      <c r="F343" s="66"/>
      <c r="G343" s="53"/>
      <c r="H343" s="55"/>
      <c r="I343" s="55"/>
      <c r="J343" s="53"/>
      <c r="K343" s="53"/>
      <c r="L343" s="55"/>
      <c r="M343" s="53"/>
      <c r="N343" s="73"/>
      <c r="O343" s="57" t="str">
        <f t="shared" si="1"/>
        <v>OK — cubierto (6.3 meses)</v>
      </c>
      <c r="P343" s="58">
        <f t="shared" si="2"/>
        <v>878</v>
      </c>
      <c r="Q343" s="1"/>
      <c r="R343" s="1"/>
      <c r="S343" s="1"/>
      <c r="T343" s="1"/>
      <c r="U343" s="1"/>
      <c r="V343" s="1"/>
      <c r="W343" s="1"/>
      <c r="X343" s="60">
        <f>IFERROR(VLOOKUP($A343,Ventas!$A$2:$L$5000,12,FALSE()),"")</f>
        <v>140</v>
      </c>
      <c r="Y343" s="60">
        <f t="shared" si="3"/>
        <v>560</v>
      </c>
      <c r="Z343" s="61">
        <f t="shared" si="4"/>
        <v>6.3</v>
      </c>
      <c r="AA343" s="60">
        <f t="shared" si="5"/>
        <v>-318</v>
      </c>
      <c r="AB343" s="62" t="str">
        <f t="shared" si="6"/>
        <v/>
      </c>
      <c r="AC343" s="62" t="str">
        <f t="array" ref="AC343">IF(AH343&lt;&gt;"COMPRAR","",IF(MAX(INDEX(Ventas!$G$2:$G$5000,MATCH($A343,Ventas!$A$2:$A$5000,0)),INDEX(Ventas!$H$2:$H$5000,MATCH($A343,Ventas!$A$2:$A$5000,0)),INDEX(Ventas!$I$2:$I$5000,MATCH($A343,Ventas!$A$2:$A$5000,0)),INDEX(Ventas!$J$2:$J$5000,MATCH($A343,Ventas!$A$2:$A$5000,0)))&gt;0.5*AF343*4,"1 mes = "&amp;TEXT(MAX(INDEX(Ventas!$G$2:$G$5000,MATCH($A343,Ventas!$A$2:$A$5000,0)),INDEX(Ventas!$H$2:$H$5000,MATCH($A343,Ventas!$A$2:$A$5000,0)),INDEX(Ventas!$I$2:$I$5000,MATCH($A343,Ventas!$A$2:$A$5000,0)),INDEX(Ventas!$J$2:$J$5000,MATCH($A343,Ventas!$A$2:$A$5000,0)))/(AF343*4),"0%")&amp;" de 4 meses",""))</f>
        <v/>
      </c>
      <c r="AD343" s="62" t="str">
        <f t="shared" si="7"/>
        <v/>
      </c>
      <c r="AE343" s="62" t="str">
        <f t="array" ref="AE343">IF(X343="","",IF(AND(E343=0,AVERAGE(INDEX(Ventas!$C$2:$I$5000,MATCH($A343,Ventas!$A$2:$A$5000,0),0))&gt;0,INDEX(Ventas!$J$2:$J$5000,MATCH($A343,Ventas!$A$2:$A$5000,0))&lt;0.5*AVERAGE(INDEX(Ventas!$C$2:$I$5000,MATCH($A343,Ventas!$A$2:$A$5000,0),0))),"SÍ — stock 0 y Sep cayó (prom Feb-Ago "&amp;TEXT(AVERAGE(INDEX(Ventas!$C$2:$I$5000,MATCH($A343,Ventas!$A$2:$A$5000,0),0)),"#,##0")&amp;")",""))</f>
        <v/>
      </c>
      <c r="AF343" s="60">
        <f t="array" ref="AF343">IF(X343="","",IF(AE343&lt;&gt;"",MAX(X343,AVERAGE(INDEX(Ventas!$C$2:$I$5000,MATCH($A343,Ventas!$A$2:$A$5000,0),0))),X343))</f>
        <v>140</v>
      </c>
      <c r="AG343" s="60">
        <f t="shared" si="8"/>
        <v>-318</v>
      </c>
      <c r="AH343" s="63" t="str">
        <f t="shared" si="9"/>
        <v>OK</v>
      </c>
    </row>
    <row r="344" ht="13.5" customHeight="1">
      <c r="A344" s="49" t="s">
        <v>1169</v>
      </c>
      <c r="B344" s="50" t="s">
        <v>183</v>
      </c>
      <c r="C344" s="50" t="s">
        <v>3797</v>
      </c>
      <c r="D344" s="50" t="s">
        <v>590</v>
      </c>
      <c r="E344" s="51">
        <v>0.0</v>
      </c>
      <c r="F344" s="52"/>
      <c r="G344" s="53"/>
      <c r="H344" s="55"/>
      <c r="I344" s="55"/>
      <c r="J344" s="53"/>
      <c r="K344" s="53"/>
      <c r="L344" s="55">
        <v>1000.0</v>
      </c>
      <c r="M344" s="53"/>
      <c r="N344" s="74"/>
      <c r="O344" s="57" t="str">
        <f t="shared" si="1"/>
        <v>SIN VENTAS Jun-Sep — no comprar (1,000 m disponibles)</v>
      </c>
      <c r="P344" s="58">
        <f t="shared" si="2"/>
        <v>1000</v>
      </c>
      <c r="Q344" s="1"/>
      <c r="R344" s="1"/>
      <c r="S344" s="1"/>
      <c r="T344" s="1"/>
      <c r="U344" s="1"/>
      <c r="V344" s="1"/>
      <c r="W344" s="1"/>
      <c r="X344" s="60">
        <f>IFERROR(VLOOKUP($A344,Ventas!$A$2:$L$5000,12,FALSE()),"")</f>
        <v>0</v>
      </c>
      <c r="Y344" s="60">
        <f t="shared" si="3"/>
        <v>0</v>
      </c>
      <c r="Z344" s="61" t="str">
        <f t="shared" si="4"/>
        <v/>
      </c>
      <c r="AA344" s="60">
        <f t="shared" si="5"/>
        <v>-1000</v>
      </c>
      <c r="AB344" s="62" t="str">
        <f t="shared" si="6"/>
        <v/>
      </c>
      <c r="AC344" s="62" t="str">
        <f t="array" ref="AC344">IF(AH344&lt;&gt;"COMPRAR","",IF(MAX(INDEX(Ventas!$G$2:$G$5000,MATCH($A344,Ventas!$A$2:$A$5000,0)),INDEX(Ventas!$H$2:$H$5000,MATCH($A344,Ventas!$A$2:$A$5000,0)),INDEX(Ventas!$I$2:$I$5000,MATCH($A344,Ventas!$A$2:$A$5000,0)),INDEX(Ventas!$J$2:$J$5000,MATCH($A344,Ventas!$A$2:$A$5000,0)))&gt;0.5*AF344*4,"1 mes = "&amp;TEXT(MAX(INDEX(Ventas!$G$2:$G$5000,MATCH($A344,Ventas!$A$2:$A$5000,0)),INDEX(Ventas!$H$2:$H$5000,MATCH($A344,Ventas!$A$2:$A$5000,0)),INDEX(Ventas!$I$2:$I$5000,MATCH($A344,Ventas!$A$2:$A$5000,0)),INDEX(Ventas!$J$2:$J$5000,MATCH($A344,Ventas!$A$2:$A$5000,0)))/(AF344*4),"0%")&amp;" de 4 meses",""))</f>
        <v/>
      </c>
      <c r="AD344" s="62" t="str">
        <f t="shared" si="7"/>
        <v/>
      </c>
      <c r="AE344" s="62" t="str">
        <f t="array" ref="AE344">IF(X344="","",IF(AND(E344=0,AVERAGE(INDEX(Ventas!$C$2:$I$5000,MATCH($A344,Ventas!$A$2:$A$5000,0),0))&gt;0,INDEX(Ventas!$J$2:$J$5000,MATCH($A344,Ventas!$A$2:$A$5000,0))&lt;0.5*AVERAGE(INDEX(Ventas!$C$2:$I$5000,MATCH($A344,Ventas!$A$2:$A$5000,0),0))),"SÍ — stock 0 y Sep cayó (prom Feb-Ago "&amp;TEXT(AVERAGE(INDEX(Ventas!$C$2:$I$5000,MATCH($A344,Ventas!$A$2:$A$5000,0),0)),"#,##0")&amp;")",""))</f>
        <v>SÍ — stock 0 y Sep cayó (prom Feb-Ago 111)</v>
      </c>
      <c r="AF344" s="60">
        <f t="array" ref="AF344">IF(X344="","",IF(AE344&lt;&gt;"",MAX(X344,AVERAGE(INDEX(Ventas!$C$2:$I$5000,MATCH($A344,Ventas!$A$2:$A$5000,0),0))),X344))</f>
        <v>110.8571429</v>
      </c>
      <c r="AG344" s="60">
        <f t="shared" si="8"/>
        <v>-557</v>
      </c>
      <c r="AH344" s="63" t="str">
        <f t="shared" si="9"/>
        <v>PEDIR MENOS</v>
      </c>
    </row>
    <row r="345" ht="13.5" customHeight="1">
      <c r="A345" s="64" t="s">
        <v>1173</v>
      </c>
      <c r="B345" s="65" t="s">
        <v>183</v>
      </c>
      <c r="C345" s="65" t="s">
        <v>3797</v>
      </c>
      <c r="D345" s="65" t="s">
        <v>3643</v>
      </c>
      <c r="E345" s="51">
        <v>0.0</v>
      </c>
      <c r="F345" s="66"/>
      <c r="G345" s="53"/>
      <c r="H345" s="55"/>
      <c r="I345" s="55"/>
      <c r="J345" s="53"/>
      <c r="K345" s="53"/>
      <c r="L345" s="55"/>
      <c r="M345" s="53"/>
      <c r="N345" s="73"/>
      <c r="O345" s="57" t="str">
        <f t="shared" si="1"/>
        <v>COMPRAR — faltan 40 m para 4 meses</v>
      </c>
      <c r="P345" s="58">
        <f t="shared" si="2"/>
        <v>0</v>
      </c>
      <c r="Q345" s="1"/>
      <c r="R345" s="1"/>
      <c r="S345" s="1"/>
      <c r="T345" s="1"/>
      <c r="U345" s="1"/>
      <c r="V345" s="1"/>
      <c r="W345" s="1"/>
      <c r="X345" s="60">
        <f>IFERROR(VLOOKUP($A345,Ventas!$A$2:$L$5000,12,FALSE()),"")</f>
        <v>10</v>
      </c>
      <c r="Y345" s="60">
        <f t="shared" si="3"/>
        <v>40</v>
      </c>
      <c r="Z345" s="61">
        <f t="shared" si="4"/>
        <v>0</v>
      </c>
      <c r="AA345" s="60">
        <f t="shared" si="5"/>
        <v>40</v>
      </c>
      <c r="AB345" s="62" t="str">
        <f t="shared" si="6"/>
        <v/>
      </c>
      <c r="AC345" s="62" t="str">
        <f t="array" ref="AC345">IF(AH345&lt;&gt;"COMPRAR","",IF(MAX(INDEX(Ventas!$G$2:$G$5000,MATCH($A345,Ventas!$A$2:$A$5000,0)),INDEX(Ventas!$H$2:$H$5000,MATCH($A345,Ventas!$A$2:$A$5000,0)),INDEX(Ventas!$I$2:$I$5000,MATCH($A345,Ventas!$A$2:$A$5000,0)),INDEX(Ventas!$J$2:$J$5000,MATCH($A345,Ventas!$A$2:$A$5000,0)))&gt;0.5*AF345*4,"1 mes = "&amp;TEXT(MAX(INDEX(Ventas!$G$2:$G$5000,MATCH($A345,Ventas!$A$2:$A$5000,0)),INDEX(Ventas!$H$2:$H$5000,MATCH($A345,Ventas!$A$2:$A$5000,0)),INDEX(Ventas!$I$2:$I$5000,MATCH($A345,Ventas!$A$2:$A$5000,0)),INDEX(Ventas!$J$2:$J$5000,MATCH($A345,Ventas!$A$2:$A$5000,0)))/(AF345*4),"0%")&amp;" de 4 meses",""))</f>
        <v/>
      </c>
      <c r="AD345" s="62" t="str">
        <f t="shared" si="7"/>
        <v>SÍ — 0 m vs 5 m</v>
      </c>
      <c r="AE345" s="62" t="str">
        <f t="array" ref="AE345">IF(X345="","",IF(AND(E345=0,AVERAGE(INDEX(Ventas!$C$2:$I$5000,MATCH($A345,Ventas!$A$2:$A$5000,0),0))&gt;0,INDEX(Ventas!$J$2:$J$5000,MATCH($A345,Ventas!$A$2:$A$5000,0))&lt;0.5*AVERAGE(INDEX(Ventas!$C$2:$I$5000,MATCH($A345,Ventas!$A$2:$A$5000,0),0))),"SÍ — stock 0 y Sep cayó (prom Feb-Ago "&amp;TEXT(AVERAGE(INDEX(Ventas!$C$2:$I$5000,MATCH($A345,Ventas!$A$2:$A$5000,0),0)),"#,##0")&amp;")",""))</f>
        <v>SÍ — stock 0 y Sep cayó (prom Feb-Ago 34)</v>
      </c>
      <c r="AF345" s="60">
        <f t="array" ref="AF345">IF(X345="","",IF(AE345&lt;&gt;"",MAX(X345,AVERAGE(INDEX(Ventas!$C$2:$I$5000,MATCH($A345,Ventas!$A$2:$A$5000,0),0))),X345))</f>
        <v>34.28571429</v>
      </c>
      <c r="AG345" s="60">
        <f t="shared" si="8"/>
        <v>137</v>
      </c>
      <c r="AH345" s="63" t="str">
        <f t="shared" si="9"/>
        <v>COMPRAR</v>
      </c>
    </row>
    <row r="346" ht="13.5" customHeight="1">
      <c r="A346" s="49" t="s">
        <v>1175</v>
      </c>
      <c r="B346" s="50" t="s">
        <v>183</v>
      </c>
      <c r="C346" s="50" t="s">
        <v>3797</v>
      </c>
      <c r="D346" s="50" t="s">
        <v>2754</v>
      </c>
      <c r="E346" s="51">
        <v>360.0</v>
      </c>
      <c r="F346" s="52"/>
      <c r="G346" s="53"/>
      <c r="H346" s="55"/>
      <c r="I346" s="55"/>
      <c r="J346" s="53"/>
      <c r="K346" s="53"/>
      <c r="L346" s="55"/>
      <c r="M346" s="53"/>
      <c r="N346" s="74"/>
      <c r="O346" s="57" t="str">
        <f t="shared" si="1"/>
        <v>SOBRESTOCK — 36.0 meses de cobertura</v>
      </c>
      <c r="P346" s="58">
        <f t="shared" si="2"/>
        <v>360</v>
      </c>
      <c r="Q346" s="1"/>
      <c r="R346" s="1"/>
      <c r="S346" s="1"/>
      <c r="T346" s="1"/>
      <c r="U346" s="1"/>
      <c r="V346" s="1"/>
      <c r="W346" s="1"/>
      <c r="X346" s="60">
        <f>IFERROR(VLOOKUP($A346,Ventas!$A$2:$L$5000,12,FALSE()),"")</f>
        <v>10</v>
      </c>
      <c r="Y346" s="60">
        <f t="shared" si="3"/>
        <v>40</v>
      </c>
      <c r="Z346" s="61">
        <f t="shared" si="4"/>
        <v>36</v>
      </c>
      <c r="AA346" s="60">
        <f t="shared" si="5"/>
        <v>-320</v>
      </c>
      <c r="AB346" s="62" t="str">
        <f t="shared" si="6"/>
        <v/>
      </c>
      <c r="AC346" s="62" t="str">
        <f t="array" ref="AC346">IF(AH346&lt;&gt;"COMPRAR","",IF(MAX(INDEX(Ventas!$G$2:$G$5000,MATCH($A346,Ventas!$A$2:$A$5000,0)),INDEX(Ventas!$H$2:$H$5000,MATCH($A346,Ventas!$A$2:$A$5000,0)),INDEX(Ventas!$I$2:$I$5000,MATCH($A346,Ventas!$A$2:$A$5000,0)),INDEX(Ventas!$J$2:$J$5000,MATCH($A346,Ventas!$A$2:$A$5000,0)))&gt;0.5*AF346*4,"1 mes = "&amp;TEXT(MAX(INDEX(Ventas!$G$2:$G$5000,MATCH($A346,Ventas!$A$2:$A$5000,0)),INDEX(Ventas!$H$2:$H$5000,MATCH($A346,Ventas!$A$2:$A$5000,0)),INDEX(Ventas!$I$2:$I$5000,MATCH($A346,Ventas!$A$2:$A$5000,0)),INDEX(Ventas!$J$2:$J$5000,MATCH($A346,Ventas!$A$2:$A$5000,0)))/(AF346*4),"0%")&amp;" de 4 meses",""))</f>
        <v/>
      </c>
      <c r="AD346" s="62" t="str">
        <f t="shared" si="7"/>
        <v/>
      </c>
      <c r="AE346" s="62" t="str">
        <f t="array" ref="AE346">IF(X346="","",IF(AND(E346=0,AVERAGE(INDEX(Ventas!$C$2:$I$5000,MATCH($A346,Ventas!$A$2:$A$5000,0),0))&gt;0,INDEX(Ventas!$J$2:$J$5000,MATCH($A346,Ventas!$A$2:$A$5000,0))&lt;0.5*AVERAGE(INDEX(Ventas!$C$2:$I$5000,MATCH($A346,Ventas!$A$2:$A$5000,0),0))),"SÍ — stock 0 y Sep cayó (prom Feb-Ago "&amp;TEXT(AVERAGE(INDEX(Ventas!$C$2:$I$5000,MATCH($A346,Ventas!$A$2:$A$5000,0),0)),"#,##0")&amp;")",""))</f>
        <v/>
      </c>
      <c r="AF346" s="60">
        <f t="array" ref="AF346">IF(X346="","",IF(AE346&lt;&gt;"",MAX(X346,AVERAGE(INDEX(Ventas!$C$2:$I$5000,MATCH($A346,Ventas!$A$2:$A$5000,0),0))),X346))</f>
        <v>10</v>
      </c>
      <c r="AG346" s="60">
        <f t="shared" si="8"/>
        <v>-320</v>
      </c>
      <c r="AH346" s="63" t="str">
        <f t="shared" si="9"/>
        <v>SOBRESTOCK</v>
      </c>
    </row>
    <row r="347" ht="13.5" customHeight="1">
      <c r="A347" s="64" t="s">
        <v>1160</v>
      </c>
      <c r="B347" s="65" t="s">
        <v>183</v>
      </c>
      <c r="C347" s="65" t="s">
        <v>3798</v>
      </c>
      <c r="D347" s="65" t="s">
        <v>1329</v>
      </c>
      <c r="E347" s="51">
        <v>0.0</v>
      </c>
      <c r="F347" s="66"/>
      <c r="G347" s="53"/>
      <c r="H347" s="55">
        <v>2933.0</v>
      </c>
      <c r="I347" s="89">
        <v>500.0</v>
      </c>
      <c r="J347" s="53"/>
      <c r="K347" s="53"/>
      <c r="L347" s="55"/>
      <c r="M347" s="53"/>
      <c r="N347" s="73"/>
      <c r="O347" s="57" t="str">
        <f t="shared" si="1"/>
        <v>PEDIR MENOS — sobran 1,285 m; revisar pedidos sin facturar (500 m)</v>
      </c>
      <c r="P347" s="58">
        <f t="shared" si="2"/>
        <v>3433</v>
      </c>
      <c r="Q347" s="1"/>
      <c r="R347" s="1"/>
      <c r="S347" s="1"/>
      <c r="T347" s="1"/>
      <c r="U347" s="1"/>
      <c r="V347" s="1"/>
      <c r="W347" s="1"/>
      <c r="X347" s="60">
        <f>IFERROR(VLOOKUP($A347,Ventas!$A$2:$L$5000,12,FALSE()),"")</f>
        <v>537</v>
      </c>
      <c r="Y347" s="60">
        <f t="shared" si="3"/>
        <v>2148</v>
      </c>
      <c r="Z347" s="61">
        <f t="shared" si="4"/>
        <v>6.4</v>
      </c>
      <c r="AA347" s="60">
        <f t="shared" si="5"/>
        <v>-1285</v>
      </c>
      <c r="AB347" s="62" t="str">
        <f t="shared" si="6"/>
        <v/>
      </c>
      <c r="AC347" s="62" t="str">
        <f t="array" ref="AC347">IF(AH347&lt;&gt;"COMPRAR","",IF(MAX(INDEX(Ventas!$G$2:$G$5000,MATCH($A347,Ventas!$A$2:$A$5000,0)),INDEX(Ventas!$H$2:$H$5000,MATCH($A347,Ventas!$A$2:$A$5000,0)),INDEX(Ventas!$I$2:$I$5000,MATCH($A347,Ventas!$A$2:$A$5000,0)),INDEX(Ventas!$J$2:$J$5000,MATCH($A347,Ventas!$A$2:$A$5000,0)))&gt;0.5*AF347*4,"1 mes = "&amp;TEXT(MAX(INDEX(Ventas!$G$2:$G$5000,MATCH($A347,Ventas!$A$2:$A$5000,0)),INDEX(Ventas!$H$2:$H$5000,MATCH($A347,Ventas!$A$2:$A$5000,0)),INDEX(Ventas!$I$2:$I$5000,MATCH($A347,Ventas!$A$2:$A$5000,0)),INDEX(Ventas!$J$2:$J$5000,MATCH($A347,Ventas!$A$2:$A$5000,0)))/(AF347*4),"0%")&amp;" de 4 meses",""))</f>
        <v/>
      </c>
      <c r="AD347" s="62" t="str">
        <f t="shared" si="7"/>
        <v>SÍ — 0 m vs 285 m</v>
      </c>
      <c r="AE347" s="62" t="str">
        <f t="array" ref="AE347">IF(X347="","",IF(AND(E347=0,AVERAGE(INDEX(Ventas!$C$2:$I$5000,MATCH($A347,Ventas!$A$2:$A$5000,0),0))&gt;0,INDEX(Ventas!$J$2:$J$5000,MATCH($A347,Ventas!$A$2:$A$5000,0))&lt;0.5*AVERAGE(INDEX(Ventas!$C$2:$I$5000,MATCH($A347,Ventas!$A$2:$A$5000,0),0))),"SÍ — stock 0 y Sep cayó (prom Feb-Ago "&amp;TEXT(AVERAGE(INDEX(Ventas!$C$2:$I$5000,MATCH($A347,Ventas!$A$2:$A$5000,0),0)),"#,##0")&amp;")",""))</f>
        <v/>
      </c>
      <c r="AF347" s="60">
        <f t="array" ref="AF347">IF(X347="","",IF(AE347&lt;&gt;"",MAX(X347,AVERAGE(INDEX(Ventas!$C$2:$I$5000,MATCH($A347,Ventas!$A$2:$A$5000,0),0))),X347))</f>
        <v>537</v>
      </c>
      <c r="AG347" s="60">
        <f t="shared" si="8"/>
        <v>-1285</v>
      </c>
      <c r="AH347" s="63" t="str">
        <f t="shared" si="9"/>
        <v>PEDIR MENOS</v>
      </c>
    </row>
    <row r="348" ht="13.5" customHeight="1">
      <c r="A348" s="49" t="s">
        <v>1140</v>
      </c>
      <c r="B348" s="50" t="s">
        <v>183</v>
      </c>
      <c r="C348" s="50" t="s">
        <v>3798</v>
      </c>
      <c r="D348" s="50" t="s">
        <v>336</v>
      </c>
      <c r="E348" s="51">
        <v>1000.0</v>
      </c>
      <c r="F348" s="52"/>
      <c r="G348" s="53"/>
      <c r="H348" s="39"/>
      <c r="I348" s="55"/>
      <c r="J348" s="53"/>
      <c r="K348" s="53"/>
      <c r="L348" s="55"/>
      <c r="M348" s="53"/>
      <c r="N348" s="74"/>
      <c r="O348" s="57" t="str">
        <f t="shared" si="1"/>
        <v>SOBRESTOCK — 13.2 meses de cobertura</v>
      </c>
      <c r="P348" s="58">
        <f t="shared" si="2"/>
        <v>1000</v>
      </c>
      <c r="Q348" s="1"/>
      <c r="R348" s="1"/>
      <c r="S348" s="1"/>
      <c r="T348" s="1"/>
      <c r="U348" s="1"/>
      <c r="V348" s="1"/>
      <c r="W348" s="1"/>
      <c r="X348" s="60">
        <f>IFERROR(VLOOKUP($A348,Ventas!$A$2:$L$5000,12,FALSE()),"")</f>
        <v>75.5</v>
      </c>
      <c r="Y348" s="60">
        <f t="shared" si="3"/>
        <v>302</v>
      </c>
      <c r="Z348" s="61">
        <f t="shared" si="4"/>
        <v>13.2</v>
      </c>
      <c r="AA348" s="60">
        <f t="shared" si="5"/>
        <v>-698</v>
      </c>
      <c r="AB348" s="62" t="str">
        <f t="shared" si="6"/>
        <v/>
      </c>
      <c r="AC348" s="62" t="str">
        <f t="array" ref="AC348">IF(AH348&lt;&gt;"COMPRAR","",IF(MAX(INDEX(Ventas!$G$2:$G$5000,MATCH($A348,Ventas!$A$2:$A$5000,0)),INDEX(Ventas!$H$2:$H$5000,MATCH($A348,Ventas!$A$2:$A$5000,0)),INDEX(Ventas!$I$2:$I$5000,MATCH($A348,Ventas!$A$2:$A$5000,0)),INDEX(Ventas!$J$2:$J$5000,MATCH($A348,Ventas!$A$2:$A$5000,0)))&gt;0.5*AF348*4,"1 mes = "&amp;TEXT(MAX(INDEX(Ventas!$G$2:$G$5000,MATCH($A348,Ventas!$A$2:$A$5000,0)),INDEX(Ventas!$H$2:$H$5000,MATCH($A348,Ventas!$A$2:$A$5000,0)),INDEX(Ventas!$I$2:$I$5000,MATCH($A348,Ventas!$A$2:$A$5000,0)),INDEX(Ventas!$J$2:$J$5000,MATCH($A348,Ventas!$A$2:$A$5000,0)))/(AF348*4),"0%")&amp;" de 4 meses",""))</f>
        <v/>
      </c>
      <c r="AD348" s="62" t="str">
        <f t="shared" si="7"/>
        <v/>
      </c>
      <c r="AE348" s="62" t="str">
        <f t="array" ref="AE348">IF(X348="","",IF(AND(E348=0,AVERAGE(INDEX(Ventas!$C$2:$I$5000,MATCH($A348,Ventas!$A$2:$A$5000,0),0))&gt;0,INDEX(Ventas!$J$2:$J$5000,MATCH($A348,Ventas!$A$2:$A$5000,0))&lt;0.5*AVERAGE(INDEX(Ventas!$C$2:$I$5000,MATCH($A348,Ventas!$A$2:$A$5000,0),0))),"SÍ — stock 0 y Sep cayó (prom Feb-Ago "&amp;TEXT(AVERAGE(INDEX(Ventas!$C$2:$I$5000,MATCH($A348,Ventas!$A$2:$A$5000,0),0)),"#,##0")&amp;")",""))</f>
        <v/>
      </c>
      <c r="AF348" s="60">
        <f t="array" ref="AF348">IF(X348="","",IF(AE348&lt;&gt;"",MAX(X348,AVERAGE(INDEX(Ventas!$C$2:$I$5000,MATCH($A348,Ventas!$A$2:$A$5000,0),0))),X348))</f>
        <v>75.5</v>
      </c>
      <c r="AG348" s="60">
        <f t="shared" si="8"/>
        <v>-698</v>
      </c>
      <c r="AH348" s="63" t="str">
        <f t="shared" si="9"/>
        <v>SOBRESTOCK</v>
      </c>
    </row>
    <row r="349" ht="13.5" customHeight="1">
      <c r="A349" s="64" t="s">
        <v>1162</v>
      </c>
      <c r="B349" s="65" t="s">
        <v>183</v>
      </c>
      <c r="C349" s="65" t="s">
        <v>3798</v>
      </c>
      <c r="D349" s="65" t="s">
        <v>646</v>
      </c>
      <c r="E349" s="51">
        <v>800.0</v>
      </c>
      <c r="F349" s="66"/>
      <c r="G349" s="53"/>
      <c r="H349" s="55"/>
      <c r="I349" s="55"/>
      <c r="J349" s="53"/>
      <c r="K349" s="53"/>
      <c r="L349" s="55"/>
      <c r="M349" s="53"/>
      <c r="N349" s="73"/>
      <c r="O349" s="57" t="str">
        <f t="shared" si="1"/>
        <v>SOBRESTOCK — 16.0 meses de cobertura</v>
      </c>
      <c r="P349" s="58">
        <f t="shared" si="2"/>
        <v>800</v>
      </c>
      <c r="Q349" s="1"/>
      <c r="R349" s="1"/>
      <c r="S349" s="1"/>
      <c r="T349" s="1"/>
      <c r="U349" s="1"/>
      <c r="V349" s="1"/>
      <c r="W349" s="1"/>
      <c r="X349" s="60">
        <f>IFERROR(VLOOKUP($A349,Ventas!$A$2:$L$5000,12,FALSE()),"")</f>
        <v>50</v>
      </c>
      <c r="Y349" s="60">
        <f t="shared" si="3"/>
        <v>200</v>
      </c>
      <c r="Z349" s="61">
        <f t="shared" si="4"/>
        <v>16</v>
      </c>
      <c r="AA349" s="60">
        <f t="shared" si="5"/>
        <v>-600</v>
      </c>
      <c r="AB349" s="62" t="str">
        <f t="shared" si="6"/>
        <v/>
      </c>
      <c r="AC349" s="62" t="str">
        <f t="array" ref="AC349">IF(AH349&lt;&gt;"COMPRAR","",IF(MAX(INDEX(Ventas!$G$2:$G$5000,MATCH($A349,Ventas!$A$2:$A$5000,0)),INDEX(Ventas!$H$2:$H$5000,MATCH($A349,Ventas!$A$2:$A$5000,0)),INDEX(Ventas!$I$2:$I$5000,MATCH($A349,Ventas!$A$2:$A$5000,0)),INDEX(Ventas!$J$2:$J$5000,MATCH($A349,Ventas!$A$2:$A$5000,0)))&gt;0.5*AF349*4,"1 mes = "&amp;TEXT(MAX(INDEX(Ventas!$G$2:$G$5000,MATCH($A349,Ventas!$A$2:$A$5000,0)),INDEX(Ventas!$H$2:$H$5000,MATCH($A349,Ventas!$A$2:$A$5000,0)),INDEX(Ventas!$I$2:$I$5000,MATCH($A349,Ventas!$A$2:$A$5000,0)),INDEX(Ventas!$J$2:$J$5000,MATCH($A349,Ventas!$A$2:$A$5000,0)))/(AF349*4),"0%")&amp;" de 4 meses",""))</f>
        <v/>
      </c>
      <c r="AD349" s="62" t="str">
        <f t="shared" si="7"/>
        <v/>
      </c>
      <c r="AE349" s="62" t="str">
        <f t="array" ref="AE349">IF(X349="","",IF(AND(E349=0,AVERAGE(INDEX(Ventas!$C$2:$I$5000,MATCH($A349,Ventas!$A$2:$A$5000,0),0))&gt;0,INDEX(Ventas!$J$2:$J$5000,MATCH($A349,Ventas!$A$2:$A$5000,0))&lt;0.5*AVERAGE(INDEX(Ventas!$C$2:$I$5000,MATCH($A349,Ventas!$A$2:$A$5000,0),0))),"SÍ — stock 0 y Sep cayó (prom Feb-Ago "&amp;TEXT(AVERAGE(INDEX(Ventas!$C$2:$I$5000,MATCH($A349,Ventas!$A$2:$A$5000,0),0)),"#,##0")&amp;")",""))</f>
        <v/>
      </c>
      <c r="AF349" s="60">
        <f t="array" ref="AF349">IF(X349="","",IF(AE349&lt;&gt;"",MAX(X349,AVERAGE(INDEX(Ventas!$C$2:$I$5000,MATCH($A349,Ventas!$A$2:$A$5000,0),0))),X349))</f>
        <v>50</v>
      </c>
      <c r="AG349" s="60">
        <f t="shared" si="8"/>
        <v>-600</v>
      </c>
      <c r="AH349" s="63" t="str">
        <f t="shared" si="9"/>
        <v>SOBRESTOCK</v>
      </c>
    </row>
    <row r="350" ht="13.5" customHeight="1">
      <c r="A350" s="49" t="s">
        <v>1138</v>
      </c>
      <c r="B350" s="50" t="s">
        <v>183</v>
      </c>
      <c r="C350" s="50" t="s">
        <v>3798</v>
      </c>
      <c r="D350" s="50" t="s">
        <v>2949</v>
      </c>
      <c r="E350" s="51">
        <v>150.0</v>
      </c>
      <c r="F350" s="52"/>
      <c r="G350" s="53"/>
      <c r="H350" s="55"/>
      <c r="I350" s="55"/>
      <c r="J350" s="53"/>
      <c r="K350" s="53"/>
      <c r="L350" s="55"/>
      <c r="M350" s="53"/>
      <c r="N350" s="74"/>
      <c r="O350" s="57" t="str">
        <f t="shared" si="1"/>
        <v>COMPRAR — faltan 304 m para 4 meses</v>
      </c>
      <c r="P350" s="58">
        <f t="shared" si="2"/>
        <v>150</v>
      </c>
      <c r="Q350" s="1"/>
      <c r="R350" s="1"/>
      <c r="S350" s="1"/>
      <c r="T350" s="1"/>
      <c r="U350" s="1"/>
      <c r="V350" s="1"/>
      <c r="W350" s="1"/>
      <c r="X350" s="60">
        <f>IFERROR(VLOOKUP($A350,Ventas!$A$2:$L$5000,12,FALSE()),"")</f>
        <v>113.5</v>
      </c>
      <c r="Y350" s="60">
        <f t="shared" si="3"/>
        <v>454</v>
      </c>
      <c r="Z350" s="61">
        <f t="shared" si="4"/>
        <v>1.3</v>
      </c>
      <c r="AA350" s="60">
        <f t="shared" si="5"/>
        <v>304</v>
      </c>
      <c r="AB350" s="62" t="str">
        <f t="shared" si="6"/>
        <v/>
      </c>
      <c r="AC350" s="62" t="str">
        <f t="array" ref="AC350">IF(AH350&lt;&gt;"COMPRAR","",IF(MAX(INDEX(Ventas!$G$2:$G$5000,MATCH($A350,Ventas!$A$2:$A$5000,0)),INDEX(Ventas!$H$2:$H$5000,MATCH($A350,Ventas!$A$2:$A$5000,0)),INDEX(Ventas!$I$2:$I$5000,MATCH($A350,Ventas!$A$2:$A$5000,0)),INDEX(Ventas!$J$2:$J$5000,MATCH($A350,Ventas!$A$2:$A$5000,0)))&gt;0.5*AF350*4,"1 mes = "&amp;TEXT(MAX(INDEX(Ventas!$G$2:$G$5000,MATCH($A350,Ventas!$A$2:$A$5000,0)),INDEX(Ventas!$H$2:$H$5000,MATCH($A350,Ventas!$A$2:$A$5000,0)),INDEX(Ventas!$I$2:$I$5000,MATCH($A350,Ventas!$A$2:$A$5000,0)),INDEX(Ventas!$J$2:$J$5000,MATCH($A350,Ventas!$A$2:$A$5000,0)))/(AF350*4),"0%")&amp;" de 4 meses",""))</f>
        <v>1 mes = 100% de 4 meses</v>
      </c>
      <c r="AD350" s="62" t="str">
        <f t="shared" si="7"/>
        <v/>
      </c>
      <c r="AE350" s="62" t="str">
        <f t="array" ref="AE350">IF(X350="","",IF(AND(E350=0,AVERAGE(INDEX(Ventas!$C$2:$I$5000,MATCH($A350,Ventas!$A$2:$A$5000,0),0))&gt;0,INDEX(Ventas!$J$2:$J$5000,MATCH($A350,Ventas!$A$2:$A$5000,0))&lt;0.5*AVERAGE(INDEX(Ventas!$C$2:$I$5000,MATCH($A350,Ventas!$A$2:$A$5000,0),0))),"SÍ — stock 0 y Sep cayó (prom Feb-Ago "&amp;TEXT(AVERAGE(INDEX(Ventas!$C$2:$I$5000,MATCH($A350,Ventas!$A$2:$A$5000,0),0)),"#,##0")&amp;")",""))</f>
        <v/>
      </c>
      <c r="AF350" s="60">
        <f t="array" ref="AF350">IF(X350="","",IF(AE350&lt;&gt;"",MAX(X350,AVERAGE(INDEX(Ventas!$C$2:$I$5000,MATCH($A350,Ventas!$A$2:$A$5000,0),0))),X350))</f>
        <v>113.5</v>
      </c>
      <c r="AG350" s="60">
        <f t="shared" si="8"/>
        <v>304</v>
      </c>
      <c r="AH350" s="63" t="str">
        <f t="shared" si="9"/>
        <v>COMPRAR</v>
      </c>
    </row>
    <row r="351" ht="13.5" customHeight="1">
      <c r="A351" s="64" t="s">
        <v>1142</v>
      </c>
      <c r="B351" s="65" t="s">
        <v>183</v>
      </c>
      <c r="C351" s="65" t="s">
        <v>3798</v>
      </c>
      <c r="D351" s="65" t="s">
        <v>1009</v>
      </c>
      <c r="E351" s="51">
        <v>500.0</v>
      </c>
      <c r="F351" s="66"/>
      <c r="G351" s="53"/>
      <c r="H351" s="55"/>
      <c r="I351" s="55"/>
      <c r="J351" s="53"/>
      <c r="K351" s="53"/>
      <c r="L351" s="55"/>
      <c r="M351" s="53"/>
      <c r="N351" s="73"/>
      <c r="O351" s="57" t="str">
        <f t="shared" si="1"/>
        <v>SOBRESTOCK — 8.2 meses de cobertura</v>
      </c>
      <c r="P351" s="58">
        <f t="shared" si="2"/>
        <v>500</v>
      </c>
      <c r="Q351" s="1"/>
      <c r="R351" s="1"/>
      <c r="S351" s="1"/>
      <c r="T351" s="1"/>
      <c r="U351" s="1"/>
      <c r="V351" s="1"/>
      <c r="W351" s="1"/>
      <c r="X351" s="60">
        <f>IFERROR(VLOOKUP($A351,Ventas!$A$2:$L$5000,12,FALSE()),"")</f>
        <v>61</v>
      </c>
      <c r="Y351" s="60">
        <f t="shared" si="3"/>
        <v>244</v>
      </c>
      <c r="Z351" s="61">
        <f t="shared" si="4"/>
        <v>8.2</v>
      </c>
      <c r="AA351" s="60">
        <f t="shared" si="5"/>
        <v>-256</v>
      </c>
      <c r="AB351" s="62" t="str">
        <f t="shared" si="6"/>
        <v/>
      </c>
      <c r="AC351" s="62" t="str">
        <f t="array" ref="AC351">IF(AH351&lt;&gt;"COMPRAR","",IF(MAX(INDEX(Ventas!$G$2:$G$5000,MATCH($A351,Ventas!$A$2:$A$5000,0)),INDEX(Ventas!$H$2:$H$5000,MATCH($A351,Ventas!$A$2:$A$5000,0)),INDEX(Ventas!$I$2:$I$5000,MATCH($A351,Ventas!$A$2:$A$5000,0)),INDEX(Ventas!$J$2:$J$5000,MATCH($A351,Ventas!$A$2:$A$5000,0)))&gt;0.5*AF351*4,"1 mes = "&amp;TEXT(MAX(INDEX(Ventas!$G$2:$G$5000,MATCH($A351,Ventas!$A$2:$A$5000,0)),INDEX(Ventas!$H$2:$H$5000,MATCH($A351,Ventas!$A$2:$A$5000,0)),INDEX(Ventas!$I$2:$I$5000,MATCH($A351,Ventas!$A$2:$A$5000,0)),INDEX(Ventas!$J$2:$J$5000,MATCH($A351,Ventas!$A$2:$A$5000,0)))/(AF351*4),"0%")&amp;" de 4 meses",""))</f>
        <v/>
      </c>
      <c r="AD351" s="62" t="str">
        <f t="shared" si="7"/>
        <v/>
      </c>
      <c r="AE351" s="62" t="str">
        <f t="array" ref="AE351">IF(X351="","",IF(AND(E351=0,AVERAGE(INDEX(Ventas!$C$2:$I$5000,MATCH($A351,Ventas!$A$2:$A$5000,0),0))&gt;0,INDEX(Ventas!$J$2:$J$5000,MATCH($A351,Ventas!$A$2:$A$5000,0))&lt;0.5*AVERAGE(INDEX(Ventas!$C$2:$I$5000,MATCH($A351,Ventas!$A$2:$A$5000,0),0))),"SÍ — stock 0 y Sep cayó (prom Feb-Ago "&amp;TEXT(AVERAGE(INDEX(Ventas!$C$2:$I$5000,MATCH($A351,Ventas!$A$2:$A$5000,0),0)),"#,##0")&amp;")",""))</f>
        <v/>
      </c>
      <c r="AF351" s="60">
        <f t="array" ref="AF351">IF(X351="","",IF(AE351&lt;&gt;"",MAX(X351,AVERAGE(INDEX(Ventas!$C$2:$I$5000,MATCH($A351,Ventas!$A$2:$A$5000,0),0))),X351))</f>
        <v>61</v>
      </c>
      <c r="AG351" s="60">
        <f t="shared" si="8"/>
        <v>-256</v>
      </c>
      <c r="AH351" s="63" t="str">
        <f t="shared" si="9"/>
        <v>SOBRESTOCK</v>
      </c>
    </row>
    <row r="352" ht="13.5" customHeight="1">
      <c r="A352" s="49" t="s">
        <v>1156</v>
      </c>
      <c r="B352" s="50" t="s">
        <v>183</v>
      </c>
      <c r="C352" s="50" t="s">
        <v>3798</v>
      </c>
      <c r="D352" s="50" t="s">
        <v>1065</v>
      </c>
      <c r="E352" s="51">
        <v>750.0</v>
      </c>
      <c r="F352" s="52"/>
      <c r="G352" s="53"/>
      <c r="H352" s="55"/>
      <c r="I352" s="55"/>
      <c r="J352" s="53"/>
      <c r="K352" s="53"/>
      <c r="L352" s="55"/>
      <c r="M352" s="53"/>
      <c r="N352" s="74"/>
      <c r="O352" s="57" t="str">
        <f t="shared" si="1"/>
        <v>SOBRESTOCK — 30.0 meses de cobertura</v>
      </c>
      <c r="P352" s="58">
        <f t="shared" si="2"/>
        <v>750</v>
      </c>
      <c r="Q352" s="1"/>
      <c r="R352" s="1"/>
      <c r="S352" s="1"/>
      <c r="T352" s="1"/>
      <c r="U352" s="1"/>
      <c r="V352" s="1"/>
      <c r="W352" s="1"/>
      <c r="X352" s="60">
        <f>IFERROR(VLOOKUP($A352,Ventas!$A$2:$L$5000,12,FALSE()),"")</f>
        <v>25</v>
      </c>
      <c r="Y352" s="60">
        <f t="shared" si="3"/>
        <v>100</v>
      </c>
      <c r="Z352" s="61">
        <f t="shared" si="4"/>
        <v>30</v>
      </c>
      <c r="AA352" s="60">
        <f t="shared" si="5"/>
        <v>-650</v>
      </c>
      <c r="AB352" s="62" t="str">
        <f t="shared" si="6"/>
        <v/>
      </c>
      <c r="AC352" s="62" t="str">
        <f t="array" ref="AC352">IF(AH352&lt;&gt;"COMPRAR","",IF(MAX(INDEX(Ventas!$G$2:$G$5000,MATCH($A352,Ventas!$A$2:$A$5000,0)),INDEX(Ventas!$H$2:$H$5000,MATCH($A352,Ventas!$A$2:$A$5000,0)),INDEX(Ventas!$I$2:$I$5000,MATCH($A352,Ventas!$A$2:$A$5000,0)),INDEX(Ventas!$J$2:$J$5000,MATCH($A352,Ventas!$A$2:$A$5000,0)))&gt;0.5*AF352*4,"1 mes = "&amp;TEXT(MAX(INDEX(Ventas!$G$2:$G$5000,MATCH($A352,Ventas!$A$2:$A$5000,0)),INDEX(Ventas!$H$2:$H$5000,MATCH($A352,Ventas!$A$2:$A$5000,0)),INDEX(Ventas!$I$2:$I$5000,MATCH($A352,Ventas!$A$2:$A$5000,0)),INDEX(Ventas!$J$2:$J$5000,MATCH($A352,Ventas!$A$2:$A$5000,0)))/(AF352*4),"0%")&amp;" de 4 meses",""))</f>
        <v/>
      </c>
      <c r="AD352" s="62" t="str">
        <f t="shared" si="7"/>
        <v/>
      </c>
      <c r="AE352" s="62" t="str">
        <f t="array" ref="AE352">IF(X352="","",IF(AND(E352=0,AVERAGE(INDEX(Ventas!$C$2:$I$5000,MATCH($A352,Ventas!$A$2:$A$5000,0),0))&gt;0,INDEX(Ventas!$J$2:$J$5000,MATCH($A352,Ventas!$A$2:$A$5000,0))&lt;0.5*AVERAGE(INDEX(Ventas!$C$2:$I$5000,MATCH($A352,Ventas!$A$2:$A$5000,0),0))),"SÍ — stock 0 y Sep cayó (prom Feb-Ago "&amp;TEXT(AVERAGE(INDEX(Ventas!$C$2:$I$5000,MATCH($A352,Ventas!$A$2:$A$5000,0),0)),"#,##0")&amp;")",""))</f>
        <v/>
      </c>
      <c r="AF352" s="60">
        <f t="array" ref="AF352">IF(X352="","",IF(AE352&lt;&gt;"",MAX(X352,AVERAGE(INDEX(Ventas!$C$2:$I$5000,MATCH($A352,Ventas!$A$2:$A$5000,0),0))),X352))</f>
        <v>25</v>
      </c>
      <c r="AG352" s="60">
        <f t="shared" si="8"/>
        <v>-650</v>
      </c>
      <c r="AH352" s="63" t="str">
        <f t="shared" si="9"/>
        <v>SOBRESTOCK</v>
      </c>
    </row>
    <row r="353" ht="13.5" customHeight="1">
      <c r="A353" s="64" t="s">
        <v>1164</v>
      </c>
      <c r="B353" s="65" t="s">
        <v>183</v>
      </c>
      <c r="C353" s="65" t="s">
        <v>3798</v>
      </c>
      <c r="D353" s="65" t="s">
        <v>524</v>
      </c>
      <c r="E353" s="51">
        <v>850.0</v>
      </c>
      <c r="F353" s="66"/>
      <c r="G353" s="53"/>
      <c r="H353" s="39"/>
      <c r="I353" s="55"/>
      <c r="J353" s="53"/>
      <c r="K353" s="53"/>
      <c r="L353" s="55"/>
      <c r="M353" s="53"/>
      <c r="N353" s="73"/>
      <c r="O353" s="57" t="str">
        <f t="shared" si="1"/>
        <v>SOBRESTOCK — 68.0 meses de cobertura</v>
      </c>
      <c r="P353" s="58">
        <f t="shared" si="2"/>
        <v>850</v>
      </c>
      <c r="Q353" s="1"/>
      <c r="R353" s="1"/>
      <c r="S353" s="1"/>
      <c r="T353" s="1"/>
      <c r="U353" s="1"/>
      <c r="V353" s="1"/>
      <c r="W353" s="1"/>
      <c r="X353" s="60">
        <f>IFERROR(VLOOKUP($A353,Ventas!$A$2:$L$5000,12,FALSE()),"")</f>
        <v>12.5</v>
      </c>
      <c r="Y353" s="60">
        <f t="shared" si="3"/>
        <v>50</v>
      </c>
      <c r="Z353" s="61">
        <f t="shared" si="4"/>
        <v>68</v>
      </c>
      <c r="AA353" s="60">
        <f t="shared" si="5"/>
        <v>-800</v>
      </c>
      <c r="AB353" s="62" t="str">
        <f t="shared" si="6"/>
        <v/>
      </c>
      <c r="AC353" s="62" t="str">
        <f t="array" ref="AC353">IF(AH353&lt;&gt;"COMPRAR","",IF(MAX(INDEX(Ventas!$G$2:$G$5000,MATCH($A353,Ventas!$A$2:$A$5000,0)),INDEX(Ventas!$H$2:$H$5000,MATCH($A353,Ventas!$A$2:$A$5000,0)),INDEX(Ventas!$I$2:$I$5000,MATCH($A353,Ventas!$A$2:$A$5000,0)),INDEX(Ventas!$J$2:$J$5000,MATCH($A353,Ventas!$A$2:$A$5000,0)))&gt;0.5*AF353*4,"1 mes = "&amp;TEXT(MAX(INDEX(Ventas!$G$2:$G$5000,MATCH($A353,Ventas!$A$2:$A$5000,0)),INDEX(Ventas!$H$2:$H$5000,MATCH($A353,Ventas!$A$2:$A$5000,0)),INDEX(Ventas!$I$2:$I$5000,MATCH($A353,Ventas!$A$2:$A$5000,0)),INDEX(Ventas!$J$2:$J$5000,MATCH($A353,Ventas!$A$2:$A$5000,0)))/(AF353*4),"0%")&amp;" de 4 meses",""))</f>
        <v/>
      </c>
      <c r="AD353" s="62" t="str">
        <f t="shared" si="7"/>
        <v/>
      </c>
      <c r="AE353" s="62" t="str">
        <f t="array" ref="AE353">IF(X353="","",IF(AND(E353=0,AVERAGE(INDEX(Ventas!$C$2:$I$5000,MATCH($A353,Ventas!$A$2:$A$5000,0),0))&gt;0,INDEX(Ventas!$J$2:$J$5000,MATCH($A353,Ventas!$A$2:$A$5000,0))&lt;0.5*AVERAGE(INDEX(Ventas!$C$2:$I$5000,MATCH($A353,Ventas!$A$2:$A$5000,0),0))),"SÍ — stock 0 y Sep cayó (prom Feb-Ago "&amp;TEXT(AVERAGE(INDEX(Ventas!$C$2:$I$5000,MATCH($A353,Ventas!$A$2:$A$5000,0),0)),"#,##0")&amp;")",""))</f>
        <v/>
      </c>
      <c r="AF353" s="60">
        <f t="array" ref="AF353">IF(X353="","",IF(AE353&lt;&gt;"",MAX(X353,AVERAGE(INDEX(Ventas!$C$2:$I$5000,MATCH($A353,Ventas!$A$2:$A$5000,0),0))),X353))</f>
        <v>12.5</v>
      </c>
      <c r="AG353" s="60">
        <f t="shared" si="8"/>
        <v>-800</v>
      </c>
      <c r="AH353" s="63" t="str">
        <f t="shared" si="9"/>
        <v>SOBRESTOCK</v>
      </c>
    </row>
    <row r="354" ht="13.5" customHeight="1">
      <c r="A354" s="49" t="s">
        <v>1158</v>
      </c>
      <c r="B354" s="50" t="s">
        <v>183</v>
      </c>
      <c r="C354" s="50" t="s">
        <v>3798</v>
      </c>
      <c r="D354" s="50" t="s">
        <v>844</v>
      </c>
      <c r="E354" s="51">
        <v>711.0</v>
      </c>
      <c r="F354" s="52"/>
      <c r="G354" s="53"/>
      <c r="H354" s="55"/>
      <c r="I354" s="55"/>
      <c r="J354" s="53"/>
      <c r="K354" s="53"/>
      <c r="L354" s="55"/>
      <c r="M354" s="53"/>
      <c r="N354" s="74"/>
      <c r="O354" s="57" t="str">
        <f t="shared" si="1"/>
        <v>SIN VENTAS Jun-Sep — no comprar (711 m disponibles)</v>
      </c>
      <c r="P354" s="58">
        <f t="shared" si="2"/>
        <v>711</v>
      </c>
      <c r="Q354" s="1"/>
      <c r="R354" s="1"/>
      <c r="S354" s="1"/>
      <c r="T354" s="1"/>
      <c r="U354" s="1"/>
      <c r="V354" s="1"/>
      <c r="W354" s="1"/>
      <c r="X354" s="60">
        <f>IFERROR(VLOOKUP($A354,Ventas!$A$2:$L$5000,12,FALSE()),"")</f>
        <v>0</v>
      </c>
      <c r="Y354" s="60">
        <f t="shared" si="3"/>
        <v>0</v>
      </c>
      <c r="Z354" s="61" t="str">
        <f t="shared" si="4"/>
        <v/>
      </c>
      <c r="AA354" s="60">
        <f t="shared" si="5"/>
        <v>-711</v>
      </c>
      <c r="AB354" s="62" t="str">
        <f t="shared" si="6"/>
        <v/>
      </c>
      <c r="AC354" s="62" t="str">
        <f t="array" ref="AC354">IF(AH354&lt;&gt;"COMPRAR","",IF(MAX(INDEX(Ventas!$G$2:$G$5000,MATCH($A354,Ventas!$A$2:$A$5000,0)),INDEX(Ventas!$H$2:$H$5000,MATCH($A354,Ventas!$A$2:$A$5000,0)),INDEX(Ventas!$I$2:$I$5000,MATCH($A354,Ventas!$A$2:$A$5000,0)),INDEX(Ventas!$J$2:$J$5000,MATCH($A354,Ventas!$A$2:$A$5000,0)))&gt;0.5*AF354*4,"1 mes = "&amp;TEXT(MAX(INDEX(Ventas!$G$2:$G$5000,MATCH($A354,Ventas!$A$2:$A$5000,0)),INDEX(Ventas!$H$2:$H$5000,MATCH($A354,Ventas!$A$2:$A$5000,0)),INDEX(Ventas!$I$2:$I$5000,MATCH($A354,Ventas!$A$2:$A$5000,0)),INDEX(Ventas!$J$2:$J$5000,MATCH($A354,Ventas!$A$2:$A$5000,0)))/(AF354*4),"0%")&amp;" de 4 meses",""))</f>
        <v/>
      </c>
      <c r="AD354" s="62" t="str">
        <f t="shared" si="7"/>
        <v/>
      </c>
      <c r="AE354" s="62" t="str">
        <f t="array" ref="AE354">IF(X354="","",IF(AND(E354=0,AVERAGE(INDEX(Ventas!$C$2:$I$5000,MATCH($A354,Ventas!$A$2:$A$5000,0),0))&gt;0,INDEX(Ventas!$J$2:$J$5000,MATCH($A354,Ventas!$A$2:$A$5000,0))&lt;0.5*AVERAGE(INDEX(Ventas!$C$2:$I$5000,MATCH($A354,Ventas!$A$2:$A$5000,0),0))),"SÍ — stock 0 y Sep cayó (prom Feb-Ago "&amp;TEXT(AVERAGE(INDEX(Ventas!$C$2:$I$5000,MATCH($A354,Ventas!$A$2:$A$5000,0),0)),"#,##0")&amp;")",""))</f>
        <v/>
      </c>
      <c r="AF354" s="60">
        <f t="array" ref="AF354">IF(X354="","",IF(AE354&lt;&gt;"",MAX(X354,AVERAGE(INDEX(Ventas!$C$2:$I$5000,MATCH($A354,Ventas!$A$2:$A$5000,0),0))),X354))</f>
        <v>0</v>
      </c>
      <c r="AG354" s="60">
        <f t="shared" si="8"/>
        <v>-711</v>
      </c>
      <c r="AH354" s="63" t="str">
        <f t="shared" si="9"/>
        <v>SIN VENTAS</v>
      </c>
    </row>
    <row r="355" ht="13.5" customHeight="1">
      <c r="A355" s="64" t="s">
        <v>1154</v>
      </c>
      <c r="B355" s="65" t="s">
        <v>183</v>
      </c>
      <c r="C355" s="65" t="s">
        <v>3798</v>
      </c>
      <c r="D355" s="65" t="s">
        <v>3723</v>
      </c>
      <c r="E355" s="51">
        <v>487.0</v>
      </c>
      <c r="F355" s="66"/>
      <c r="G355" s="53"/>
      <c r="H355" s="55"/>
      <c r="I355" s="55"/>
      <c r="J355" s="53"/>
      <c r="K355" s="53"/>
      <c r="L355" s="55"/>
      <c r="M355" s="53"/>
      <c r="N355" s="73"/>
      <c r="O355" s="57" t="str">
        <f t="shared" si="1"/>
        <v>SIN VENTAS Jun-Sep — no comprar (487 m disponibles)</v>
      </c>
      <c r="P355" s="58">
        <f t="shared" si="2"/>
        <v>487</v>
      </c>
      <c r="Q355" s="1"/>
      <c r="R355" s="1"/>
      <c r="S355" s="1"/>
      <c r="T355" s="1"/>
      <c r="U355" s="1"/>
      <c r="V355" s="1"/>
      <c r="W355" s="1"/>
      <c r="X355" s="60">
        <f>IFERROR(VLOOKUP($A355,Ventas!$A$2:$L$5000,12,FALSE()),"")</f>
        <v>0</v>
      </c>
      <c r="Y355" s="60">
        <f t="shared" si="3"/>
        <v>0</v>
      </c>
      <c r="Z355" s="61" t="str">
        <f t="shared" si="4"/>
        <v/>
      </c>
      <c r="AA355" s="60">
        <f t="shared" si="5"/>
        <v>-487</v>
      </c>
      <c r="AB355" s="62" t="str">
        <f t="shared" si="6"/>
        <v/>
      </c>
      <c r="AC355" s="62" t="str">
        <f t="array" ref="AC355">IF(AH355&lt;&gt;"COMPRAR","",IF(MAX(INDEX(Ventas!$G$2:$G$5000,MATCH($A355,Ventas!$A$2:$A$5000,0)),INDEX(Ventas!$H$2:$H$5000,MATCH($A355,Ventas!$A$2:$A$5000,0)),INDEX(Ventas!$I$2:$I$5000,MATCH($A355,Ventas!$A$2:$A$5000,0)),INDEX(Ventas!$J$2:$J$5000,MATCH($A355,Ventas!$A$2:$A$5000,0)))&gt;0.5*AF355*4,"1 mes = "&amp;TEXT(MAX(INDEX(Ventas!$G$2:$G$5000,MATCH($A355,Ventas!$A$2:$A$5000,0)),INDEX(Ventas!$H$2:$H$5000,MATCH($A355,Ventas!$A$2:$A$5000,0)),INDEX(Ventas!$I$2:$I$5000,MATCH($A355,Ventas!$A$2:$A$5000,0)),INDEX(Ventas!$J$2:$J$5000,MATCH($A355,Ventas!$A$2:$A$5000,0)))/(AF355*4),"0%")&amp;" de 4 meses",""))</f>
        <v/>
      </c>
      <c r="AD355" s="62" t="str">
        <f t="shared" si="7"/>
        <v/>
      </c>
      <c r="AE355" s="62" t="str">
        <f t="array" ref="AE355">IF(X355="","",IF(AND(E355=0,AVERAGE(INDEX(Ventas!$C$2:$I$5000,MATCH($A355,Ventas!$A$2:$A$5000,0),0))&gt;0,INDEX(Ventas!$J$2:$J$5000,MATCH($A355,Ventas!$A$2:$A$5000,0))&lt;0.5*AVERAGE(INDEX(Ventas!$C$2:$I$5000,MATCH($A355,Ventas!$A$2:$A$5000,0),0))),"SÍ — stock 0 y Sep cayó (prom Feb-Ago "&amp;TEXT(AVERAGE(INDEX(Ventas!$C$2:$I$5000,MATCH($A355,Ventas!$A$2:$A$5000,0),0)),"#,##0")&amp;")",""))</f>
        <v/>
      </c>
      <c r="AF355" s="60">
        <f t="array" ref="AF355">IF(X355="","",IF(AE355&lt;&gt;"",MAX(X355,AVERAGE(INDEX(Ventas!$C$2:$I$5000,MATCH($A355,Ventas!$A$2:$A$5000,0),0))),X355))</f>
        <v>0</v>
      </c>
      <c r="AG355" s="60">
        <f t="shared" si="8"/>
        <v>-487</v>
      </c>
      <c r="AH355" s="63" t="str">
        <f t="shared" si="9"/>
        <v>SIN VENTAS</v>
      </c>
    </row>
    <row r="356" ht="13.5" customHeight="1">
      <c r="A356" s="49" t="s">
        <v>1148</v>
      </c>
      <c r="B356" s="50" t="s">
        <v>183</v>
      </c>
      <c r="C356" s="50" t="s">
        <v>3798</v>
      </c>
      <c r="D356" s="50" t="s">
        <v>3725</v>
      </c>
      <c r="E356" s="51">
        <v>1158.0</v>
      </c>
      <c r="F356" s="52"/>
      <c r="G356" s="53"/>
      <c r="H356" s="55"/>
      <c r="I356" s="55"/>
      <c r="J356" s="53"/>
      <c r="K356" s="53"/>
      <c r="L356" s="55"/>
      <c r="M356" s="53"/>
      <c r="N356" s="74"/>
      <c r="O356" s="57" t="str">
        <f t="shared" si="1"/>
        <v>SOBRESTOCK — 92.6 meses de cobertura</v>
      </c>
      <c r="P356" s="58">
        <f t="shared" si="2"/>
        <v>1158</v>
      </c>
      <c r="Q356" s="1"/>
      <c r="R356" s="1"/>
      <c r="S356" s="1"/>
      <c r="T356" s="1"/>
      <c r="U356" s="1"/>
      <c r="V356" s="1"/>
      <c r="W356" s="1"/>
      <c r="X356" s="60">
        <f>IFERROR(VLOOKUP($A356,Ventas!$A$2:$L$5000,12,FALSE()),"")</f>
        <v>12.5</v>
      </c>
      <c r="Y356" s="60">
        <f t="shared" si="3"/>
        <v>50</v>
      </c>
      <c r="Z356" s="61">
        <f t="shared" si="4"/>
        <v>92.6</v>
      </c>
      <c r="AA356" s="60">
        <f t="shared" si="5"/>
        <v>-1108</v>
      </c>
      <c r="AB356" s="62" t="str">
        <f t="shared" si="6"/>
        <v/>
      </c>
      <c r="AC356" s="62" t="str">
        <f t="array" ref="AC356">IF(AH356&lt;&gt;"COMPRAR","",IF(MAX(INDEX(Ventas!$G$2:$G$5000,MATCH($A356,Ventas!$A$2:$A$5000,0)),INDEX(Ventas!$H$2:$H$5000,MATCH($A356,Ventas!$A$2:$A$5000,0)),INDEX(Ventas!$I$2:$I$5000,MATCH($A356,Ventas!$A$2:$A$5000,0)),INDEX(Ventas!$J$2:$J$5000,MATCH($A356,Ventas!$A$2:$A$5000,0)))&gt;0.5*AF356*4,"1 mes = "&amp;TEXT(MAX(INDEX(Ventas!$G$2:$G$5000,MATCH($A356,Ventas!$A$2:$A$5000,0)),INDEX(Ventas!$H$2:$H$5000,MATCH($A356,Ventas!$A$2:$A$5000,0)),INDEX(Ventas!$I$2:$I$5000,MATCH($A356,Ventas!$A$2:$A$5000,0)),INDEX(Ventas!$J$2:$J$5000,MATCH($A356,Ventas!$A$2:$A$5000,0)))/(AF356*4),"0%")&amp;" de 4 meses",""))</f>
        <v/>
      </c>
      <c r="AD356" s="62" t="str">
        <f t="shared" si="7"/>
        <v/>
      </c>
      <c r="AE356" s="62" t="str">
        <f t="array" ref="AE356">IF(X356="","",IF(AND(E356=0,AVERAGE(INDEX(Ventas!$C$2:$I$5000,MATCH($A356,Ventas!$A$2:$A$5000,0),0))&gt;0,INDEX(Ventas!$J$2:$J$5000,MATCH($A356,Ventas!$A$2:$A$5000,0))&lt;0.5*AVERAGE(INDEX(Ventas!$C$2:$I$5000,MATCH($A356,Ventas!$A$2:$A$5000,0),0))),"SÍ — stock 0 y Sep cayó (prom Feb-Ago "&amp;TEXT(AVERAGE(INDEX(Ventas!$C$2:$I$5000,MATCH($A356,Ventas!$A$2:$A$5000,0),0)),"#,##0")&amp;")",""))</f>
        <v/>
      </c>
      <c r="AF356" s="60">
        <f t="array" ref="AF356">IF(X356="","",IF(AE356&lt;&gt;"",MAX(X356,AVERAGE(INDEX(Ventas!$C$2:$I$5000,MATCH($A356,Ventas!$A$2:$A$5000,0),0))),X356))</f>
        <v>12.5</v>
      </c>
      <c r="AG356" s="60">
        <f t="shared" si="8"/>
        <v>-1108</v>
      </c>
      <c r="AH356" s="63" t="str">
        <f t="shared" si="9"/>
        <v>SOBRESTOCK</v>
      </c>
    </row>
    <row r="357" ht="13.5" customHeight="1">
      <c r="A357" s="64" t="s">
        <v>1152</v>
      </c>
      <c r="B357" s="65" t="s">
        <v>183</v>
      </c>
      <c r="C357" s="65" t="s">
        <v>3798</v>
      </c>
      <c r="D357" s="65" t="s">
        <v>2692</v>
      </c>
      <c r="E357" s="51">
        <v>150.0</v>
      </c>
      <c r="F357" s="66"/>
      <c r="G357" s="53"/>
      <c r="H357" s="55"/>
      <c r="I357" s="55"/>
      <c r="J357" s="53"/>
      <c r="K357" s="53"/>
      <c r="L357" s="55"/>
      <c r="M357" s="53"/>
      <c r="N357" s="73"/>
      <c r="O357" s="57" t="str">
        <f t="shared" si="1"/>
        <v>COMPRAR — faltan 48 m para 4 meses</v>
      </c>
      <c r="P357" s="58">
        <f t="shared" si="2"/>
        <v>150</v>
      </c>
      <c r="Q357" s="1"/>
      <c r="R357" s="1"/>
      <c r="S357" s="1"/>
      <c r="T357" s="1"/>
      <c r="U357" s="1"/>
      <c r="V357" s="1"/>
      <c r="W357" s="1"/>
      <c r="X357" s="60">
        <f>IFERROR(VLOOKUP($A357,Ventas!$A$2:$L$5000,12,FALSE()),"")</f>
        <v>49.5</v>
      </c>
      <c r="Y357" s="60">
        <f t="shared" si="3"/>
        <v>198</v>
      </c>
      <c r="Z357" s="61">
        <f t="shared" si="4"/>
        <v>3</v>
      </c>
      <c r="AA357" s="60">
        <f t="shared" si="5"/>
        <v>48</v>
      </c>
      <c r="AB357" s="62" t="str">
        <f t="shared" si="6"/>
        <v/>
      </c>
      <c r="AC357" s="62" t="str">
        <f t="array" ref="AC357">IF(AH357&lt;&gt;"COMPRAR","",IF(MAX(INDEX(Ventas!$G$2:$G$5000,MATCH($A357,Ventas!$A$2:$A$5000,0)),INDEX(Ventas!$H$2:$H$5000,MATCH($A357,Ventas!$A$2:$A$5000,0)),INDEX(Ventas!$I$2:$I$5000,MATCH($A357,Ventas!$A$2:$A$5000,0)),INDEX(Ventas!$J$2:$J$5000,MATCH($A357,Ventas!$A$2:$A$5000,0)))&gt;0.5*AF357*4,"1 mes = "&amp;TEXT(MAX(INDEX(Ventas!$G$2:$G$5000,MATCH($A357,Ventas!$A$2:$A$5000,0)),INDEX(Ventas!$H$2:$H$5000,MATCH($A357,Ventas!$A$2:$A$5000,0)),INDEX(Ventas!$I$2:$I$5000,MATCH($A357,Ventas!$A$2:$A$5000,0)),INDEX(Ventas!$J$2:$J$5000,MATCH($A357,Ventas!$A$2:$A$5000,0)))/(AF357*4),"0%")&amp;" de 4 meses",""))</f>
        <v/>
      </c>
      <c r="AD357" s="62" t="str">
        <f t="shared" si="7"/>
        <v/>
      </c>
      <c r="AE357" s="62" t="str">
        <f t="array" ref="AE357">IF(X357="","",IF(AND(E357=0,AVERAGE(INDEX(Ventas!$C$2:$I$5000,MATCH($A357,Ventas!$A$2:$A$5000,0),0))&gt;0,INDEX(Ventas!$J$2:$J$5000,MATCH($A357,Ventas!$A$2:$A$5000,0))&lt;0.5*AVERAGE(INDEX(Ventas!$C$2:$I$5000,MATCH($A357,Ventas!$A$2:$A$5000,0),0))),"SÍ — stock 0 y Sep cayó (prom Feb-Ago "&amp;TEXT(AVERAGE(INDEX(Ventas!$C$2:$I$5000,MATCH($A357,Ventas!$A$2:$A$5000,0),0)),"#,##0")&amp;")",""))</f>
        <v/>
      </c>
      <c r="AF357" s="60">
        <f t="array" ref="AF357">IF(X357="","",IF(AE357&lt;&gt;"",MAX(X357,AVERAGE(INDEX(Ventas!$C$2:$I$5000,MATCH($A357,Ventas!$A$2:$A$5000,0),0))),X357))</f>
        <v>49.5</v>
      </c>
      <c r="AG357" s="60">
        <f t="shared" si="8"/>
        <v>48</v>
      </c>
      <c r="AH357" s="63" t="str">
        <f t="shared" si="9"/>
        <v>COMPRAR</v>
      </c>
    </row>
    <row r="358" ht="13.5" customHeight="1">
      <c r="A358" s="49" t="s">
        <v>1146</v>
      </c>
      <c r="B358" s="50" t="s">
        <v>183</v>
      </c>
      <c r="C358" s="50" t="s">
        <v>3798</v>
      </c>
      <c r="D358" s="50" t="s">
        <v>3799</v>
      </c>
      <c r="E358" s="51">
        <v>163.0</v>
      </c>
      <c r="F358" s="52"/>
      <c r="G358" s="53"/>
      <c r="H358" s="55"/>
      <c r="I358" s="55"/>
      <c r="J358" s="53"/>
      <c r="K358" s="53"/>
      <c r="L358" s="55"/>
      <c r="M358" s="53"/>
      <c r="N358" s="74"/>
      <c r="O358" s="57" t="str">
        <f t="shared" si="1"/>
        <v>SIN VENTAS Jun-Sep — no comprar (163 m disponibles)</v>
      </c>
      <c r="P358" s="58">
        <f t="shared" si="2"/>
        <v>163</v>
      </c>
      <c r="Q358" s="1"/>
      <c r="R358" s="1"/>
      <c r="S358" s="1"/>
      <c r="T358" s="1"/>
      <c r="U358" s="1"/>
      <c r="V358" s="1"/>
      <c r="W358" s="1"/>
      <c r="X358" s="60">
        <f>IFERROR(VLOOKUP($A358,Ventas!$A$2:$L$5000,12,FALSE()),"")</f>
        <v>0</v>
      </c>
      <c r="Y358" s="60">
        <f t="shared" si="3"/>
        <v>0</v>
      </c>
      <c r="Z358" s="61" t="str">
        <f t="shared" si="4"/>
        <v/>
      </c>
      <c r="AA358" s="60">
        <f t="shared" si="5"/>
        <v>-163</v>
      </c>
      <c r="AB358" s="62" t="str">
        <f t="shared" si="6"/>
        <v/>
      </c>
      <c r="AC358" s="62" t="str">
        <f t="array" ref="AC358">IF(AH358&lt;&gt;"COMPRAR","",IF(MAX(INDEX(Ventas!$G$2:$G$5000,MATCH($A358,Ventas!$A$2:$A$5000,0)),INDEX(Ventas!$H$2:$H$5000,MATCH($A358,Ventas!$A$2:$A$5000,0)),INDEX(Ventas!$I$2:$I$5000,MATCH($A358,Ventas!$A$2:$A$5000,0)),INDEX(Ventas!$J$2:$J$5000,MATCH($A358,Ventas!$A$2:$A$5000,0)))&gt;0.5*AF358*4,"1 mes = "&amp;TEXT(MAX(INDEX(Ventas!$G$2:$G$5000,MATCH($A358,Ventas!$A$2:$A$5000,0)),INDEX(Ventas!$H$2:$H$5000,MATCH($A358,Ventas!$A$2:$A$5000,0)),INDEX(Ventas!$I$2:$I$5000,MATCH($A358,Ventas!$A$2:$A$5000,0)),INDEX(Ventas!$J$2:$J$5000,MATCH($A358,Ventas!$A$2:$A$5000,0)))/(AF358*4),"0%")&amp;" de 4 meses",""))</f>
        <v/>
      </c>
      <c r="AD358" s="62" t="str">
        <f t="shared" si="7"/>
        <v/>
      </c>
      <c r="AE358" s="62" t="str">
        <f t="array" ref="AE358">IF(X358="","",IF(AND(E358=0,AVERAGE(INDEX(Ventas!$C$2:$I$5000,MATCH($A358,Ventas!$A$2:$A$5000,0),0))&gt;0,INDEX(Ventas!$J$2:$J$5000,MATCH($A358,Ventas!$A$2:$A$5000,0))&lt;0.5*AVERAGE(INDEX(Ventas!$C$2:$I$5000,MATCH($A358,Ventas!$A$2:$A$5000,0),0))),"SÍ — stock 0 y Sep cayó (prom Feb-Ago "&amp;TEXT(AVERAGE(INDEX(Ventas!$C$2:$I$5000,MATCH($A358,Ventas!$A$2:$A$5000,0),0)),"#,##0")&amp;")",""))</f>
        <v/>
      </c>
      <c r="AF358" s="60">
        <f t="array" ref="AF358">IF(X358="","",IF(AE358&lt;&gt;"",MAX(X358,AVERAGE(INDEX(Ventas!$C$2:$I$5000,MATCH($A358,Ventas!$A$2:$A$5000,0),0))),X358))</f>
        <v>0</v>
      </c>
      <c r="AG358" s="60">
        <f t="shared" si="8"/>
        <v>-163</v>
      </c>
      <c r="AH358" s="63" t="str">
        <f t="shared" si="9"/>
        <v>SIN VENTAS</v>
      </c>
    </row>
    <row r="359" ht="13.5" customHeight="1">
      <c r="A359" s="64" t="s">
        <v>1144</v>
      </c>
      <c r="B359" s="65" t="s">
        <v>183</v>
      </c>
      <c r="C359" s="65" t="s">
        <v>3798</v>
      </c>
      <c r="D359" s="65" t="s">
        <v>3800</v>
      </c>
      <c r="E359" s="51">
        <v>245.0</v>
      </c>
      <c r="F359" s="66"/>
      <c r="G359" s="53"/>
      <c r="H359" s="55"/>
      <c r="I359" s="55"/>
      <c r="J359" s="53"/>
      <c r="K359" s="53"/>
      <c r="L359" s="55"/>
      <c r="M359" s="53"/>
      <c r="N359" s="73"/>
      <c r="O359" s="57" t="str">
        <f t="shared" si="1"/>
        <v>SIN VENTAS Jun-Sep — no comprar (245 m disponibles)</v>
      </c>
      <c r="P359" s="58">
        <f t="shared" si="2"/>
        <v>245</v>
      </c>
      <c r="Q359" s="1"/>
      <c r="R359" s="1"/>
      <c r="S359" s="1"/>
      <c r="T359" s="1"/>
      <c r="U359" s="1"/>
      <c r="V359" s="1"/>
      <c r="W359" s="1"/>
      <c r="X359" s="60">
        <f>IFERROR(VLOOKUP($A359,Ventas!$A$2:$L$5000,12,FALSE()),"")</f>
        <v>0</v>
      </c>
      <c r="Y359" s="60">
        <f t="shared" si="3"/>
        <v>0</v>
      </c>
      <c r="Z359" s="61" t="str">
        <f t="shared" si="4"/>
        <v/>
      </c>
      <c r="AA359" s="60">
        <f t="shared" si="5"/>
        <v>-245</v>
      </c>
      <c r="AB359" s="62" t="str">
        <f t="shared" si="6"/>
        <v/>
      </c>
      <c r="AC359" s="62" t="str">
        <f t="array" ref="AC359">IF(AH359&lt;&gt;"COMPRAR","",IF(MAX(INDEX(Ventas!$G$2:$G$5000,MATCH($A359,Ventas!$A$2:$A$5000,0)),INDEX(Ventas!$H$2:$H$5000,MATCH($A359,Ventas!$A$2:$A$5000,0)),INDEX(Ventas!$I$2:$I$5000,MATCH($A359,Ventas!$A$2:$A$5000,0)),INDEX(Ventas!$J$2:$J$5000,MATCH($A359,Ventas!$A$2:$A$5000,0)))&gt;0.5*AF359*4,"1 mes = "&amp;TEXT(MAX(INDEX(Ventas!$G$2:$G$5000,MATCH($A359,Ventas!$A$2:$A$5000,0)),INDEX(Ventas!$H$2:$H$5000,MATCH($A359,Ventas!$A$2:$A$5000,0)),INDEX(Ventas!$I$2:$I$5000,MATCH($A359,Ventas!$A$2:$A$5000,0)),INDEX(Ventas!$J$2:$J$5000,MATCH($A359,Ventas!$A$2:$A$5000,0)))/(AF359*4),"0%")&amp;" de 4 meses",""))</f>
        <v/>
      </c>
      <c r="AD359" s="62" t="str">
        <f t="shared" si="7"/>
        <v/>
      </c>
      <c r="AE359" s="62" t="str">
        <f t="array" ref="AE359">IF(X359="","",IF(AND(E359=0,AVERAGE(INDEX(Ventas!$C$2:$I$5000,MATCH($A359,Ventas!$A$2:$A$5000,0),0))&gt;0,INDEX(Ventas!$J$2:$J$5000,MATCH($A359,Ventas!$A$2:$A$5000,0))&lt;0.5*AVERAGE(INDEX(Ventas!$C$2:$I$5000,MATCH($A359,Ventas!$A$2:$A$5000,0),0))),"SÍ — stock 0 y Sep cayó (prom Feb-Ago "&amp;TEXT(AVERAGE(INDEX(Ventas!$C$2:$I$5000,MATCH($A359,Ventas!$A$2:$A$5000,0),0)),"#,##0")&amp;")",""))</f>
        <v/>
      </c>
      <c r="AF359" s="60">
        <f t="array" ref="AF359">IF(X359="","",IF(AE359&lt;&gt;"",MAX(X359,AVERAGE(INDEX(Ventas!$C$2:$I$5000,MATCH($A359,Ventas!$A$2:$A$5000,0),0))),X359))</f>
        <v>0</v>
      </c>
      <c r="AG359" s="60">
        <f t="shared" si="8"/>
        <v>-245</v>
      </c>
      <c r="AH359" s="63" t="str">
        <f t="shared" si="9"/>
        <v>SIN VENTAS</v>
      </c>
    </row>
    <row r="360" ht="13.5" customHeight="1">
      <c r="A360" s="49" t="s">
        <v>1150</v>
      </c>
      <c r="B360" s="50" t="s">
        <v>183</v>
      </c>
      <c r="C360" s="50" t="s">
        <v>3798</v>
      </c>
      <c r="D360" s="50" t="s">
        <v>3791</v>
      </c>
      <c r="E360" s="51">
        <v>1017.0</v>
      </c>
      <c r="F360" s="52"/>
      <c r="G360" s="53"/>
      <c r="H360" s="55"/>
      <c r="I360" s="55"/>
      <c r="J360" s="53"/>
      <c r="K360" s="53"/>
      <c r="L360" s="55"/>
      <c r="M360" s="53"/>
      <c r="N360" s="74"/>
      <c r="O360" s="57" t="str">
        <f t="shared" si="1"/>
        <v>SOBRESTOCK — 20.3 meses de cobertura</v>
      </c>
      <c r="P360" s="58">
        <f t="shared" si="2"/>
        <v>1017</v>
      </c>
      <c r="Q360" s="1"/>
      <c r="R360" s="1"/>
      <c r="S360" s="1"/>
      <c r="T360" s="1"/>
      <c r="U360" s="1"/>
      <c r="V360" s="1"/>
      <c r="W360" s="1"/>
      <c r="X360" s="60">
        <f>IFERROR(VLOOKUP($A360,Ventas!$A$2:$L$5000,12,FALSE()),"")</f>
        <v>50</v>
      </c>
      <c r="Y360" s="60">
        <f t="shared" si="3"/>
        <v>200</v>
      </c>
      <c r="Z360" s="61">
        <f t="shared" si="4"/>
        <v>20.3</v>
      </c>
      <c r="AA360" s="60">
        <f t="shared" si="5"/>
        <v>-817</v>
      </c>
      <c r="AB360" s="62" t="str">
        <f t="shared" si="6"/>
        <v/>
      </c>
      <c r="AC360" s="62" t="str">
        <f t="array" ref="AC360">IF(AH360&lt;&gt;"COMPRAR","",IF(MAX(INDEX(Ventas!$G$2:$G$5000,MATCH($A360,Ventas!$A$2:$A$5000,0)),INDEX(Ventas!$H$2:$H$5000,MATCH($A360,Ventas!$A$2:$A$5000,0)),INDEX(Ventas!$I$2:$I$5000,MATCH($A360,Ventas!$A$2:$A$5000,0)),INDEX(Ventas!$J$2:$J$5000,MATCH($A360,Ventas!$A$2:$A$5000,0)))&gt;0.5*AF360*4,"1 mes = "&amp;TEXT(MAX(INDEX(Ventas!$G$2:$G$5000,MATCH($A360,Ventas!$A$2:$A$5000,0)),INDEX(Ventas!$H$2:$H$5000,MATCH($A360,Ventas!$A$2:$A$5000,0)),INDEX(Ventas!$I$2:$I$5000,MATCH($A360,Ventas!$A$2:$A$5000,0)),INDEX(Ventas!$J$2:$J$5000,MATCH($A360,Ventas!$A$2:$A$5000,0)))/(AF360*4),"0%")&amp;" de 4 meses",""))</f>
        <v/>
      </c>
      <c r="AD360" s="62" t="str">
        <f t="shared" si="7"/>
        <v/>
      </c>
      <c r="AE360" s="62" t="str">
        <f t="array" ref="AE360">IF(X360="","",IF(AND(E360=0,AVERAGE(INDEX(Ventas!$C$2:$I$5000,MATCH($A360,Ventas!$A$2:$A$5000,0),0))&gt;0,INDEX(Ventas!$J$2:$J$5000,MATCH($A360,Ventas!$A$2:$A$5000,0))&lt;0.5*AVERAGE(INDEX(Ventas!$C$2:$I$5000,MATCH($A360,Ventas!$A$2:$A$5000,0),0))),"SÍ — stock 0 y Sep cayó (prom Feb-Ago "&amp;TEXT(AVERAGE(INDEX(Ventas!$C$2:$I$5000,MATCH($A360,Ventas!$A$2:$A$5000,0),0)),"#,##0")&amp;")",""))</f>
        <v/>
      </c>
      <c r="AF360" s="60">
        <f t="array" ref="AF360">IF(X360="","",IF(AE360&lt;&gt;"",MAX(X360,AVERAGE(INDEX(Ventas!$C$2:$I$5000,MATCH($A360,Ventas!$A$2:$A$5000,0),0))),X360))</f>
        <v>50</v>
      </c>
      <c r="AG360" s="60">
        <f t="shared" si="8"/>
        <v>-817</v>
      </c>
      <c r="AH360" s="63" t="str">
        <f t="shared" si="9"/>
        <v>SOBRESTOCK</v>
      </c>
    </row>
    <row r="361" ht="13.5" customHeight="1">
      <c r="A361" s="64" t="s">
        <v>1136</v>
      </c>
      <c r="B361" s="65" t="s">
        <v>183</v>
      </c>
      <c r="C361" s="65" t="s">
        <v>3801</v>
      </c>
      <c r="D361" s="65" t="s">
        <v>1329</v>
      </c>
      <c r="E361" s="51">
        <v>300.0</v>
      </c>
      <c r="F361" s="66"/>
      <c r="G361" s="53"/>
      <c r="H361" s="55"/>
      <c r="I361" s="55"/>
      <c r="J361" s="53"/>
      <c r="K361" s="53"/>
      <c r="L361" s="55">
        <v>1000.0</v>
      </c>
      <c r="M361" s="53"/>
      <c r="N361" s="73"/>
      <c r="O361" s="57" t="str">
        <f t="shared" si="1"/>
        <v>PEDIR MENOS — sobran 650 m; revisar pedidos sin facturar (1,000 m)</v>
      </c>
      <c r="P361" s="58">
        <f t="shared" si="2"/>
        <v>1300</v>
      </c>
      <c r="Q361" s="1"/>
      <c r="R361" s="1"/>
      <c r="S361" s="1"/>
      <c r="T361" s="1"/>
      <c r="U361" s="1"/>
      <c r="V361" s="1"/>
      <c r="W361" s="1"/>
      <c r="X361" s="60">
        <f>IFERROR(VLOOKUP($A361,Ventas!$A$2:$L$5000,12,FALSE()),"")</f>
        <v>162.5</v>
      </c>
      <c r="Y361" s="60">
        <f t="shared" si="3"/>
        <v>650</v>
      </c>
      <c r="Z361" s="61">
        <f t="shared" si="4"/>
        <v>8</v>
      </c>
      <c r="AA361" s="60">
        <f t="shared" si="5"/>
        <v>-650</v>
      </c>
      <c r="AB361" s="62" t="str">
        <f t="shared" si="6"/>
        <v/>
      </c>
      <c r="AC361" s="62" t="str">
        <f t="array" ref="AC361">IF(AH361&lt;&gt;"COMPRAR","",IF(MAX(INDEX(Ventas!$G$2:$G$5000,MATCH($A361,Ventas!$A$2:$A$5000,0)),INDEX(Ventas!$H$2:$H$5000,MATCH($A361,Ventas!$A$2:$A$5000,0)),INDEX(Ventas!$I$2:$I$5000,MATCH($A361,Ventas!$A$2:$A$5000,0)),INDEX(Ventas!$J$2:$J$5000,MATCH($A361,Ventas!$A$2:$A$5000,0)))&gt;0.5*AF361*4,"1 mes = "&amp;TEXT(MAX(INDEX(Ventas!$G$2:$G$5000,MATCH($A361,Ventas!$A$2:$A$5000,0)),INDEX(Ventas!$H$2:$H$5000,MATCH($A361,Ventas!$A$2:$A$5000,0)),INDEX(Ventas!$I$2:$I$5000,MATCH($A361,Ventas!$A$2:$A$5000,0)),INDEX(Ventas!$J$2:$J$5000,MATCH($A361,Ventas!$A$2:$A$5000,0)))/(AF361*4),"0%")&amp;" de 4 meses",""))</f>
        <v/>
      </c>
      <c r="AD361" s="62" t="str">
        <f t="shared" si="7"/>
        <v/>
      </c>
      <c r="AE361" s="62" t="str">
        <f t="array" ref="AE361">IF(X361="","",IF(AND(E361=0,AVERAGE(INDEX(Ventas!$C$2:$I$5000,MATCH($A361,Ventas!$A$2:$A$5000,0),0))&gt;0,INDEX(Ventas!$J$2:$J$5000,MATCH($A361,Ventas!$A$2:$A$5000,0))&lt;0.5*AVERAGE(INDEX(Ventas!$C$2:$I$5000,MATCH($A361,Ventas!$A$2:$A$5000,0),0))),"SÍ — stock 0 y Sep cayó (prom Feb-Ago "&amp;TEXT(AVERAGE(INDEX(Ventas!$C$2:$I$5000,MATCH($A361,Ventas!$A$2:$A$5000,0),0)),"#,##0")&amp;")",""))</f>
        <v/>
      </c>
      <c r="AF361" s="60">
        <f t="array" ref="AF361">IF(X361="","",IF(AE361&lt;&gt;"",MAX(X361,AVERAGE(INDEX(Ventas!$C$2:$I$5000,MATCH($A361,Ventas!$A$2:$A$5000,0),0))),X361))</f>
        <v>162.5</v>
      </c>
      <c r="AG361" s="60">
        <f t="shared" si="8"/>
        <v>-650</v>
      </c>
      <c r="AH361" s="63" t="str">
        <f t="shared" si="9"/>
        <v>PEDIR MENOS</v>
      </c>
    </row>
    <row r="362" ht="13.5" customHeight="1">
      <c r="A362" s="49" t="s">
        <v>1185</v>
      </c>
      <c r="B362" s="50" t="s">
        <v>183</v>
      </c>
      <c r="C362" s="50" t="s">
        <v>3802</v>
      </c>
      <c r="D362" s="50" t="s">
        <v>1329</v>
      </c>
      <c r="E362" s="51">
        <v>800.0</v>
      </c>
      <c r="F362" s="52"/>
      <c r="G362" s="53"/>
      <c r="H362" s="55"/>
      <c r="I362" s="55"/>
      <c r="J362" s="53"/>
      <c r="K362" s="53"/>
      <c r="L362" s="55"/>
      <c r="M362" s="53"/>
      <c r="N362" s="74"/>
      <c r="O362" s="57" t="str">
        <f t="shared" si="1"/>
        <v>SOBRESTOCK — 11.5 meses de cobertura</v>
      </c>
      <c r="P362" s="58">
        <f t="shared" si="2"/>
        <v>800</v>
      </c>
      <c r="Q362" s="1"/>
      <c r="R362" s="1"/>
      <c r="S362" s="1"/>
      <c r="T362" s="1"/>
      <c r="U362" s="1"/>
      <c r="V362" s="1"/>
      <c r="W362" s="1"/>
      <c r="X362" s="60">
        <f>IFERROR(VLOOKUP($A362,Ventas!$A$2:$L$5000,12,FALSE()),"")</f>
        <v>69.625</v>
      </c>
      <c r="Y362" s="60">
        <f t="shared" si="3"/>
        <v>279</v>
      </c>
      <c r="Z362" s="61">
        <f t="shared" si="4"/>
        <v>11.5</v>
      </c>
      <c r="AA362" s="60">
        <f t="shared" si="5"/>
        <v>-521</v>
      </c>
      <c r="AB362" s="62" t="str">
        <f t="shared" si="6"/>
        <v/>
      </c>
      <c r="AC362" s="62" t="str">
        <f t="array" ref="AC362">IF(AH362&lt;&gt;"COMPRAR","",IF(MAX(INDEX(Ventas!$G$2:$G$5000,MATCH($A362,Ventas!$A$2:$A$5000,0)),INDEX(Ventas!$H$2:$H$5000,MATCH($A362,Ventas!$A$2:$A$5000,0)),INDEX(Ventas!$I$2:$I$5000,MATCH($A362,Ventas!$A$2:$A$5000,0)),INDEX(Ventas!$J$2:$J$5000,MATCH($A362,Ventas!$A$2:$A$5000,0)))&gt;0.5*AF362*4,"1 mes = "&amp;TEXT(MAX(INDEX(Ventas!$G$2:$G$5000,MATCH($A362,Ventas!$A$2:$A$5000,0)),INDEX(Ventas!$H$2:$H$5000,MATCH($A362,Ventas!$A$2:$A$5000,0)),INDEX(Ventas!$I$2:$I$5000,MATCH($A362,Ventas!$A$2:$A$5000,0)),INDEX(Ventas!$J$2:$J$5000,MATCH($A362,Ventas!$A$2:$A$5000,0)))/(AF362*4),"0%")&amp;" de 4 meses",""))</f>
        <v/>
      </c>
      <c r="AD362" s="62" t="str">
        <f t="shared" si="7"/>
        <v/>
      </c>
      <c r="AE362" s="62" t="str">
        <f t="array" ref="AE362">IF(X362="","",IF(AND(E362=0,AVERAGE(INDEX(Ventas!$C$2:$I$5000,MATCH($A362,Ventas!$A$2:$A$5000,0),0))&gt;0,INDEX(Ventas!$J$2:$J$5000,MATCH($A362,Ventas!$A$2:$A$5000,0))&lt;0.5*AVERAGE(INDEX(Ventas!$C$2:$I$5000,MATCH($A362,Ventas!$A$2:$A$5000,0),0))),"SÍ — stock 0 y Sep cayó (prom Feb-Ago "&amp;TEXT(AVERAGE(INDEX(Ventas!$C$2:$I$5000,MATCH($A362,Ventas!$A$2:$A$5000,0),0)),"#,##0")&amp;")",""))</f>
        <v/>
      </c>
      <c r="AF362" s="60">
        <f t="array" ref="AF362">IF(X362="","",IF(AE362&lt;&gt;"",MAX(X362,AVERAGE(INDEX(Ventas!$C$2:$I$5000,MATCH($A362,Ventas!$A$2:$A$5000,0),0))),X362))</f>
        <v>69.625</v>
      </c>
      <c r="AG362" s="60">
        <f t="shared" si="8"/>
        <v>-521</v>
      </c>
      <c r="AH362" s="63" t="str">
        <f t="shared" si="9"/>
        <v>SOBRESTOCK</v>
      </c>
    </row>
    <row r="363" ht="13.5" customHeight="1">
      <c r="A363" s="64" t="s">
        <v>1183</v>
      </c>
      <c r="B363" s="65" t="s">
        <v>183</v>
      </c>
      <c r="C363" s="65" t="s">
        <v>3802</v>
      </c>
      <c r="D363" s="65" t="s">
        <v>336</v>
      </c>
      <c r="E363" s="51">
        <v>47.0</v>
      </c>
      <c r="F363" s="66"/>
      <c r="G363" s="53"/>
      <c r="H363" s="55"/>
      <c r="I363" s="55"/>
      <c r="J363" s="53"/>
      <c r="K363" s="53"/>
      <c r="L363" s="55"/>
      <c r="M363" s="53"/>
      <c r="N363" s="73"/>
      <c r="O363" s="57" t="str">
        <f t="shared" si="1"/>
        <v>SIN VENTAS Jun-Sep — no comprar (47 m disponibles)</v>
      </c>
      <c r="P363" s="58">
        <f t="shared" si="2"/>
        <v>47</v>
      </c>
      <c r="Q363" s="1"/>
      <c r="R363" s="1"/>
      <c r="S363" s="1"/>
      <c r="T363" s="1"/>
      <c r="U363" s="1"/>
      <c r="V363" s="1"/>
      <c r="W363" s="1"/>
      <c r="X363" s="60">
        <f>IFERROR(VLOOKUP($A363,Ventas!$A$2:$L$5000,12,FALSE()),"")</f>
        <v>0</v>
      </c>
      <c r="Y363" s="60">
        <f t="shared" si="3"/>
        <v>0</v>
      </c>
      <c r="Z363" s="61" t="str">
        <f t="shared" si="4"/>
        <v/>
      </c>
      <c r="AA363" s="60">
        <f t="shared" si="5"/>
        <v>-47</v>
      </c>
      <c r="AB363" s="62" t="str">
        <f t="shared" si="6"/>
        <v/>
      </c>
      <c r="AC363" s="62" t="str">
        <f t="array" ref="AC363">IF(AH363&lt;&gt;"COMPRAR","",IF(MAX(INDEX(Ventas!$G$2:$G$5000,MATCH($A363,Ventas!$A$2:$A$5000,0)),INDEX(Ventas!$H$2:$H$5000,MATCH($A363,Ventas!$A$2:$A$5000,0)),INDEX(Ventas!$I$2:$I$5000,MATCH($A363,Ventas!$A$2:$A$5000,0)),INDEX(Ventas!$J$2:$J$5000,MATCH($A363,Ventas!$A$2:$A$5000,0)))&gt;0.5*AF363*4,"1 mes = "&amp;TEXT(MAX(INDEX(Ventas!$G$2:$G$5000,MATCH($A363,Ventas!$A$2:$A$5000,0)),INDEX(Ventas!$H$2:$H$5000,MATCH($A363,Ventas!$A$2:$A$5000,0)),INDEX(Ventas!$I$2:$I$5000,MATCH($A363,Ventas!$A$2:$A$5000,0)),INDEX(Ventas!$J$2:$J$5000,MATCH($A363,Ventas!$A$2:$A$5000,0)))/(AF363*4),"0%")&amp;" de 4 meses",""))</f>
        <v/>
      </c>
      <c r="AD363" s="62" t="str">
        <f t="shared" si="7"/>
        <v/>
      </c>
      <c r="AE363" s="62" t="str">
        <f t="array" ref="AE363">IF(X363="","",IF(AND(E363=0,AVERAGE(INDEX(Ventas!$C$2:$I$5000,MATCH($A363,Ventas!$A$2:$A$5000,0),0))&gt;0,INDEX(Ventas!$J$2:$J$5000,MATCH($A363,Ventas!$A$2:$A$5000,0))&lt;0.5*AVERAGE(INDEX(Ventas!$C$2:$I$5000,MATCH($A363,Ventas!$A$2:$A$5000,0),0))),"SÍ — stock 0 y Sep cayó (prom Feb-Ago "&amp;TEXT(AVERAGE(INDEX(Ventas!$C$2:$I$5000,MATCH($A363,Ventas!$A$2:$A$5000,0),0)),"#,##0")&amp;")",""))</f>
        <v/>
      </c>
      <c r="AF363" s="60">
        <f t="array" ref="AF363">IF(X363="","",IF(AE363&lt;&gt;"",MAX(X363,AVERAGE(INDEX(Ventas!$C$2:$I$5000,MATCH($A363,Ventas!$A$2:$A$5000,0),0))),X363))</f>
        <v>0</v>
      </c>
      <c r="AG363" s="60">
        <f t="shared" si="8"/>
        <v>-47</v>
      </c>
      <c r="AH363" s="63" t="str">
        <f t="shared" si="9"/>
        <v>SIN VENTAS</v>
      </c>
    </row>
    <row r="364" ht="13.5" customHeight="1">
      <c r="A364" s="49" t="s">
        <v>3518</v>
      </c>
      <c r="B364" s="50" t="s">
        <v>183</v>
      </c>
      <c r="C364" s="50" t="s">
        <v>3803</v>
      </c>
      <c r="D364" s="50" t="s">
        <v>1329</v>
      </c>
      <c r="E364" s="51">
        <v>1200.0</v>
      </c>
      <c r="F364" s="52"/>
      <c r="G364" s="53"/>
      <c r="H364" s="55"/>
      <c r="I364" s="55"/>
      <c r="J364" s="53"/>
      <c r="K364" s="53"/>
      <c r="L364" s="55"/>
      <c r="M364" s="53"/>
      <c r="N364" s="74"/>
      <c r="O364" s="57" t="str">
        <f t="shared" si="1"/>
        <v>SOBRESTOCK — 24.0 meses de cobertura</v>
      </c>
      <c r="P364" s="58">
        <f t="shared" si="2"/>
        <v>1200</v>
      </c>
      <c r="Q364" s="1"/>
      <c r="R364" s="1"/>
      <c r="S364" s="1"/>
      <c r="T364" s="1"/>
      <c r="U364" s="1"/>
      <c r="V364" s="1"/>
      <c r="W364" s="1"/>
      <c r="X364" s="60">
        <f>IFERROR(VLOOKUP($A364,Ventas!$A$2:$L$5000,12,FALSE()),"")</f>
        <v>50</v>
      </c>
      <c r="Y364" s="60">
        <f t="shared" si="3"/>
        <v>200</v>
      </c>
      <c r="Z364" s="61">
        <f t="shared" si="4"/>
        <v>24</v>
      </c>
      <c r="AA364" s="60">
        <f t="shared" si="5"/>
        <v>-1000</v>
      </c>
      <c r="AB364" s="62" t="str">
        <f t="shared" si="6"/>
        <v/>
      </c>
      <c r="AC364" s="62" t="str">
        <f t="array" ref="AC364">IF(AH364&lt;&gt;"COMPRAR","",IF(MAX(INDEX(Ventas!$G$2:$G$5000,MATCH($A364,Ventas!$A$2:$A$5000,0)),INDEX(Ventas!$H$2:$H$5000,MATCH($A364,Ventas!$A$2:$A$5000,0)),INDEX(Ventas!$I$2:$I$5000,MATCH($A364,Ventas!$A$2:$A$5000,0)),INDEX(Ventas!$J$2:$J$5000,MATCH($A364,Ventas!$A$2:$A$5000,0)))&gt;0.5*AF364*4,"1 mes = "&amp;TEXT(MAX(INDEX(Ventas!$G$2:$G$5000,MATCH($A364,Ventas!$A$2:$A$5000,0)),INDEX(Ventas!$H$2:$H$5000,MATCH($A364,Ventas!$A$2:$A$5000,0)),INDEX(Ventas!$I$2:$I$5000,MATCH($A364,Ventas!$A$2:$A$5000,0)),INDEX(Ventas!$J$2:$J$5000,MATCH($A364,Ventas!$A$2:$A$5000,0)))/(AF364*4),"0%")&amp;" de 4 meses",""))</f>
        <v/>
      </c>
      <c r="AD364" s="62" t="str">
        <f t="shared" si="7"/>
        <v/>
      </c>
      <c r="AE364" s="62" t="str">
        <f t="array" ref="AE364">IF(X364="","",IF(AND(E364=0,AVERAGE(INDEX(Ventas!$C$2:$I$5000,MATCH($A364,Ventas!$A$2:$A$5000,0),0))&gt;0,INDEX(Ventas!$J$2:$J$5000,MATCH($A364,Ventas!$A$2:$A$5000,0))&lt;0.5*AVERAGE(INDEX(Ventas!$C$2:$I$5000,MATCH($A364,Ventas!$A$2:$A$5000,0),0))),"SÍ — stock 0 y Sep cayó (prom Feb-Ago "&amp;TEXT(AVERAGE(INDEX(Ventas!$C$2:$I$5000,MATCH($A364,Ventas!$A$2:$A$5000,0),0)),"#,##0")&amp;")",""))</f>
        <v/>
      </c>
      <c r="AF364" s="60">
        <f t="array" ref="AF364">IF(X364="","",IF(AE364&lt;&gt;"",MAX(X364,AVERAGE(INDEX(Ventas!$C$2:$I$5000,MATCH($A364,Ventas!$A$2:$A$5000,0),0))),X364))</f>
        <v>50</v>
      </c>
      <c r="AG364" s="60">
        <f t="shared" si="8"/>
        <v>-1000</v>
      </c>
      <c r="AH364" s="63" t="str">
        <f t="shared" si="9"/>
        <v>SOBRESTOCK</v>
      </c>
    </row>
    <row r="365" ht="13.5" customHeight="1">
      <c r="A365" s="64" t="s">
        <v>3520</v>
      </c>
      <c r="B365" s="65" t="s">
        <v>183</v>
      </c>
      <c r="C365" s="65" t="s">
        <v>3803</v>
      </c>
      <c r="D365" s="65" t="s">
        <v>3758</v>
      </c>
      <c r="E365" s="51">
        <v>79.0</v>
      </c>
      <c r="F365" s="66"/>
      <c r="G365" s="53"/>
      <c r="H365" s="55"/>
      <c r="I365" s="55"/>
      <c r="J365" s="53"/>
      <c r="K365" s="53"/>
      <c r="L365" s="55"/>
      <c r="M365" s="53"/>
      <c r="N365" s="73"/>
      <c r="O365" s="57" t="str">
        <f t="shared" si="1"/>
        <v>COMPRAR — faltan 39 m para 4 meses</v>
      </c>
      <c r="P365" s="58">
        <f t="shared" si="2"/>
        <v>79</v>
      </c>
      <c r="Q365" s="1"/>
      <c r="R365" s="1"/>
      <c r="S365" s="1"/>
      <c r="T365" s="1"/>
      <c r="U365" s="1"/>
      <c r="V365" s="1"/>
      <c r="W365" s="1"/>
      <c r="X365" s="60">
        <f>IFERROR(VLOOKUP($A365,Ventas!$A$2:$L$5000,12,FALSE()),"")</f>
        <v>29.5</v>
      </c>
      <c r="Y365" s="60">
        <f t="shared" si="3"/>
        <v>118</v>
      </c>
      <c r="Z365" s="61">
        <f t="shared" si="4"/>
        <v>2.7</v>
      </c>
      <c r="AA365" s="60">
        <f t="shared" si="5"/>
        <v>39</v>
      </c>
      <c r="AB365" s="62" t="str">
        <f t="shared" si="6"/>
        <v/>
      </c>
      <c r="AC365" s="62" t="str">
        <f t="array" ref="AC365">IF(AH365&lt;&gt;"COMPRAR","",IF(MAX(INDEX(Ventas!$G$2:$G$5000,MATCH($A365,Ventas!$A$2:$A$5000,0)),INDEX(Ventas!$H$2:$H$5000,MATCH($A365,Ventas!$A$2:$A$5000,0)),INDEX(Ventas!$I$2:$I$5000,MATCH($A365,Ventas!$A$2:$A$5000,0)),INDEX(Ventas!$J$2:$J$5000,MATCH($A365,Ventas!$A$2:$A$5000,0)))&gt;0.5*AF365*4,"1 mes = "&amp;TEXT(MAX(INDEX(Ventas!$G$2:$G$5000,MATCH($A365,Ventas!$A$2:$A$5000,0)),INDEX(Ventas!$H$2:$H$5000,MATCH($A365,Ventas!$A$2:$A$5000,0)),INDEX(Ventas!$I$2:$I$5000,MATCH($A365,Ventas!$A$2:$A$5000,0)),INDEX(Ventas!$J$2:$J$5000,MATCH($A365,Ventas!$A$2:$A$5000,0)))/(AF365*4),"0%")&amp;" de 4 meses",""))</f>
        <v>1 mes = 58% de 4 meses</v>
      </c>
      <c r="AD365" s="62" t="str">
        <f t="shared" si="7"/>
        <v/>
      </c>
      <c r="AE365" s="62" t="str">
        <f t="array" ref="AE365">IF(X365="","",IF(AND(E365=0,AVERAGE(INDEX(Ventas!$C$2:$I$5000,MATCH($A365,Ventas!$A$2:$A$5000,0),0))&gt;0,INDEX(Ventas!$J$2:$J$5000,MATCH($A365,Ventas!$A$2:$A$5000,0))&lt;0.5*AVERAGE(INDEX(Ventas!$C$2:$I$5000,MATCH($A365,Ventas!$A$2:$A$5000,0),0))),"SÍ — stock 0 y Sep cayó (prom Feb-Ago "&amp;TEXT(AVERAGE(INDEX(Ventas!$C$2:$I$5000,MATCH($A365,Ventas!$A$2:$A$5000,0),0)),"#,##0")&amp;")",""))</f>
        <v/>
      </c>
      <c r="AF365" s="60">
        <f t="array" ref="AF365">IF(X365="","",IF(AE365&lt;&gt;"",MAX(X365,AVERAGE(INDEX(Ventas!$C$2:$I$5000,MATCH($A365,Ventas!$A$2:$A$5000,0),0))),X365))</f>
        <v>29.5</v>
      </c>
      <c r="AG365" s="60">
        <f t="shared" si="8"/>
        <v>39</v>
      </c>
      <c r="AH365" s="63" t="str">
        <f t="shared" si="9"/>
        <v>COMPRAR</v>
      </c>
    </row>
    <row r="366" ht="13.5" customHeight="1">
      <c r="A366" s="49" t="s">
        <v>3522</v>
      </c>
      <c r="B366" s="50" t="s">
        <v>183</v>
      </c>
      <c r="C366" s="50" t="s">
        <v>3803</v>
      </c>
      <c r="D366" s="50" t="s">
        <v>3756</v>
      </c>
      <c r="E366" s="51">
        <v>503.0</v>
      </c>
      <c r="F366" s="52"/>
      <c r="G366" s="53"/>
      <c r="H366" s="55"/>
      <c r="I366" s="55"/>
      <c r="J366" s="53"/>
      <c r="K366" s="53"/>
      <c r="L366" s="55"/>
      <c r="M366" s="53"/>
      <c r="N366" s="74"/>
      <c r="O366" s="57" t="str">
        <f t="shared" si="1"/>
        <v>SIN VENTAS Jun-Sep — no comprar (503 m disponibles)</v>
      </c>
      <c r="P366" s="58">
        <f t="shared" si="2"/>
        <v>503</v>
      </c>
      <c r="Q366" s="1"/>
      <c r="R366" s="1"/>
      <c r="S366" s="1"/>
      <c r="T366" s="1"/>
      <c r="U366" s="1"/>
      <c r="V366" s="1"/>
      <c r="W366" s="1"/>
      <c r="X366" s="60">
        <f>IFERROR(VLOOKUP($A366,Ventas!$A$2:$L$5000,12,FALSE()),"")</f>
        <v>0</v>
      </c>
      <c r="Y366" s="60">
        <f t="shared" si="3"/>
        <v>0</v>
      </c>
      <c r="Z366" s="61" t="str">
        <f t="shared" si="4"/>
        <v/>
      </c>
      <c r="AA366" s="60">
        <f t="shared" si="5"/>
        <v>-503</v>
      </c>
      <c r="AB366" s="62" t="str">
        <f t="shared" si="6"/>
        <v/>
      </c>
      <c r="AC366" s="62" t="str">
        <f t="array" ref="AC366">IF(AH366&lt;&gt;"COMPRAR","",IF(MAX(INDEX(Ventas!$G$2:$G$5000,MATCH($A366,Ventas!$A$2:$A$5000,0)),INDEX(Ventas!$H$2:$H$5000,MATCH($A366,Ventas!$A$2:$A$5000,0)),INDEX(Ventas!$I$2:$I$5000,MATCH($A366,Ventas!$A$2:$A$5000,0)),INDEX(Ventas!$J$2:$J$5000,MATCH($A366,Ventas!$A$2:$A$5000,0)))&gt;0.5*AF366*4,"1 mes = "&amp;TEXT(MAX(INDEX(Ventas!$G$2:$G$5000,MATCH($A366,Ventas!$A$2:$A$5000,0)),INDEX(Ventas!$H$2:$H$5000,MATCH($A366,Ventas!$A$2:$A$5000,0)),INDEX(Ventas!$I$2:$I$5000,MATCH($A366,Ventas!$A$2:$A$5000,0)),INDEX(Ventas!$J$2:$J$5000,MATCH($A366,Ventas!$A$2:$A$5000,0)))/(AF366*4),"0%")&amp;" de 4 meses",""))</f>
        <v/>
      </c>
      <c r="AD366" s="62" t="str">
        <f t="shared" si="7"/>
        <v/>
      </c>
      <c r="AE366" s="62" t="str">
        <f t="array" ref="AE366">IF(X366="","",IF(AND(E366=0,AVERAGE(INDEX(Ventas!$C$2:$I$5000,MATCH($A366,Ventas!$A$2:$A$5000,0),0))&gt;0,INDEX(Ventas!$J$2:$J$5000,MATCH($A366,Ventas!$A$2:$A$5000,0))&lt;0.5*AVERAGE(INDEX(Ventas!$C$2:$I$5000,MATCH($A366,Ventas!$A$2:$A$5000,0),0))),"SÍ — stock 0 y Sep cayó (prom Feb-Ago "&amp;TEXT(AVERAGE(INDEX(Ventas!$C$2:$I$5000,MATCH($A366,Ventas!$A$2:$A$5000,0),0)),"#,##0")&amp;")",""))</f>
        <v/>
      </c>
      <c r="AF366" s="60">
        <f t="array" ref="AF366">IF(X366="","",IF(AE366&lt;&gt;"",MAX(X366,AVERAGE(INDEX(Ventas!$C$2:$I$5000,MATCH($A366,Ventas!$A$2:$A$5000,0),0))),X366))</f>
        <v>0</v>
      </c>
      <c r="AG366" s="60">
        <f t="shared" si="8"/>
        <v>-503</v>
      </c>
      <c r="AH366" s="63" t="str">
        <f t="shared" si="9"/>
        <v>SIN VENTAS</v>
      </c>
    </row>
    <row r="367" ht="13.5" customHeight="1">
      <c r="A367" s="64" t="s">
        <v>1179</v>
      </c>
      <c r="B367" s="65" t="s">
        <v>183</v>
      </c>
      <c r="C367" s="65" t="s">
        <v>3804</v>
      </c>
      <c r="D367" s="65" t="s">
        <v>1329</v>
      </c>
      <c r="E367" s="51">
        <v>50.0</v>
      </c>
      <c r="F367" s="66"/>
      <c r="G367" s="53"/>
      <c r="H367" s="55"/>
      <c r="I367" s="55"/>
      <c r="J367" s="53"/>
      <c r="K367" s="53"/>
      <c r="L367" s="55"/>
      <c r="M367" s="53"/>
      <c r="N367" s="73"/>
      <c r="O367" s="57" t="str">
        <f t="shared" si="1"/>
        <v>COMPRAR — faltan 100 m para 4 meses</v>
      </c>
      <c r="P367" s="58">
        <f t="shared" si="2"/>
        <v>50</v>
      </c>
      <c r="Q367" s="1"/>
      <c r="R367" s="1"/>
      <c r="S367" s="1"/>
      <c r="T367" s="1"/>
      <c r="U367" s="1"/>
      <c r="V367" s="1"/>
      <c r="W367" s="1"/>
      <c r="X367" s="60">
        <f>IFERROR(VLOOKUP($A367,Ventas!$A$2:$L$5000,12,FALSE()),"")</f>
        <v>37.5</v>
      </c>
      <c r="Y367" s="60">
        <f t="shared" si="3"/>
        <v>150</v>
      </c>
      <c r="Z367" s="61">
        <f t="shared" si="4"/>
        <v>1.3</v>
      </c>
      <c r="AA367" s="60">
        <f t="shared" si="5"/>
        <v>100</v>
      </c>
      <c r="AB367" s="62" t="str">
        <f t="shared" si="6"/>
        <v/>
      </c>
      <c r="AC367" s="62" t="str">
        <f t="array" ref="AC367">IF(AH367&lt;&gt;"COMPRAR","",IF(MAX(INDEX(Ventas!$G$2:$G$5000,MATCH($A367,Ventas!$A$2:$A$5000,0)),INDEX(Ventas!$H$2:$H$5000,MATCH($A367,Ventas!$A$2:$A$5000,0)),INDEX(Ventas!$I$2:$I$5000,MATCH($A367,Ventas!$A$2:$A$5000,0)),INDEX(Ventas!$J$2:$J$5000,MATCH($A367,Ventas!$A$2:$A$5000,0)))&gt;0.5*AF367*4,"1 mes = "&amp;TEXT(MAX(INDEX(Ventas!$G$2:$G$5000,MATCH($A367,Ventas!$A$2:$A$5000,0)),INDEX(Ventas!$H$2:$H$5000,MATCH($A367,Ventas!$A$2:$A$5000,0)),INDEX(Ventas!$I$2:$I$5000,MATCH($A367,Ventas!$A$2:$A$5000,0)),INDEX(Ventas!$J$2:$J$5000,MATCH($A367,Ventas!$A$2:$A$5000,0)))/(AF367*4),"0%")&amp;" de 4 meses",""))</f>
        <v>1 mes = 100% de 4 meses</v>
      </c>
      <c r="AD367" s="62" t="str">
        <f t="shared" si="7"/>
        <v/>
      </c>
      <c r="AE367" s="62" t="str">
        <f t="array" ref="AE367">IF(X367="","",IF(AND(E367=0,AVERAGE(INDEX(Ventas!$C$2:$I$5000,MATCH($A367,Ventas!$A$2:$A$5000,0),0))&gt;0,INDEX(Ventas!$J$2:$J$5000,MATCH($A367,Ventas!$A$2:$A$5000,0))&lt;0.5*AVERAGE(INDEX(Ventas!$C$2:$I$5000,MATCH($A367,Ventas!$A$2:$A$5000,0),0))),"SÍ — stock 0 y Sep cayó (prom Feb-Ago "&amp;TEXT(AVERAGE(INDEX(Ventas!$C$2:$I$5000,MATCH($A367,Ventas!$A$2:$A$5000,0),0)),"#,##0")&amp;")",""))</f>
        <v/>
      </c>
      <c r="AF367" s="60">
        <f t="array" ref="AF367">IF(X367="","",IF(AE367&lt;&gt;"",MAX(X367,AVERAGE(INDEX(Ventas!$C$2:$I$5000,MATCH($A367,Ventas!$A$2:$A$5000,0),0))),X367))</f>
        <v>37.5</v>
      </c>
      <c r="AG367" s="60">
        <f t="shared" si="8"/>
        <v>100</v>
      </c>
      <c r="AH367" s="63" t="str">
        <f t="shared" si="9"/>
        <v>COMPRAR</v>
      </c>
    </row>
    <row r="368" ht="13.5" customHeight="1">
      <c r="A368" s="49" t="s">
        <v>1177</v>
      </c>
      <c r="B368" s="50" t="s">
        <v>183</v>
      </c>
      <c r="C368" s="50" t="s">
        <v>3804</v>
      </c>
      <c r="D368" s="50" t="s">
        <v>336</v>
      </c>
      <c r="E368" s="51">
        <v>804.0</v>
      </c>
      <c r="F368" s="52"/>
      <c r="G368" s="53"/>
      <c r="H368" s="55"/>
      <c r="I368" s="55"/>
      <c r="J368" s="53"/>
      <c r="K368" s="53"/>
      <c r="L368" s="55"/>
      <c r="M368" s="53"/>
      <c r="N368" s="74"/>
      <c r="O368" s="57" t="str">
        <f t="shared" si="1"/>
        <v>SIN VENTAS Jun-Sep — no comprar (804 m disponibles)</v>
      </c>
      <c r="P368" s="58">
        <f t="shared" si="2"/>
        <v>804</v>
      </c>
      <c r="Q368" s="1"/>
      <c r="R368" s="1"/>
      <c r="S368" s="1"/>
      <c r="T368" s="1"/>
      <c r="U368" s="1"/>
      <c r="V368" s="1"/>
      <c r="W368" s="1"/>
      <c r="X368" s="60">
        <f>IFERROR(VLOOKUP($A368,Ventas!$A$2:$L$5000,12,FALSE()),"")</f>
        <v>0</v>
      </c>
      <c r="Y368" s="60">
        <f t="shared" si="3"/>
        <v>0</v>
      </c>
      <c r="Z368" s="61" t="str">
        <f t="shared" si="4"/>
        <v/>
      </c>
      <c r="AA368" s="60">
        <f t="shared" si="5"/>
        <v>-804</v>
      </c>
      <c r="AB368" s="62" t="str">
        <f t="shared" si="6"/>
        <v/>
      </c>
      <c r="AC368" s="62" t="str">
        <f t="array" ref="AC368">IF(AH368&lt;&gt;"COMPRAR","",IF(MAX(INDEX(Ventas!$G$2:$G$5000,MATCH($A368,Ventas!$A$2:$A$5000,0)),INDEX(Ventas!$H$2:$H$5000,MATCH($A368,Ventas!$A$2:$A$5000,0)),INDEX(Ventas!$I$2:$I$5000,MATCH($A368,Ventas!$A$2:$A$5000,0)),INDEX(Ventas!$J$2:$J$5000,MATCH($A368,Ventas!$A$2:$A$5000,0)))&gt;0.5*AF368*4,"1 mes = "&amp;TEXT(MAX(INDEX(Ventas!$G$2:$G$5000,MATCH($A368,Ventas!$A$2:$A$5000,0)),INDEX(Ventas!$H$2:$H$5000,MATCH($A368,Ventas!$A$2:$A$5000,0)),INDEX(Ventas!$I$2:$I$5000,MATCH($A368,Ventas!$A$2:$A$5000,0)),INDEX(Ventas!$J$2:$J$5000,MATCH($A368,Ventas!$A$2:$A$5000,0)))/(AF368*4),"0%")&amp;" de 4 meses",""))</f>
        <v/>
      </c>
      <c r="AD368" s="62" t="str">
        <f t="shared" si="7"/>
        <v/>
      </c>
      <c r="AE368" s="62" t="str">
        <f t="array" ref="AE368">IF(X368="","",IF(AND(E368=0,AVERAGE(INDEX(Ventas!$C$2:$I$5000,MATCH($A368,Ventas!$A$2:$A$5000,0),0))&gt;0,INDEX(Ventas!$J$2:$J$5000,MATCH($A368,Ventas!$A$2:$A$5000,0))&lt;0.5*AVERAGE(INDEX(Ventas!$C$2:$I$5000,MATCH($A368,Ventas!$A$2:$A$5000,0),0))),"SÍ — stock 0 y Sep cayó (prom Feb-Ago "&amp;TEXT(AVERAGE(INDEX(Ventas!$C$2:$I$5000,MATCH($A368,Ventas!$A$2:$A$5000,0),0)),"#,##0")&amp;")",""))</f>
        <v/>
      </c>
      <c r="AF368" s="60">
        <f t="array" ref="AF368">IF(X368="","",IF(AE368&lt;&gt;"",MAX(X368,AVERAGE(INDEX(Ventas!$C$2:$I$5000,MATCH($A368,Ventas!$A$2:$A$5000,0),0))),X368))</f>
        <v>0</v>
      </c>
      <c r="AG368" s="60">
        <f t="shared" si="8"/>
        <v>-804</v>
      </c>
      <c r="AH368" s="63" t="str">
        <f t="shared" si="9"/>
        <v>SIN VENTAS</v>
      </c>
    </row>
    <row r="369" ht="13.5" customHeight="1">
      <c r="A369" s="64" t="s">
        <v>2201</v>
      </c>
      <c r="B369" s="65" t="s">
        <v>183</v>
      </c>
      <c r="C369" s="65" t="s">
        <v>3805</v>
      </c>
      <c r="D369" s="65" t="s">
        <v>1329</v>
      </c>
      <c r="E369" s="51">
        <v>1237.0</v>
      </c>
      <c r="F369" s="66"/>
      <c r="G369" s="53"/>
      <c r="H369" s="55"/>
      <c r="I369" s="55"/>
      <c r="J369" s="53"/>
      <c r="K369" s="53"/>
      <c r="L369" s="55"/>
      <c r="M369" s="53"/>
      <c r="N369" s="73"/>
      <c r="O369" s="57" t="str">
        <f t="shared" si="1"/>
        <v>SIN VENTAS Jun-Sep — no comprar (1,237 m disponibles)</v>
      </c>
      <c r="P369" s="58">
        <f t="shared" si="2"/>
        <v>1237</v>
      </c>
      <c r="Q369" s="1"/>
      <c r="R369" s="1"/>
      <c r="S369" s="1"/>
      <c r="T369" s="1"/>
      <c r="U369" s="1"/>
      <c r="V369" s="1"/>
      <c r="W369" s="1"/>
      <c r="X369" s="60">
        <f>IFERROR(VLOOKUP($A369,Ventas!$A$2:$L$5000,12,FALSE()),"")</f>
        <v>0</v>
      </c>
      <c r="Y369" s="60">
        <f t="shared" si="3"/>
        <v>0</v>
      </c>
      <c r="Z369" s="61" t="str">
        <f t="shared" si="4"/>
        <v/>
      </c>
      <c r="AA369" s="60">
        <f t="shared" si="5"/>
        <v>-1237</v>
      </c>
      <c r="AB369" s="62" t="str">
        <f t="shared" si="6"/>
        <v/>
      </c>
      <c r="AC369" s="62" t="str">
        <f t="array" ref="AC369">IF(AH369&lt;&gt;"COMPRAR","",IF(MAX(INDEX(Ventas!$G$2:$G$5000,MATCH($A369,Ventas!$A$2:$A$5000,0)),INDEX(Ventas!$H$2:$H$5000,MATCH($A369,Ventas!$A$2:$A$5000,0)),INDEX(Ventas!$I$2:$I$5000,MATCH($A369,Ventas!$A$2:$A$5000,0)),INDEX(Ventas!$J$2:$J$5000,MATCH($A369,Ventas!$A$2:$A$5000,0)))&gt;0.5*AF369*4,"1 mes = "&amp;TEXT(MAX(INDEX(Ventas!$G$2:$G$5000,MATCH($A369,Ventas!$A$2:$A$5000,0)),INDEX(Ventas!$H$2:$H$5000,MATCH($A369,Ventas!$A$2:$A$5000,0)),INDEX(Ventas!$I$2:$I$5000,MATCH($A369,Ventas!$A$2:$A$5000,0)),INDEX(Ventas!$J$2:$J$5000,MATCH($A369,Ventas!$A$2:$A$5000,0)))/(AF369*4),"0%")&amp;" de 4 meses",""))</f>
        <v/>
      </c>
      <c r="AD369" s="62" t="str">
        <f t="shared" si="7"/>
        <v/>
      </c>
      <c r="AE369" s="62" t="str">
        <f t="array" ref="AE369">IF(X369="","",IF(AND(E369=0,AVERAGE(INDEX(Ventas!$C$2:$I$5000,MATCH($A369,Ventas!$A$2:$A$5000,0),0))&gt;0,INDEX(Ventas!$J$2:$J$5000,MATCH($A369,Ventas!$A$2:$A$5000,0))&lt;0.5*AVERAGE(INDEX(Ventas!$C$2:$I$5000,MATCH($A369,Ventas!$A$2:$A$5000,0),0))),"SÍ — stock 0 y Sep cayó (prom Feb-Ago "&amp;TEXT(AVERAGE(INDEX(Ventas!$C$2:$I$5000,MATCH($A369,Ventas!$A$2:$A$5000,0),0)),"#,##0")&amp;")",""))</f>
        <v/>
      </c>
      <c r="AF369" s="60">
        <f t="array" ref="AF369">IF(X369="","",IF(AE369&lt;&gt;"",MAX(X369,AVERAGE(INDEX(Ventas!$C$2:$I$5000,MATCH($A369,Ventas!$A$2:$A$5000,0),0))),X369))</f>
        <v>0</v>
      </c>
      <c r="AG369" s="60">
        <f t="shared" si="8"/>
        <v>-1237</v>
      </c>
      <c r="AH369" s="63" t="str">
        <f t="shared" si="9"/>
        <v>SIN VENTAS</v>
      </c>
    </row>
    <row r="370" ht="13.5" customHeight="1">
      <c r="A370" s="49" t="s">
        <v>2197</v>
      </c>
      <c r="B370" s="50" t="s">
        <v>183</v>
      </c>
      <c r="C370" s="50" t="s">
        <v>3805</v>
      </c>
      <c r="D370" s="50" t="s">
        <v>3725</v>
      </c>
      <c r="E370" s="51">
        <v>257.0</v>
      </c>
      <c r="F370" s="52"/>
      <c r="G370" s="53"/>
      <c r="H370" s="55"/>
      <c r="I370" s="55"/>
      <c r="J370" s="53"/>
      <c r="K370" s="53"/>
      <c r="L370" s="55"/>
      <c r="M370" s="53"/>
      <c r="N370" s="74"/>
      <c r="O370" s="57" t="str">
        <f t="shared" si="1"/>
        <v>SIN VENTAS Jun-Sep — no comprar (257 m disponibles)</v>
      </c>
      <c r="P370" s="58">
        <f t="shared" si="2"/>
        <v>257</v>
      </c>
      <c r="Q370" s="1"/>
      <c r="R370" s="1"/>
      <c r="S370" s="1"/>
      <c r="T370" s="1"/>
      <c r="U370" s="1"/>
      <c r="V370" s="1"/>
      <c r="W370" s="1"/>
      <c r="X370" s="60">
        <f>IFERROR(VLOOKUP($A370,Ventas!$A$2:$L$5000,12,FALSE()),"")</f>
        <v>0</v>
      </c>
      <c r="Y370" s="60">
        <f t="shared" si="3"/>
        <v>0</v>
      </c>
      <c r="Z370" s="61" t="str">
        <f t="shared" si="4"/>
        <v/>
      </c>
      <c r="AA370" s="60">
        <f t="shared" si="5"/>
        <v>-257</v>
      </c>
      <c r="AB370" s="62" t="str">
        <f t="shared" si="6"/>
        <v/>
      </c>
      <c r="AC370" s="62" t="str">
        <f t="array" ref="AC370">IF(AH370&lt;&gt;"COMPRAR","",IF(MAX(INDEX(Ventas!$G$2:$G$5000,MATCH($A370,Ventas!$A$2:$A$5000,0)),INDEX(Ventas!$H$2:$H$5000,MATCH($A370,Ventas!$A$2:$A$5000,0)),INDEX(Ventas!$I$2:$I$5000,MATCH($A370,Ventas!$A$2:$A$5000,0)),INDEX(Ventas!$J$2:$J$5000,MATCH($A370,Ventas!$A$2:$A$5000,0)))&gt;0.5*AF370*4,"1 mes = "&amp;TEXT(MAX(INDEX(Ventas!$G$2:$G$5000,MATCH($A370,Ventas!$A$2:$A$5000,0)),INDEX(Ventas!$H$2:$H$5000,MATCH($A370,Ventas!$A$2:$A$5000,0)),INDEX(Ventas!$I$2:$I$5000,MATCH($A370,Ventas!$A$2:$A$5000,0)),INDEX(Ventas!$J$2:$J$5000,MATCH($A370,Ventas!$A$2:$A$5000,0)))/(AF370*4),"0%")&amp;" de 4 meses",""))</f>
        <v/>
      </c>
      <c r="AD370" s="62" t="str">
        <f t="shared" si="7"/>
        <v/>
      </c>
      <c r="AE370" s="62" t="str">
        <f t="array" ref="AE370">IF(X370="","",IF(AND(E370=0,AVERAGE(INDEX(Ventas!$C$2:$I$5000,MATCH($A370,Ventas!$A$2:$A$5000,0),0))&gt;0,INDEX(Ventas!$J$2:$J$5000,MATCH($A370,Ventas!$A$2:$A$5000,0))&lt;0.5*AVERAGE(INDEX(Ventas!$C$2:$I$5000,MATCH($A370,Ventas!$A$2:$A$5000,0),0))),"SÍ — stock 0 y Sep cayó (prom Feb-Ago "&amp;TEXT(AVERAGE(INDEX(Ventas!$C$2:$I$5000,MATCH($A370,Ventas!$A$2:$A$5000,0),0)),"#,##0")&amp;")",""))</f>
        <v/>
      </c>
      <c r="AF370" s="60">
        <f t="array" ref="AF370">IF(X370="","",IF(AE370&lt;&gt;"",MAX(X370,AVERAGE(INDEX(Ventas!$C$2:$I$5000,MATCH($A370,Ventas!$A$2:$A$5000,0),0))),X370))</f>
        <v>0</v>
      </c>
      <c r="AG370" s="60">
        <f t="shared" si="8"/>
        <v>-257</v>
      </c>
      <c r="AH370" s="63" t="str">
        <f t="shared" si="9"/>
        <v>SIN VENTAS</v>
      </c>
    </row>
    <row r="371" ht="13.5" customHeight="1">
      <c r="A371" s="64" t="s">
        <v>2199</v>
      </c>
      <c r="B371" s="65" t="s">
        <v>183</v>
      </c>
      <c r="C371" s="65" t="s">
        <v>3805</v>
      </c>
      <c r="D371" s="65" t="s">
        <v>2628</v>
      </c>
      <c r="E371" s="51">
        <v>503.0</v>
      </c>
      <c r="F371" s="66"/>
      <c r="G371" s="53"/>
      <c r="H371" s="55"/>
      <c r="I371" s="55"/>
      <c r="J371" s="53"/>
      <c r="K371" s="53"/>
      <c r="L371" s="55"/>
      <c r="M371" s="53"/>
      <c r="N371" s="73"/>
      <c r="O371" s="57" t="str">
        <f t="shared" si="1"/>
        <v>SIN VENTAS Jun-Sep — no comprar (503 m disponibles)</v>
      </c>
      <c r="P371" s="58">
        <f t="shared" si="2"/>
        <v>503</v>
      </c>
      <c r="Q371" s="1"/>
      <c r="R371" s="1"/>
      <c r="S371" s="1"/>
      <c r="T371" s="1"/>
      <c r="U371" s="1"/>
      <c r="V371" s="1"/>
      <c r="W371" s="1"/>
      <c r="X371" s="60">
        <f>IFERROR(VLOOKUP($A371,Ventas!$A$2:$L$5000,12,FALSE()),"")</f>
        <v>0</v>
      </c>
      <c r="Y371" s="60">
        <f t="shared" si="3"/>
        <v>0</v>
      </c>
      <c r="Z371" s="61" t="str">
        <f t="shared" si="4"/>
        <v/>
      </c>
      <c r="AA371" s="60">
        <f t="shared" si="5"/>
        <v>-503</v>
      </c>
      <c r="AB371" s="62" t="str">
        <f t="shared" si="6"/>
        <v/>
      </c>
      <c r="AC371" s="62" t="str">
        <f t="array" ref="AC371">IF(AH371&lt;&gt;"COMPRAR","",IF(MAX(INDEX(Ventas!$G$2:$G$5000,MATCH($A371,Ventas!$A$2:$A$5000,0)),INDEX(Ventas!$H$2:$H$5000,MATCH($A371,Ventas!$A$2:$A$5000,0)),INDEX(Ventas!$I$2:$I$5000,MATCH($A371,Ventas!$A$2:$A$5000,0)),INDEX(Ventas!$J$2:$J$5000,MATCH($A371,Ventas!$A$2:$A$5000,0)))&gt;0.5*AF371*4,"1 mes = "&amp;TEXT(MAX(INDEX(Ventas!$G$2:$G$5000,MATCH($A371,Ventas!$A$2:$A$5000,0)),INDEX(Ventas!$H$2:$H$5000,MATCH($A371,Ventas!$A$2:$A$5000,0)),INDEX(Ventas!$I$2:$I$5000,MATCH($A371,Ventas!$A$2:$A$5000,0)),INDEX(Ventas!$J$2:$J$5000,MATCH($A371,Ventas!$A$2:$A$5000,0)))/(AF371*4),"0%")&amp;" de 4 meses",""))</f>
        <v/>
      </c>
      <c r="AD371" s="62" t="str">
        <f t="shared" si="7"/>
        <v/>
      </c>
      <c r="AE371" s="62" t="str">
        <f t="array" ref="AE371">IF(X371="","",IF(AND(E371=0,AVERAGE(INDEX(Ventas!$C$2:$I$5000,MATCH($A371,Ventas!$A$2:$A$5000,0),0))&gt;0,INDEX(Ventas!$J$2:$J$5000,MATCH($A371,Ventas!$A$2:$A$5000,0))&lt;0.5*AVERAGE(INDEX(Ventas!$C$2:$I$5000,MATCH($A371,Ventas!$A$2:$A$5000,0),0))),"SÍ — stock 0 y Sep cayó (prom Feb-Ago "&amp;TEXT(AVERAGE(INDEX(Ventas!$C$2:$I$5000,MATCH($A371,Ventas!$A$2:$A$5000,0),0)),"#,##0")&amp;")",""))</f>
        <v/>
      </c>
      <c r="AF371" s="60">
        <f t="array" ref="AF371">IF(X371="","",IF(AE371&lt;&gt;"",MAX(X371,AVERAGE(INDEX(Ventas!$C$2:$I$5000,MATCH($A371,Ventas!$A$2:$A$5000,0),0))),X371))</f>
        <v>0</v>
      </c>
      <c r="AG371" s="60">
        <f t="shared" si="8"/>
        <v>-503</v>
      </c>
      <c r="AH371" s="63" t="str">
        <f t="shared" si="9"/>
        <v>SIN VENTAS</v>
      </c>
    </row>
    <row r="372" ht="13.5" customHeight="1">
      <c r="A372" s="49" t="s">
        <v>2195</v>
      </c>
      <c r="B372" s="50" t="s">
        <v>183</v>
      </c>
      <c r="C372" s="50" t="s">
        <v>3805</v>
      </c>
      <c r="D372" s="50" t="s">
        <v>2820</v>
      </c>
      <c r="E372" s="51">
        <v>350.0</v>
      </c>
      <c r="F372" s="52"/>
      <c r="G372" s="53"/>
      <c r="H372" s="55"/>
      <c r="I372" s="55"/>
      <c r="J372" s="53"/>
      <c r="K372" s="53"/>
      <c r="L372" s="55"/>
      <c r="M372" s="53"/>
      <c r="N372" s="74"/>
      <c r="O372" s="57" t="str">
        <f t="shared" si="1"/>
        <v>SOBRESTOCK — 28.0 meses de cobertura</v>
      </c>
      <c r="P372" s="58">
        <f t="shared" si="2"/>
        <v>350</v>
      </c>
      <c r="Q372" s="1"/>
      <c r="R372" s="1"/>
      <c r="S372" s="1"/>
      <c r="T372" s="1"/>
      <c r="U372" s="1"/>
      <c r="V372" s="1"/>
      <c r="W372" s="1"/>
      <c r="X372" s="60">
        <f>IFERROR(VLOOKUP($A372,Ventas!$A$2:$L$5000,12,FALSE()),"")</f>
        <v>12.5</v>
      </c>
      <c r="Y372" s="60">
        <f t="shared" si="3"/>
        <v>50</v>
      </c>
      <c r="Z372" s="61">
        <f t="shared" si="4"/>
        <v>28</v>
      </c>
      <c r="AA372" s="60">
        <f t="shared" si="5"/>
        <v>-300</v>
      </c>
      <c r="AB372" s="62" t="str">
        <f t="shared" si="6"/>
        <v/>
      </c>
      <c r="AC372" s="62" t="str">
        <f t="array" ref="AC372">IF(AH372&lt;&gt;"COMPRAR","",IF(MAX(INDEX(Ventas!$G$2:$G$5000,MATCH($A372,Ventas!$A$2:$A$5000,0)),INDEX(Ventas!$H$2:$H$5000,MATCH($A372,Ventas!$A$2:$A$5000,0)),INDEX(Ventas!$I$2:$I$5000,MATCH($A372,Ventas!$A$2:$A$5000,0)),INDEX(Ventas!$J$2:$J$5000,MATCH($A372,Ventas!$A$2:$A$5000,0)))&gt;0.5*AF372*4,"1 mes = "&amp;TEXT(MAX(INDEX(Ventas!$G$2:$G$5000,MATCH($A372,Ventas!$A$2:$A$5000,0)),INDEX(Ventas!$H$2:$H$5000,MATCH($A372,Ventas!$A$2:$A$5000,0)),INDEX(Ventas!$I$2:$I$5000,MATCH($A372,Ventas!$A$2:$A$5000,0)),INDEX(Ventas!$J$2:$J$5000,MATCH($A372,Ventas!$A$2:$A$5000,0)))/(AF372*4),"0%")&amp;" de 4 meses",""))</f>
        <v/>
      </c>
      <c r="AD372" s="62" t="str">
        <f t="shared" si="7"/>
        <v/>
      </c>
      <c r="AE372" s="62" t="str">
        <f t="array" ref="AE372">IF(X372="","",IF(AND(E372=0,AVERAGE(INDEX(Ventas!$C$2:$I$5000,MATCH($A372,Ventas!$A$2:$A$5000,0),0))&gt;0,INDEX(Ventas!$J$2:$J$5000,MATCH($A372,Ventas!$A$2:$A$5000,0))&lt;0.5*AVERAGE(INDEX(Ventas!$C$2:$I$5000,MATCH($A372,Ventas!$A$2:$A$5000,0),0))),"SÍ — stock 0 y Sep cayó (prom Feb-Ago "&amp;TEXT(AVERAGE(INDEX(Ventas!$C$2:$I$5000,MATCH($A372,Ventas!$A$2:$A$5000,0),0)),"#,##0")&amp;")",""))</f>
        <v/>
      </c>
      <c r="AF372" s="60">
        <f t="array" ref="AF372">IF(X372="","",IF(AE372&lt;&gt;"",MAX(X372,AVERAGE(INDEX(Ventas!$C$2:$I$5000,MATCH($A372,Ventas!$A$2:$A$5000,0),0))),X372))</f>
        <v>12.5</v>
      </c>
      <c r="AG372" s="60">
        <f t="shared" si="8"/>
        <v>-300</v>
      </c>
      <c r="AH372" s="63" t="str">
        <f t="shared" si="9"/>
        <v>SOBRESTOCK</v>
      </c>
    </row>
    <row r="373" ht="13.5" customHeight="1">
      <c r="A373" s="64" t="s">
        <v>2193</v>
      </c>
      <c r="B373" s="65" t="s">
        <v>183</v>
      </c>
      <c r="C373" s="65" t="s">
        <v>3805</v>
      </c>
      <c r="D373" s="65" t="s">
        <v>336</v>
      </c>
      <c r="E373" s="51">
        <v>198.0</v>
      </c>
      <c r="F373" s="66"/>
      <c r="G373" s="53"/>
      <c r="H373" s="55"/>
      <c r="I373" s="55"/>
      <c r="J373" s="53"/>
      <c r="K373" s="53"/>
      <c r="L373" s="55"/>
      <c r="M373" s="53"/>
      <c r="N373" s="73"/>
      <c r="O373" s="57" t="str">
        <f t="shared" si="1"/>
        <v>SIN VENTAS Jun-Sep — no comprar (198 m disponibles)</v>
      </c>
      <c r="P373" s="58">
        <f t="shared" si="2"/>
        <v>198</v>
      </c>
      <c r="Q373" s="1"/>
      <c r="R373" s="1"/>
      <c r="S373" s="1"/>
      <c r="T373" s="1"/>
      <c r="U373" s="1"/>
      <c r="V373" s="1"/>
      <c r="W373" s="1"/>
      <c r="X373" s="60">
        <f>IFERROR(VLOOKUP($A373,Ventas!$A$2:$L$5000,12,FALSE()),"")</f>
        <v>0</v>
      </c>
      <c r="Y373" s="60">
        <f t="shared" si="3"/>
        <v>0</v>
      </c>
      <c r="Z373" s="61" t="str">
        <f t="shared" si="4"/>
        <v/>
      </c>
      <c r="AA373" s="60">
        <f t="shared" si="5"/>
        <v>-198</v>
      </c>
      <c r="AB373" s="62" t="str">
        <f t="shared" si="6"/>
        <v/>
      </c>
      <c r="AC373" s="62" t="str">
        <f t="array" ref="AC373">IF(AH373&lt;&gt;"COMPRAR","",IF(MAX(INDEX(Ventas!$G$2:$G$5000,MATCH($A373,Ventas!$A$2:$A$5000,0)),INDEX(Ventas!$H$2:$H$5000,MATCH($A373,Ventas!$A$2:$A$5000,0)),INDEX(Ventas!$I$2:$I$5000,MATCH($A373,Ventas!$A$2:$A$5000,0)),INDEX(Ventas!$J$2:$J$5000,MATCH($A373,Ventas!$A$2:$A$5000,0)))&gt;0.5*AF373*4,"1 mes = "&amp;TEXT(MAX(INDEX(Ventas!$G$2:$G$5000,MATCH($A373,Ventas!$A$2:$A$5000,0)),INDEX(Ventas!$H$2:$H$5000,MATCH($A373,Ventas!$A$2:$A$5000,0)),INDEX(Ventas!$I$2:$I$5000,MATCH($A373,Ventas!$A$2:$A$5000,0)),INDEX(Ventas!$J$2:$J$5000,MATCH($A373,Ventas!$A$2:$A$5000,0)))/(AF373*4),"0%")&amp;" de 4 meses",""))</f>
        <v/>
      </c>
      <c r="AD373" s="62" t="str">
        <f t="shared" si="7"/>
        <v/>
      </c>
      <c r="AE373" s="62" t="str">
        <f t="array" ref="AE373">IF(X373="","",IF(AND(E373=0,AVERAGE(INDEX(Ventas!$C$2:$I$5000,MATCH($A373,Ventas!$A$2:$A$5000,0),0))&gt;0,INDEX(Ventas!$J$2:$J$5000,MATCH($A373,Ventas!$A$2:$A$5000,0))&lt;0.5*AVERAGE(INDEX(Ventas!$C$2:$I$5000,MATCH($A373,Ventas!$A$2:$A$5000,0),0))),"SÍ — stock 0 y Sep cayó (prom Feb-Ago "&amp;TEXT(AVERAGE(INDEX(Ventas!$C$2:$I$5000,MATCH($A373,Ventas!$A$2:$A$5000,0),0)),"#,##0")&amp;")",""))</f>
        <v/>
      </c>
      <c r="AF373" s="60">
        <f t="array" ref="AF373">IF(X373="","",IF(AE373&lt;&gt;"",MAX(X373,AVERAGE(INDEX(Ventas!$C$2:$I$5000,MATCH($A373,Ventas!$A$2:$A$5000,0),0))),X373))</f>
        <v>0</v>
      </c>
      <c r="AG373" s="60">
        <f t="shared" si="8"/>
        <v>-198</v>
      </c>
      <c r="AH373" s="63" t="str">
        <f t="shared" si="9"/>
        <v>SIN VENTAS</v>
      </c>
    </row>
    <row r="374" ht="13.5" customHeight="1">
      <c r="A374" s="49" t="s">
        <v>2203</v>
      </c>
      <c r="B374" s="50" t="s">
        <v>183</v>
      </c>
      <c r="C374" s="50" t="s">
        <v>3805</v>
      </c>
      <c r="D374" s="50" t="s">
        <v>2754</v>
      </c>
      <c r="E374" s="51">
        <v>306.0</v>
      </c>
      <c r="F374" s="52"/>
      <c r="G374" s="53"/>
      <c r="H374" s="55"/>
      <c r="I374" s="55"/>
      <c r="J374" s="53"/>
      <c r="K374" s="53"/>
      <c r="L374" s="55"/>
      <c r="M374" s="53"/>
      <c r="N374" s="74"/>
      <c r="O374" s="57" t="str">
        <f t="shared" si="1"/>
        <v>SIN VENTAS Jun-Sep — no comprar (306 m disponibles)</v>
      </c>
      <c r="P374" s="58">
        <f t="shared" si="2"/>
        <v>306</v>
      </c>
      <c r="Q374" s="1"/>
      <c r="R374" s="1"/>
      <c r="S374" s="1"/>
      <c r="T374" s="1"/>
      <c r="U374" s="1"/>
      <c r="V374" s="1"/>
      <c r="W374" s="1"/>
      <c r="X374" s="60">
        <f>IFERROR(VLOOKUP($A374,Ventas!$A$2:$L$5000,12,FALSE()),"")</f>
        <v>0</v>
      </c>
      <c r="Y374" s="60">
        <f t="shared" si="3"/>
        <v>0</v>
      </c>
      <c r="Z374" s="61" t="str">
        <f t="shared" si="4"/>
        <v/>
      </c>
      <c r="AA374" s="60">
        <f t="shared" si="5"/>
        <v>-306</v>
      </c>
      <c r="AB374" s="62" t="str">
        <f t="shared" si="6"/>
        <v/>
      </c>
      <c r="AC374" s="62" t="str">
        <f t="array" ref="AC374">IF(AH374&lt;&gt;"COMPRAR","",IF(MAX(INDEX(Ventas!$G$2:$G$5000,MATCH($A374,Ventas!$A$2:$A$5000,0)),INDEX(Ventas!$H$2:$H$5000,MATCH($A374,Ventas!$A$2:$A$5000,0)),INDEX(Ventas!$I$2:$I$5000,MATCH($A374,Ventas!$A$2:$A$5000,0)),INDEX(Ventas!$J$2:$J$5000,MATCH($A374,Ventas!$A$2:$A$5000,0)))&gt;0.5*AF374*4,"1 mes = "&amp;TEXT(MAX(INDEX(Ventas!$G$2:$G$5000,MATCH($A374,Ventas!$A$2:$A$5000,0)),INDEX(Ventas!$H$2:$H$5000,MATCH($A374,Ventas!$A$2:$A$5000,0)),INDEX(Ventas!$I$2:$I$5000,MATCH($A374,Ventas!$A$2:$A$5000,0)),INDEX(Ventas!$J$2:$J$5000,MATCH($A374,Ventas!$A$2:$A$5000,0)))/(AF374*4),"0%")&amp;" de 4 meses",""))</f>
        <v/>
      </c>
      <c r="AD374" s="62" t="str">
        <f t="shared" si="7"/>
        <v/>
      </c>
      <c r="AE374" s="62" t="str">
        <f t="array" ref="AE374">IF(X374="","",IF(AND(E374=0,AVERAGE(INDEX(Ventas!$C$2:$I$5000,MATCH($A374,Ventas!$A$2:$A$5000,0),0))&gt;0,INDEX(Ventas!$J$2:$J$5000,MATCH($A374,Ventas!$A$2:$A$5000,0))&lt;0.5*AVERAGE(INDEX(Ventas!$C$2:$I$5000,MATCH($A374,Ventas!$A$2:$A$5000,0),0))),"SÍ — stock 0 y Sep cayó (prom Feb-Ago "&amp;TEXT(AVERAGE(INDEX(Ventas!$C$2:$I$5000,MATCH($A374,Ventas!$A$2:$A$5000,0),0)),"#,##0")&amp;")",""))</f>
        <v/>
      </c>
      <c r="AF374" s="60">
        <f t="array" ref="AF374">IF(X374="","",IF(AE374&lt;&gt;"",MAX(X374,AVERAGE(INDEX(Ventas!$C$2:$I$5000,MATCH($A374,Ventas!$A$2:$A$5000,0),0))),X374))</f>
        <v>0</v>
      </c>
      <c r="AG374" s="60">
        <f t="shared" si="8"/>
        <v>-306</v>
      </c>
      <c r="AH374" s="63" t="str">
        <f t="shared" si="9"/>
        <v>SIN VENTAS</v>
      </c>
    </row>
    <row r="375" ht="13.5" customHeight="1">
      <c r="A375" s="64" t="s">
        <v>2417</v>
      </c>
      <c r="B375" s="65" t="s">
        <v>183</v>
      </c>
      <c r="C375" s="65" t="s">
        <v>3806</v>
      </c>
      <c r="D375" s="65" t="s">
        <v>1329</v>
      </c>
      <c r="E375" s="51">
        <v>1148.0</v>
      </c>
      <c r="F375" s="66"/>
      <c r="G375" s="53"/>
      <c r="H375" s="55"/>
      <c r="I375" s="89">
        <v>2500.0</v>
      </c>
      <c r="J375" s="53"/>
      <c r="K375" s="53"/>
      <c r="L375" s="55"/>
      <c r="M375" s="53"/>
      <c r="N375" s="73"/>
      <c r="O375" s="57" t="str">
        <f t="shared" si="1"/>
        <v>PEDIR MENOS — sobran 1,795 m; revisar pedidos sin facturar (2,500 m)</v>
      </c>
      <c r="P375" s="58">
        <f t="shared" si="2"/>
        <v>3648</v>
      </c>
      <c r="Q375" s="1"/>
      <c r="R375" s="1"/>
      <c r="S375" s="1"/>
      <c r="T375" s="1"/>
      <c r="U375" s="1"/>
      <c r="V375" s="1"/>
      <c r="W375" s="1"/>
      <c r="X375" s="60">
        <f>IFERROR(VLOOKUP($A375,Ventas!$A$2:$L$5000,12,FALSE()),"")</f>
        <v>463.125</v>
      </c>
      <c r="Y375" s="60">
        <f t="shared" si="3"/>
        <v>1853</v>
      </c>
      <c r="Z375" s="61">
        <f t="shared" si="4"/>
        <v>7.9</v>
      </c>
      <c r="AA375" s="60">
        <f t="shared" si="5"/>
        <v>-1795</v>
      </c>
      <c r="AB375" s="62" t="str">
        <f t="shared" si="6"/>
        <v/>
      </c>
      <c r="AC375" s="62" t="str">
        <f t="array" ref="AC375">IF(AH375&lt;&gt;"COMPRAR","",IF(MAX(INDEX(Ventas!$G$2:$G$5000,MATCH($A375,Ventas!$A$2:$A$5000,0)),INDEX(Ventas!$H$2:$H$5000,MATCH($A375,Ventas!$A$2:$A$5000,0)),INDEX(Ventas!$I$2:$I$5000,MATCH($A375,Ventas!$A$2:$A$5000,0)),INDEX(Ventas!$J$2:$J$5000,MATCH($A375,Ventas!$A$2:$A$5000,0)))&gt;0.5*AF375*4,"1 mes = "&amp;TEXT(MAX(INDEX(Ventas!$G$2:$G$5000,MATCH($A375,Ventas!$A$2:$A$5000,0)),INDEX(Ventas!$H$2:$H$5000,MATCH($A375,Ventas!$A$2:$A$5000,0)),INDEX(Ventas!$I$2:$I$5000,MATCH($A375,Ventas!$A$2:$A$5000,0)),INDEX(Ventas!$J$2:$J$5000,MATCH($A375,Ventas!$A$2:$A$5000,0)))/(AF375*4),"0%")&amp;" de 4 meses",""))</f>
        <v/>
      </c>
      <c r="AD375" s="62" t="str">
        <f t="shared" si="7"/>
        <v/>
      </c>
      <c r="AE375" s="62" t="str">
        <f t="array" ref="AE375">IF(X375="","",IF(AND(E375=0,AVERAGE(INDEX(Ventas!$C$2:$I$5000,MATCH($A375,Ventas!$A$2:$A$5000,0),0))&gt;0,INDEX(Ventas!$J$2:$J$5000,MATCH($A375,Ventas!$A$2:$A$5000,0))&lt;0.5*AVERAGE(INDEX(Ventas!$C$2:$I$5000,MATCH($A375,Ventas!$A$2:$A$5000,0),0))),"SÍ — stock 0 y Sep cayó (prom Feb-Ago "&amp;TEXT(AVERAGE(INDEX(Ventas!$C$2:$I$5000,MATCH($A375,Ventas!$A$2:$A$5000,0),0)),"#,##0")&amp;")",""))</f>
        <v/>
      </c>
      <c r="AF375" s="60">
        <f t="array" ref="AF375">IF(X375="","",IF(AE375&lt;&gt;"",MAX(X375,AVERAGE(INDEX(Ventas!$C$2:$I$5000,MATCH($A375,Ventas!$A$2:$A$5000,0),0))),X375))</f>
        <v>463.125</v>
      </c>
      <c r="AG375" s="60">
        <f t="shared" si="8"/>
        <v>-1795</v>
      </c>
      <c r="AH375" s="63" t="str">
        <f t="shared" si="9"/>
        <v>PEDIR MENOS</v>
      </c>
    </row>
    <row r="376" ht="13.5" customHeight="1">
      <c r="A376" s="49" t="s">
        <v>2413</v>
      </c>
      <c r="B376" s="50" t="s">
        <v>183</v>
      </c>
      <c r="C376" s="50" t="s">
        <v>3806</v>
      </c>
      <c r="D376" s="50" t="s">
        <v>3807</v>
      </c>
      <c r="E376" s="51">
        <v>0.0</v>
      </c>
      <c r="F376" s="52"/>
      <c r="G376" s="53"/>
      <c r="H376" s="55"/>
      <c r="I376" s="55"/>
      <c r="J376" s="53"/>
      <c r="K376" s="53"/>
      <c r="L376" s="55"/>
      <c r="M376" s="53"/>
      <c r="N376" s="74"/>
      <c r="O376" s="57" t="str">
        <f t="shared" si="1"/>
        <v>SIN VENTAS Jun-Sep — no comprar</v>
      </c>
      <c r="P376" s="58">
        <f t="shared" si="2"/>
        <v>0</v>
      </c>
      <c r="Q376" s="1"/>
      <c r="R376" s="1"/>
      <c r="S376" s="1"/>
      <c r="T376" s="1"/>
      <c r="U376" s="1"/>
      <c r="V376" s="1"/>
      <c r="W376" s="1"/>
      <c r="X376" s="60">
        <f>IFERROR(VLOOKUP($A376,Ventas!$A$2:$L$5000,12,FALSE()),"")</f>
        <v>0</v>
      </c>
      <c r="Y376" s="60">
        <f t="shared" si="3"/>
        <v>0</v>
      </c>
      <c r="Z376" s="61" t="str">
        <f t="shared" si="4"/>
        <v/>
      </c>
      <c r="AA376" s="60">
        <f t="shared" si="5"/>
        <v>0</v>
      </c>
      <c r="AB376" s="62" t="str">
        <f t="shared" si="6"/>
        <v/>
      </c>
      <c r="AC376" s="62" t="str">
        <f t="array" ref="AC376">IF(AH376&lt;&gt;"COMPRAR","",IF(MAX(INDEX(Ventas!$G$2:$G$5000,MATCH($A376,Ventas!$A$2:$A$5000,0)),INDEX(Ventas!$H$2:$H$5000,MATCH($A376,Ventas!$A$2:$A$5000,0)),INDEX(Ventas!$I$2:$I$5000,MATCH($A376,Ventas!$A$2:$A$5000,0)),INDEX(Ventas!$J$2:$J$5000,MATCH($A376,Ventas!$A$2:$A$5000,0)))&gt;0.5*AF376*4,"1 mes = "&amp;TEXT(MAX(INDEX(Ventas!$G$2:$G$5000,MATCH($A376,Ventas!$A$2:$A$5000,0)),INDEX(Ventas!$H$2:$H$5000,MATCH($A376,Ventas!$A$2:$A$5000,0)),INDEX(Ventas!$I$2:$I$5000,MATCH($A376,Ventas!$A$2:$A$5000,0)),INDEX(Ventas!$J$2:$J$5000,MATCH($A376,Ventas!$A$2:$A$5000,0)))/(AF376*4),"0%")&amp;" de 4 meses",""))</f>
        <v/>
      </c>
      <c r="AD376" s="62" t="str">
        <f t="shared" si="7"/>
        <v/>
      </c>
      <c r="AE376" s="62" t="str">
        <f t="array" ref="AE376">IF(X376="","",IF(AND(E376=0,AVERAGE(INDEX(Ventas!$C$2:$I$5000,MATCH($A376,Ventas!$A$2:$A$5000,0),0))&gt;0,INDEX(Ventas!$J$2:$J$5000,MATCH($A376,Ventas!$A$2:$A$5000,0))&lt;0.5*AVERAGE(INDEX(Ventas!$C$2:$I$5000,MATCH($A376,Ventas!$A$2:$A$5000,0),0))),"SÍ — stock 0 y Sep cayó (prom Feb-Ago "&amp;TEXT(AVERAGE(INDEX(Ventas!$C$2:$I$5000,MATCH($A376,Ventas!$A$2:$A$5000,0),0)),"#,##0")&amp;")",""))</f>
        <v>SÍ — stock 0 y Sep cayó (prom Feb-Ago 20)</v>
      </c>
      <c r="AF376" s="60">
        <f t="array" ref="AF376">IF(X376="","",IF(AE376&lt;&gt;"",MAX(X376,AVERAGE(INDEX(Ventas!$C$2:$I$5000,MATCH($A376,Ventas!$A$2:$A$5000,0),0))),X376))</f>
        <v>20.35714286</v>
      </c>
      <c r="AG376" s="60">
        <f t="shared" si="8"/>
        <v>81</v>
      </c>
      <c r="AH376" s="63" t="str">
        <f t="shared" si="9"/>
        <v>COMPRAR</v>
      </c>
    </row>
    <row r="377" ht="13.5" customHeight="1">
      <c r="A377" s="64" t="s">
        <v>2423</v>
      </c>
      <c r="B377" s="65" t="s">
        <v>183</v>
      </c>
      <c r="C377" s="65" t="s">
        <v>3806</v>
      </c>
      <c r="D377" s="65" t="s">
        <v>3808</v>
      </c>
      <c r="E377" s="51">
        <v>0.0</v>
      </c>
      <c r="F377" s="66"/>
      <c r="G377" s="53"/>
      <c r="H377" s="55"/>
      <c r="I377" s="55"/>
      <c r="J377" s="53"/>
      <c r="K377" s="53"/>
      <c r="L377" s="55"/>
      <c r="M377" s="53"/>
      <c r="N377" s="73"/>
      <c r="O377" s="57" t="str">
        <f t="shared" si="1"/>
        <v>SIN VENTAS Jun-Sep — no comprar</v>
      </c>
      <c r="P377" s="58">
        <f t="shared" si="2"/>
        <v>0</v>
      </c>
      <c r="Q377" s="1"/>
      <c r="R377" s="1"/>
      <c r="S377" s="1"/>
      <c r="T377" s="1"/>
      <c r="U377" s="1"/>
      <c r="V377" s="1"/>
      <c r="W377" s="1"/>
      <c r="X377" s="60">
        <f>IFERROR(VLOOKUP($A377,Ventas!$A$2:$L$5000,12,FALSE()),"")</f>
        <v>0</v>
      </c>
      <c r="Y377" s="60">
        <f t="shared" si="3"/>
        <v>0</v>
      </c>
      <c r="Z377" s="61" t="str">
        <f t="shared" si="4"/>
        <v/>
      </c>
      <c r="AA377" s="60">
        <f t="shared" si="5"/>
        <v>0</v>
      </c>
      <c r="AB377" s="62" t="str">
        <f t="shared" si="6"/>
        <v/>
      </c>
      <c r="AC377" s="62" t="str">
        <f t="array" ref="AC377">IF(AH377&lt;&gt;"COMPRAR","",IF(MAX(INDEX(Ventas!$G$2:$G$5000,MATCH($A377,Ventas!$A$2:$A$5000,0)),INDEX(Ventas!$H$2:$H$5000,MATCH($A377,Ventas!$A$2:$A$5000,0)),INDEX(Ventas!$I$2:$I$5000,MATCH($A377,Ventas!$A$2:$A$5000,0)),INDEX(Ventas!$J$2:$J$5000,MATCH($A377,Ventas!$A$2:$A$5000,0)))&gt;0.5*AF377*4,"1 mes = "&amp;TEXT(MAX(INDEX(Ventas!$G$2:$G$5000,MATCH($A377,Ventas!$A$2:$A$5000,0)),INDEX(Ventas!$H$2:$H$5000,MATCH($A377,Ventas!$A$2:$A$5000,0)),INDEX(Ventas!$I$2:$I$5000,MATCH($A377,Ventas!$A$2:$A$5000,0)),INDEX(Ventas!$J$2:$J$5000,MATCH($A377,Ventas!$A$2:$A$5000,0)))/(AF377*4),"0%")&amp;" de 4 meses",""))</f>
        <v/>
      </c>
      <c r="AD377" s="62" t="str">
        <f t="shared" si="7"/>
        <v/>
      </c>
      <c r="AE377" s="62" t="str">
        <f t="array" ref="AE377">IF(X377="","",IF(AND(E377=0,AVERAGE(INDEX(Ventas!$C$2:$I$5000,MATCH($A377,Ventas!$A$2:$A$5000,0),0))&gt;0,INDEX(Ventas!$J$2:$J$5000,MATCH($A377,Ventas!$A$2:$A$5000,0))&lt;0.5*AVERAGE(INDEX(Ventas!$C$2:$I$5000,MATCH($A377,Ventas!$A$2:$A$5000,0),0))),"SÍ — stock 0 y Sep cayó (prom Feb-Ago "&amp;TEXT(AVERAGE(INDEX(Ventas!$C$2:$I$5000,MATCH($A377,Ventas!$A$2:$A$5000,0),0)),"#,##0")&amp;")",""))</f>
        <v>SÍ — stock 0 y Sep cayó (prom Feb-Ago 4)</v>
      </c>
      <c r="AF377" s="60">
        <f t="array" ref="AF377">IF(X377="","",IF(AE377&lt;&gt;"",MAX(X377,AVERAGE(INDEX(Ventas!$C$2:$I$5000,MATCH($A377,Ventas!$A$2:$A$5000,0),0))),X377))</f>
        <v>4.071428571</v>
      </c>
      <c r="AG377" s="60">
        <f t="shared" si="8"/>
        <v>16</v>
      </c>
      <c r="AH377" s="63" t="str">
        <f t="shared" si="9"/>
        <v>COMPRAR</v>
      </c>
    </row>
    <row r="378" ht="13.5" customHeight="1">
      <c r="A378" s="49" t="s">
        <v>2415</v>
      </c>
      <c r="B378" s="50" t="s">
        <v>183</v>
      </c>
      <c r="C378" s="50" t="s">
        <v>3806</v>
      </c>
      <c r="D378" s="50" t="s">
        <v>3809</v>
      </c>
      <c r="E378" s="51">
        <v>0.0</v>
      </c>
      <c r="F378" s="52"/>
      <c r="G378" s="53"/>
      <c r="H378" s="55"/>
      <c r="I378" s="55"/>
      <c r="J378" s="53"/>
      <c r="K378" s="53"/>
      <c r="L378" s="55"/>
      <c r="M378" s="53"/>
      <c r="N378" s="74"/>
      <c r="O378" s="57" t="str">
        <f t="shared" si="1"/>
        <v>COMPRAR — faltan 171 m para 4 meses</v>
      </c>
      <c r="P378" s="58">
        <f t="shared" si="2"/>
        <v>0</v>
      </c>
      <c r="Q378" s="1"/>
      <c r="R378" s="1"/>
      <c r="S378" s="1"/>
      <c r="T378" s="1"/>
      <c r="U378" s="1"/>
      <c r="V378" s="1"/>
      <c r="W378" s="1"/>
      <c r="X378" s="60">
        <f>IFERROR(VLOOKUP($A378,Ventas!$A$2:$L$5000,12,FALSE()),"")</f>
        <v>42.75</v>
      </c>
      <c r="Y378" s="60">
        <f t="shared" si="3"/>
        <v>171</v>
      </c>
      <c r="Z378" s="61">
        <f t="shared" si="4"/>
        <v>0</v>
      </c>
      <c r="AA378" s="60">
        <f t="shared" si="5"/>
        <v>171</v>
      </c>
      <c r="AB378" s="62" t="str">
        <f t="shared" si="6"/>
        <v/>
      </c>
      <c r="AC378" s="62" t="str">
        <f t="array" ref="AC378">IF(AH378&lt;&gt;"COMPRAR","",IF(MAX(INDEX(Ventas!$G$2:$G$5000,MATCH($A378,Ventas!$A$2:$A$5000,0)),INDEX(Ventas!$H$2:$H$5000,MATCH($A378,Ventas!$A$2:$A$5000,0)),INDEX(Ventas!$I$2:$I$5000,MATCH($A378,Ventas!$A$2:$A$5000,0)),INDEX(Ventas!$J$2:$J$5000,MATCH($A378,Ventas!$A$2:$A$5000,0)))&gt;0.5*AF378*4,"1 mes = "&amp;TEXT(MAX(INDEX(Ventas!$G$2:$G$5000,MATCH($A378,Ventas!$A$2:$A$5000,0)),INDEX(Ventas!$H$2:$H$5000,MATCH($A378,Ventas!$A$2:$A$5000,0)),INDEX(Ventas!$I$2:$I$5000,MATCH($A378,Ventas!$A$2:$A$5000,0)),INDEX(Ventas!$J$2:$J$5000,MATCH($A378,Ventas!$A$2:$A$5000,0)))/(AF378*4),"0%")&amp;" de 4 meses",""))</f>
        <v>1 mes = 62% de 4 meses</v>
      </c>
      <c r="AD378" s="62" t="str">
        <f t="shared" si="7"/>
        <v>SÍ — 0 m vs 23 m</v>
      </c>
      <c r="AE378" s="62" t="str">
        <f t="array" ref="AE378">IF(X378="","",IF(AND(E378=0,AVERAGE(INDEX(Ventas!$C$2:$I$5000,MATCH($A378,Ventas!$A$2:$A$5000,0),0))&gt;0,INDEX(Ventas!$J$2:$J$5000,MATCH($A378,Ventas!$A$2:$A$5000,0))&lt;0.5*AVERAGE(INDEX(Ventas!$C$2:$I$5000,MATCH($A378,Ventas!$A$2:$A$5000,0),0))),"SÍ — stock 0 y Sep cayó (prom Feb-Ago "&amp;TEXT(AVERAGE(INDEX(Ventas!$C$2:$I$5000,MATCH($A378,Ventas!$A$2:$A$5000,0),0)),"#,##0")&amp;")",""))</f>
        <v>SÍ — stock 0 y Sep cayó (prom Feb-Ago 69)</v>
      </c>
      <c r="AF378" s="60">
        <f t="array" ref="AF378">IF(X378="","",IF(AE378&lt;&gt;"",MAX(X378,AVERAGE(INDEX(Ventas!$C$2:$I$5000,MATCH($A378,Ventas!$A$2:$A$5000,0),0))),X378))</f>
        <v>69.21428571</v>
      </c>
      <c r="AG378" s="60">
        <f t="shared" si="8"/>
        <v>277</v>
      </c>
      <c r="AH378" s="63" t="str">
        <f t="shared" si="9"/>
        <v>COMPRAR</v>
      </c>
    </row>
    <row r="379" ht="13.5" customHeight="1">
      <c r="A379" s="64" t="s">
        <v>2411</v>
      </c>
      <c r="B379" s="65" t="s">
        <v>183</v>
      </c>
      <c r="C379" s="65" t="s">
        <v>3806</v>
      </c>
      <c r="D379" s="65" t="s">
        <v>3810</v>
      </c>
      <c r="E379" s="51">
        <v>0.0</v>
      </c>
      <c r="F379" s="66"/>
      <c r="G379" s="53"/>
      <c r="H379" s="55"/>
      <c r="I379" s="55"/>
      <c r="J379" s="53"/>
      <c r="K379" s="53"/>
      <c r="L379" s="55"/>
      <c r="M379" s="53"/>
      <c r="N379" s="73"/>
      <c r="O379" s="57" t="str">
        <f t="shared" si="1"/>
        <v>SIN VENTAS Jun-Sep — no comprar</v>
      </c>
      <c r="P379" s="58">
        <f t="shared" si="2"/>
        <v>0</v>
      </c>
      <c r="Q379" s="1"/>
      <c r="R379" s="1"/>
      <c r="S379" s="1"/>
      <c r="T379" s="1"/>
      <c r="U379" s="1"/>
      <c r="V379" s="1"/>
      <c r="W379" s="1"/>
      <c r="X379" s="60">
        <f>IFERROR(VLOOKUP($A379,Ventas!$A$2:$L$5000,12,FALSE()),"")</f>
        <v>0</v>
      </c>
      <c r="Y379" s="60">
        <f t="shared" si="3"/>
        <v>0</v>
      </c>
      <c r="Z379" s="61" t="str">
        <f t="shared" si="4"/>
        <v/>
      </c>
      <c r="AA379" s="60">
        <f t="shared" si="5"/>
        <v>0</v>
      </c>
      <c r="AB379" s="62" t="str">
        <f t="shared" si="6"/>
        <v/>
      </c>
      <c r="AC379" s="62" t="str">
        <f t="array" ref="AC379">IF(AH379&lt;&gt;"COMPRAR","",IF(MAX(INDEX(Ventas!$G$2:$G$5000,MATCH($A379,Ventas!$A$2:$A$5000,0)),INDEX(Ventas!$H$2:$H$5000,MATCH($A379,Ventas!$A$2:$A$5000,0)),INDEX(Ventas!$I$2:$I$5000,MATCH($A379,Ventas!$A$2:$A$5000,0)),INDEX(Ventas!$J$2:$J$5000,MATCH($A379,Ventas!$A$2:$A$5000,0)))&gt;0.5*AF379*4,"1 mes = "&amp;TEXT(MAX(INDEX(Ventas!$G$2:$G$5000,MATCH($A379,Ventas!$A$2:$A$5000,0)),INDEX(Ventas!$H$2:$H$5000,MATCH($A379,Ventas!$A$2:$A$5000,0)),INDEX(Ventas!$I$2:$I$5000,MATCH($A379,Ventas!$A$2:$A$5000,0)),INDEX(Ventas!$J$2:$J$5000,MATCH($A379,Ventas!$A$2:$A$5000,0)))/(AF379*4),"0%")&amp;" de 4 meses",""))</f>
        <v/>
      </c>
      <c r="AD379" s="62" t="str">
        <f t="shared" si="7"/>
        <v/>
      </c>
      <c r="AE379" s="62" t="str">
        <f t="array" ref="AE379">IF(X379="","",IF(AND(E379=0,AVERAGE(INDEX(Ventas!$C$2:$I$5000,MATCH($A379,Ventas!$A$2:$A$5000,0),0))&gt;0,INDEX(Ventas!$J$2:$J$5000,MATCH($A379,Ventas!$A$2:$A$5000,0))&lt;0.5*AVERAGE(INDEX(Ventas!$C$2:$I$5000,MATCH($A379,Ventas!$A$2:$A$5000,0),0))),"SÍ — stock 0 y Sep cayó (prom Feb-Ago "&amp;TEXT(AVERAGE(INDEX(Ventas!$C$2:$I$5000,MATCH($A379,Ventas!$A$2:$A$5000,0),0)),"#,##0")&amp;")",""))</f>
        <v/>
      </c>
      <c r="AF379" s="60">
        <f t="array" ref="AF379">IF(X379="","",IF(AE379&lt;&gt;"",MAX(X379,AVERAGE(INDEX(Ventas!$C$2:$I$5000,MATCH($A379,Ventas!$A$2:$A$5000,0),0))),X379))</f>
        <v>0</v>
      </c>
      <c r="AG379" s="60">
        <f t="shared" si="8"/>
        <v>0</v>
      </c>
      <c r="AH379" s="63" t="str">
        <f t="shared" si="9"/>
        <v>SIN VENTAS</v>
      </c>
    </row>
    <row r="380" ht="13.5" customHeight="1">
      <c r="A380" s="49" t="s">
        <v>2419</v>
      </c>
      <c r="B380" s="50" t="s">
        <v>183</v>
      </c>
      <c r="C380" s="50" t="s">
        <v>3806</v>
      </c>
      <c r="D380" s="50" t="s">
        <v>646</v>
      </c>
      <c r="E380" s="51">
        <v>0.0</v>
      </c>
      <c r="F380" s="52"/>
      <c r="G380" s="53"/>
      <c r="H380" s="55"/>
      <c r="I380" s="55"/>
      <c r="J380" s="53"/>
      <c r="K380" s="53"/>
      <c r="L380" s="55"/>
      <c r="M380" s="53"/>
      <c r="N380" s="74"/>
      <c r="O380" s="57" t="str">
        <f t="shared" si="1"/>
        <v>SIN VENTAS Jun-Sep — no comprar</v>
      </c>
      <c r="P380" s="58">
        <f t="shared" si="2"/>
        <v>0</v>
      </c>
      <c r="Q380" s="1"/>
      <c r="R380" s="1"/>
      <c r="S380" s="1"/>
      <c r="T380" s="1"/>
      <c r="U380" s="1"/>
      <c r="V380" s="1"/>
      <c r="W380" s="1"/>
      <c r="X380" s="60">
        <f>IFERROR(VLOOKUP($A380,Ventas!$A$2:$L$5000,12,FALSE()),"")</f>
        <v>0</v>
      </c>
      <c r="Y380" s="60">
        <f t="shared" si="3"/>
        <v>0</v>
      </c>
      <c r="Z380" s="61" t="str">
        <f t="shared" si="4"/>
        <v/>
      </c>
      <c r="AA380" s="60">
        <f t="shared" si="5"/>
        <v>0</v>
      </c>
      <c r="AB380" s="62" t="str">
        <f t="shared" si="6"/>
        <v/>
      </c>
      <c r="AC380" s="62" t="str">
        <f t="array" ref="AC380">IF(AH380&lt;&gt;"COMPRAR","",IF(MAX(INDEX(Ventas!$G$2:$G$5000,MATCH($A380,Ventas!$A$2:$A$5000,0)),INDEX(Ventas!$H$2:$H$5000,MATCH($A380,Ventas!$A$2:$A$5000,0)),INDEX(Ventas!$I$2:$I$5000,MATCH($A380,Ventas!$A$2:$A$5000,0)),INDEX(Ventas!$J$2:$J$5000,MATCH($A380,Ventas!$A$2:$A$5000,0)))&gt;0.5*AF380*4,"1 mes = "&amp;TEXT(MAX(INDEX(Ventas!$G$2:$G$5000,MATCH($A380,Ventas!$A$2:$A$5000,0)),INDEX(Ventas!$H$2:$H$5000,MATCH($A380,Ventas!$A$2:$A$5000,0)),INDEX(Ventas!$I$2:$I$5000,MATCH($A380,Ventas!$A$2:$A$5000,0)),INDEX(Ventas!$J$2:$J$5000,MATCH($A380,Ventas!$A$2:$A$5000,0)))/(AF380*4),"0%")&amp;" de 4 meses",""))</f>
        <v/>
      </c>
      <c r="AD380" s="62" t="str">
        <f t="shared" si="7"/>
        <v/>
      </c>
      <c r="AE380" s="62" t="str">
        <f t="array" ref="AE380">IF(X380="","",IF(AND(E380=0,AVERAGE(INDEX(Ventas!$C$2:$I$5000,MATCH($A380,Ventas!$A$2:$A$5000,0),0))&gt;0,INDEX(Ventas!$J$2:$J$5000,MATCH($A380,Ventas!$A$2:$A$5000,0))&lt;0.5*AVERAGE(INDEX(Ventas!$C$2:$I$5000,MATCH($A380,Ventas!$A$2:$A$5000,0),0))),"SÍ — stock 0 y Sep cayó (prom Feb-Ago "&amp;TEXT(AVERAGE(INDEX(Ventas!$C$2:$I$5000,MATCH($A380,Ventas!$A$2:$A$5000,0),0)),"#,##0")&amp;")",""))</f>
        <v>SÍ — stock 0 y Sep cayó (prom Feb-Ago 33)</v>
      </c>
      <c r="AF380" s="60">
        <f t="array" ref="AF380">IF(X380="","",IF(AE380&lt;&gt;"",MAX(X380,AVERAGE(INDEX(Ventas!$C$2:$I$5000,MATCH($A380,Ventas!$A$2:$A$5000,0),0))),X380))</f>
        <v>32.57142857</v>
      </c>
      <c r="AG380" s="60">
        <f t="shared" si="8"/>
        <v>130</v>
      </c>
      <c r="AH380" s="63" t="str">
        <f t="shared" si="9"/>
        <v>COMPRAR</v>
      </c>
    </row>
    <row r="381" ht="13.5" customHeight="1">
      <c r="A381" s="64" t="s">
        <v>2421</v>
      </c>
      <c r="B381" s="65" t="s">
        <v>183</v>
      </c>
      <c r="C381" s="65" t="s">
        <v>3806</v>
      </c>
      <c r="D381" s="65" t="s">
        <v>3811</v>
      </c>
      <c r="E381" s="51">
        <v>0.0</v>
      </c>
      <c r="F381" s="66"/>
      <c r="G381" s="53"/>
      <c r="H381" s="55"/>
      <c r="I381" s="55"/>
      <c r="J381" s="53"/>
      <c r="K381" s="53"/>
      <c r="L381" s="55"/>
      <c r="M381" s="53"/>
      <c r="N381" s="73"/>
      <c r="O381" s="57" t="str">
        <f t="shared" si="1"/>
        <v>SIN VENTAS Jun-Sep — no comprar</v>
      </c>
      <c r="P381" s="58">
        <f t="shared" si="2"/>
        <v>0</v>
      </c>
      <c r="Q381" s="1"/>
      <c r="R381" s="1"/>
      <c r="S381" s="1"/>
      <c r="T381" s="1"/>
      <c r="U381" s="1"/>
      <c r="V381" s="1"/>
      <c r="W381" s="1"/>
      <c r="X381" s="60">
        <f>IFERROR(VLOOKUP($A381,Ventas!$A$2:$L$5000,12,FALSE()),"")</f>
        <v>0</v>
      </c>
      <c r="Y381" s="60">
        <f t="shared" si="3"/>
        <v>0</v>
      </c>
      <c r="Z381" s="61" t="str">
        <f t="shared" si="4"/>
        <v/>
      </c>
      <c r="AA381" s="60">
        <f t="shared" si="5"/>
        <v>0</v>
      </c>
      <c r="AB381" s="62" t="str">
        <f t="shared" si="6"/>
        <v/>
      </c>
      <c r="AC381" s="62" t="str">
        <f t="array" ref="AC381">IF(AH381&lt;&gt;"COMPRAR","",IF(MAX(INDEX(Ventas!$G$2:$G$5000,MATCH($A381,Ventas!$A$2:$A$5000,0)),INDEX(Ventas!$H$2:$H$5000,MATCH($A381,Ventas!$A$2:$A$5000,0)),INDEX(Ventas!$I$2:$I$5000,MATCH($A381,Ventas!$A$2:$A$5000,0)),INDEX(Ventas!$J$2:$J$5000,MATCH($A381,Ventas!$A$2:$A$5000,0)))&gt;0.5*AF381*4,"1 mes = "&amp;TEXT(MAX(INDEX(Ventas!$G$2:$G$5000,MATCH($A381,Ventas!$A$2:$A$5000,0)),INDEX(Ventas!$H$2:$H$5000,MATCH($A381,Ventas!$A$2:$A$5000,0)),INDEX(Ventas!$I$2:$I$5000,MATCH($A381,Ventas!$A$2:$A$5000,0)),INDEX(Ventas!$J$2:$J$5000,MATCH($A381,Ventas!$A$2:$A$5000,0)))/(AF381*4),"0%")&amp;" de 4 meses",""))</f>
        <v/>
      </c>
      <c r="AD381" s="62" t="str">
        <f t="shared" si="7"/>
        <v/>
      </c>
      <c r="AE381" s="62" t="str">
        <f t="array" ref="AE381">IF(X381="","",IF(AND(E381=0,AVERAGE(INDEX(Ventas!$C$2:$I$5000,MATCH($A381,Ventas!$A$2:$A$5000,0),0))&gt;0,INDEX(Ventas!$J$2:$J$5000,MATCH($A381,Ventas!$A$2:$A$5000,0))&lt;0.5*AVERAGE(INDEX(Ventas!$C$2:$I$5000,MATCH($A381,Ventas!$A$2:$A$5000,0),0))),"SÍ — stock 0 y Sep cayó (prom Feb-Ago "&amp;TEXT(AVERAGE(INDEX(Ventas!$C$2:$I$5000,MATCH($A381,Ventas!$A$2:$A$5000,0),0)),"#,##0")&amp;")",""))</f>
        <v/>
      </c>
      <c r="AF381" s="60">
        <f t="array" ref="AF381">IF(X381="","",IF(AE381&lt;&gt;"",MAX(X381,AVERAGE(INDEX(Ventas!$C$2:$I$5000,MATCH($A381,Ventas!$A$2:$A$5000,0),0))),X381))</f>
        <v>0</v>
      </c>
      <c r="AG381" s="60">
        <f t="shared" si="8"/>
        <v>0</v>
      </c>
      <c r="AH381" s="63" t="str">
        <f t="shared" si="9"/>
        <v>SIN VENTAS</v>
      </c>
    </row>
    <row r="382" ht="13.5" customHeight="1">
      <c r="A382" s="87"/>
      <c r="B382" s="50" t="s">
        <v>183</v>
      </c>
      <c r="C382" s="50" t="s">
        <v>3806</v>
      </c>
      <c r="D382" s="50" t="s">
        <v>3812</v>
      </c>
      <c r="E382" s="51">
        <v>0.0</v>
      </c>
      <c r="F382" s="52"/>
      <c r="G382" s="53"/>
      <c r="H382" s="69">
        <v>342.0</v>
      </c>
      <c r="I382" s="55"/>
      <c r="J382" s="53"/>
      <c r="K382" s="53"/>
      <c r="L382" s="55"/>
      <c r="M382" s="53"/>
      <c r="N382" s="74"/>
      <c r="O382" s="57" t="str">
        <f t="shared" si="1"/>
        <v>SIN SKU — cargar código para calcular</v>
      </c>
      <c r="P382" s="58">
        <f t="shared" si="2"/>
        <v>342</v>
      </c>
      <c r="Q382" s="1"/>
      <c r="R382" s="1"/>
      <c r="S382" s="1"/>
      <c r="T382" s="1"/>
      <c r="U382" s="1"/>
      <c r="V382" s="1"/>
      <c r="W382" s="1"/>
      <c r="X382" s="60" t="str">
        <f>IFERROR(VLOOKUP($A382,Ventas!$A$2:$L$5000,12,FALSE()),"")</f>
        <v/>
      </c>
      <c r="Y382" s="60" t="str">
        <f t="shared" si="3"/>
        <v/>
      </c>
      <c r="Z382" s="61" t="str">
        <f t="shared" si="4"/>
        <v/>
      </c>
      <c r="AA382" s="60" t="str">
        <f t="shared" si="5"/>
        <v/>
      </c>
      <c r="AB382" s="62" t="str">
        <f t="shared" si="6"/>
        <v/>
      </c>
      <c r="AC382" s="62" t="str">
        <f t="array" ref="AC382">IF(AH382&lt;&gt;"COMPRAR","",IF(MAX(INDEX(Ventas!$G$2:$G$5000,MATCH($A382,Ventas!$A$2:$A$5000,0)),INDEX(Ventas!$H$2:$H$5000,MATCH($A382,Ventas!$A$2:$A$5000,0)),INDEX(Ventas!$I$2:$I$5000,MATCH($A382,Ventas!$A$2:$A$5000,0)),INDEX(Ventas!$J$2:$J$5000,MATCH($A382,Ventas!$A$2:$A$5000,0)))&gt;0.5*AF382*4,"1 mes = "&amp;TEXT(MAX(INDEX(Ventas!$G$2:$G$5000,MATCH($A382,Ventas!$A$2:$A$5000,0)),INDEX(Ventas!$H$2:$H$5000,MATCH($A382,Ventas!$A$2:$A$5000,0)),INDEX(Ventas!$I$2:$I$5000,MATCH($A382,Ventas!$A$2:$A$5000,0)),INDEX(Ventas!$J$2:$J$5000,MATCH($A382,Ventas!$A$2:$A$5000,0)))/(AF382*4),"0%")&amp;" de 4 meses",""))</f>
        <v/>
      </c>
      <c r="AD382" s="62" t="str">
        <f t="shared" si="7"/>
        <v/>
      </c>
      <c r="AE382" s="62" t="str">
        <f t="array" ref="AE382">IF(X382="","",IF(AND(E382=0,AVERAGE(INDEX(Ventas!$C$2:$I$5000,MATCH($A382,Ventas!$A$2:$A$5000,0),0))&gt;0,INDEX(Ventas!$J$2:$J$5000,MATCH($A382,Ventas!$A$2:$A$5000,0))&lt;0.5*AVERAGE(INDEX(Ventas!$C$2:$I$5000,MATCH($A382,Ventas!$A$2:$A$5000,0),0))),"SÍ — stock 0 y Sep cayó (prom Feb-Ago "&amp;TEXT(AVERAGE(INDEX(Ventas!$C$2:$I$5000,MATCH($A382,Ventas!$A$2:$A$5000,0),0)),"#,##0")&amp;")",""))</f>
        <v/>
      </c>
      <c r="AF382" s="60" t="str">
        <f t="array" ref="AF382">IF(X382="","",IF(AE382&lt;&gt;"",MAX(X382,AVERAGE(INDEX(Ventas!$C$2:$I$5000,MATCH($A382,Ventas!$A$2:$A$5000,0),0))),X382))</f>
        <v/>
      </c>
      <c r="AG382" s="60" t="str">
        <f t="shared" si="8"/>
        <v/>
      </c>
      <c r="AH382" s="63" t="str">
        <f t="shared" si="9"/>
        <v/>
      </c>
    </row>
    <row r="383" ht="13.5" customHeight="1">
      <c r="A383" s="64" t="s">
        <v>2181</v>
      </c>
      <c r="B383" s="65" t="s">
        <v>183</v>
      </c>
      <c r="C383" s="65" t="s">
        <v>3813</v>
      </c>
      <c r="D383" s="65" t="s">
        <v>1329</v>
      </c>
      <c r="E383" s="51">
        <v>0.0</v>
      </c>
      <c r="F383" s="66"/>
      <c r="G383" s="53"/>
      <c r="H383" s="55"/>
      <c r="I383" s="55">
        <v>500.0</v>
      </c>
      <c r="J383" s="53"/>
      <c r="K383" s="53"/>
      <c r="L383" s="55"/>
      <c r="M383" s="53"/>
      <c r="N383" s="73"/>
      <c r="O383" s="57" t="str">
        <f t="shared" si="1"/>
        <v>PEDIR MENOS — sobran 50 m; revisar pedidos sin facturar (500 m)</v>
      </c>
      <c r="P383" s="58">
        <f t="shared" si="2"/>
        <v>500</v>
      </c>
      <c r="Q383" s="1"/>
      <c r="R383" s="1"/>
      <c r="S383" s="1"/>
      <c r="T383" s="1"/>
      <c r="U383" s="1"/>
      <c r="V383" s="1"/>
      <c r="W383" s="1"/>
      <c r="X383" s="60">
        <f>IFERROR(VLOOKUP($A383,Ventas!$A$2:$L$5000,12,FALSE()),"")</f>
        <v>112.5</v>
      </c>
      <c r="Y383" s="60">
        <f t="shared" si="3"/>
        <v>450</v>
      </c>
      <c r="Z383" s="61">
        <f t="shared" si="4"/>
        <v>4.4</v>
      </c>
      <c r="AA383" s="60">
        <f t="shared" si="5"/>
        <v>-50</v>
      </c>
      <c r="AB383" s="62" t="str">
        <f t="shared" si="6"/>
        <v/>
      </c>
      <c r="AC383" s="62" t="str">
        <f t="array" ref="AC383">IF(AH383&lt;&gt;"COMPRAR","",IF(MAX(INDEX(Ventas!$G$2:$G$5000,MATCH($A383,Ventas!$A$2:$A$5000,0)),INDEX(Ventas!$H$2:$H$5000,MATCH($A383,Ventas!$A$2:$A$5000,0)),INDEX(Ventas!$I$2:$I$5000,MATCH($A383,Ventas!$A$2:$A$5000,0)),INDEX(Ventas!$J$2:$J$5000,MATCH($A383,Ventas!$A$2:$A$5000,0)))&gt;0.5*AF383*4,"1 mes = "&amp;TEXT(MAX(INDEX(Ventas!$G$2:$G$5000,MATCH($A383,Ventas!$A$2:$A$5000,0)),INDEX(Ventas!$H$2:$H$5000,MATCH($A383,Ventas!$A$2:$A$5000,0)),INDEX(Ventas!$I$2:$I$5000,MATCH($A383,Ventas!$A$2:$A$5000,0)),INDEX(Ventas!$J$2:$J$5000,MATCH($A383,Ventas!$A$2:$A$5000,0)))/(AF383*4),"0%")&amp;" de 4 meses",""))</f>
        <v/>
      </c>
      <c r="AD383" s="62" t="str">
        <f t="shared" si="7"/>
        <v>SÍ — 0 m vs 60 m</v>
      </c>
      <c r="AE383" s="62" t="str">
        <f t="array" ref="AE383">IF(X383="","",IF(AND(E383=0,AVERAGE(INDEX(Ventas!$C$2:$I$5000,MATCH($A383,Ventas!$A$2:$A$5000,0),0))&gt;0,INDEX(Ventas!$J$2:$J$5000,MATCH($A383,Ventas!$A$2:$A$5000,0))&lt;0.5*AVERAGE(INDEX(Ventas!$C$2:$I$5000,MATCH($A383,Ventas!$A$2:$A$5000,0),0))),"SÍ — stock 0 y Sep cayó (prom Feb-Ago "&amp;TEXT(AVERAGE(INDEX(Ventas!$C$2:$I$5000,MATCH($A383,Ventas!$A$2:$A$5000,0),0)),"#,##0")&amp;")",""))</f>
        <v>SÍ — stock 0 y Sep cayó (prom Feb-Ago 86)</v>
      </c>
      <c r="AF383" s="60">
        <f t="array" ref="AF383">IF(X383="","",IF(AE383&lt;&gt;"",MAX(X383,AVERAGE(INDEX(Ventas!$C$2:$I$5000,MATCH($A383,Ventas!$A$2:$A$5000,0),0))),X383))</f>
        <v>112.5</v>
      </c>
      <c r="AG383" s="60">
        <f t="shared" si="8"/>
        <v>-50</v>
      </c>
      <c r="AH383" s="63" t="str">
        <f t="shared" si="9"/>
        <v>PEDIR MENOS</v>
      </c>
    </row>
    <row r="384" ht="13.5" customHeight="1">
      <c r="A384" s="49" t="s">
        <v>2176</v>
      </c>
      <c r="B384" s="50" t="s">
        <v>183</v>
      </c>
      <c r="C384" s="50" t="s">
        <v>3813</v>
      </c>
      <c r="D384" s="50" t="s">
        <v>590</v>
      </c>
      <c r="E384" s="51">
        <v>0.0</v>
      </c>
      <c r="F384" s="52"/>
      <c r="G384" s="53"/>
      <c r="H384" s="55"/>
      <c r="I384" s="55"/>
      <c r="J384" s="53"/>
      <c r="K384" s="53"/>
      <c r="L384" s="55"/>
      <c r="M384" s="53"/>
      <c r="N384" s="74"/>
      <c r="O384" s="57" t="str">
        <f t="shared" si="1"/>
        <v>SIN VENTAS Jun-Sep — no comprar</v>
      </c>
      <c r="P384" s="58">
        <f t="shared" si="2"/>
        <v>0</v>
      </c>
      <c r="Q384" s="1"/>
      <c r="R384" s="1"/>
      <c r="S384" s="1"/>
      <c r="T384" s="1"/>
      <c r="U384" s="1"/>
      <c r="V384" s="1"/>
      <c r="W384" s="1"/>
      <c r="X384" s="60">
        <f>IFERROR(VLOOKUP($A384,Ventas!$A$2:$L$5000,12,FALSE()),"")</f>
        <v>0</v>
      </c>
      <c r="Y384" s="60">
        <f t="shared" si="3"/>
        <v>0</v>
      </c>
      <c r="Z384" s="61" t="str">
        <f t="shared" si="4"/>
        <v/>
      </c>
      <c r="AA384" s="60">
        <f t="shared" si="5"/>
        <v>0</v>
      </c>
      <c r="AB384" s="62" t="str">
        <f t="shared" si="6"/>
        <v/>
      </c>
      <c r="AC384" s="62" t="str">
        <f t="array" ref="AC384">IF(AH384&lt;&gt;"COMPRAR","",IF(MAX(INDEX(Ventas!$G$2:$G$5000,MATCH($A384,Ventas!$A$2:$A$5000,0)),INDEX(Ventas!$H$2:$H$5000,MATCH($A384,Ventas!$A$2:$A$5000,0)),INDEX(Ventas!$I$2:$I$5000,MATCH($A384,Ventas!$A$2:$A$5000,0)),INDEX(Ventas!$J$2:$J$5000,MATCH($A384,Ventas!$A$2:$A$5000,0)))&gt;0.5*AF384*4,"1 mes = "&amp;TEXT(MAX(INDEX(Ventas!$G$2:$G$5000,MATCH($A384,Ventas!$A$2:$A$5000,0)),INDEX(Ventas!$H$2:$H$5000,MATCH($A384,Ventas!$A$2:$A$5000,0)),INDEX(Ventas!$I$2:$I$5000,MATCH($A384,Ventas!$A$2:$A$5000,0)),INDEX(Ventas!$J$2:$J$5000,MATCH($A384,Ventas!$A$2:$A$5000,0)))/(AF384*4),"0%")&amp;" de 4 meses",""))</f>
        <v/>
      </c>
      <c r="AD384" s="62" t="str">
        <f t="shared" si="7"/>
        <v/>
      </c>
      <c r="AE384" s="62" t="str">
        <f t="array" ref="AE384">IF(X384="","",IF(AND(E384=0,AVERAGE(INDEX(Ventas!$C$2:$I$5000,MATCH($A384,Ventas!$A$2:$A$5000,0),0))&gt;0,INDEX(Ventas!$J$2:$J$5000,MATCH($A384,Ventas!$A$2:$A$5000,0))&lt;0.5*AVERAGE(INDEX(Ventas!$C$2:$I$5000,MATCH($A384,Ventas!$A$2:$A$5000,0),0))),"SÍ — stock 0 y Sep cayó (prom Feb-Ago "&amp;TEXT(AVERAGE(INDEX(Ventas!$C$2:$I$5000,MATCH($A384,Ventas!$A$2:$A$5000,0),0)),"#,##0")&amp;")",""))</f>
        <v>SÍ — stock 0 y Sep cayó (prom Feb-Ago 7)</v>
      </c>
      <c r="AF384" s="60">
        <f t="array" ref="AF384">IF(X384="","",IF(AE384&lt;&gt;"",MAX(X384,AVERAGE(INDEX(Ventas!$C$2:$I$5000,MATCH($A384,Ventas!$A$2:$A$5000,0),0))),X384))</f>
        <v>7.142857143</v>
      </c>
      <c r="AG384" s="60">
        <f t="shared" si="8"/>
        <v>29</v>
      </c>
      <c r="AH384" s="63" t="str">
        <f t="shared" si="9"/>
        <v>COMPRAR</v>
      </c>
    </row>
    <row r="385" ht="13.5" customHeight="1">
      <c r="A385" s="64" t="s">
        <v>2179</v>
      </c>
      <c r="B385" s="65" t="s">
        <v>183</v>
      </c>
      <c r="C385" s="65" t="s">
        <v>3813</v>
      </c>
      <c r="D385" s="65" t="s">
        <v>948</v>
      </c>
      <c r="E385" s="51">
        <v>0.0</v>
      </c>
      <c r="F385" s="66"/>
      <c r="G385" s="53"/>
      <c r="H385" s="55"/>
      <c r="I385" s="55"/>
      <c r="J385" s="53"/>
      <c r="K385" s="53"/>
      <c r="L385" s="55"/>
      <c r="M385" s="53"/>
      <c r="N385" s="73"/>
      <c r="O385" s="57" t="str">
        <f t="shared" si="1"/>
        <v>COMPRAR — faltan 49 m para 4 meses</v>
      </c>
      <c r="P385" s="58">
        <f t="shared" si="2"/>
        <v>0</v>
      </c>
      <c r="Q385" s="1"/>
      <c r="R385" s="1"/>
      <c r="S385" s="1"/>
      <c r="T385" s="1"/>
      <c r="U385" s="1"/>
      <c r="V385" s="1"/>
      <c r="W385" s="1"/>
      <c r="X385" s="60">
        <f>IFERROR(VLOOKUP($A385,Ventas!$A$2:$L$5000,12,FALSE()),"")</f>
        <v>12.25</v>
      </c>
      <c r="Y385" s="60">
        <f t="shared" si="3"/>
        <v>49</v>
      </c>
      <c r="Z385" s="61">
        <f t="shared" si="4"/>
        <v>0</v>
      </c>
      <c r="AA385" s="60">
        <f t="shared" si="5"/>
        <v>49</v>
      </c>
      <c r="AB385" s="62" t="str">
        <f t="shared" si="6"/>
        <v/>
      </c>
      <c r="AC385" s="62" t="str">
        <f t="array" ref="AC385">IF(AH385&lt;&gt;"COMPRAR","",IF(MAX(INDEX(Ventas!$G$2:$G$5000,MATCH($A385,Ventas!$A$2:$A$5000,0)),INDEX(Ventas!$H$2:$H$5000,MATCH($A385,Ventas!$A$2:$A$5000,0)),INDEX(Ventas!$I$2:$I$5000,MATCH($A385,Ventas!$A$2:$A$5000,0)),INDEX(Ventas!$J$2:$J$5000,MATCH($A385,Ventas!$A$2:$A$5000,0)))&gt;0.5*AF385*4,"1 mes = "&amp;TEXT(MAX(INDEX(Ventas!$G$2:$G$5000,MATCH($A385,Ventas!$A$2:$A$5000,0)),INDEX(Ventas!$H$2:$H$5000,MATCH($A385,Ventas!$A$2:$A$5000,0)),INDEX(Ventas!$I$2:$I$5000,MATCH($A385,Ventas!$A$2:$A$5000,0)),INDEX(Ventas!$J$2:$J$5000,MATCH($A385,Ventas!$A$2:$A$5000,0)))/(AF385*4),"0%")&amp;" de 4 meses",""))</f>
        <v>1 mes = 100% de 4 meses</v>
      </c>
      <c r="AD385" s="62" t="str">
        <f t="shared" si="7"/>
        <v>SÍ — 0 m vs 6 m</v>
      </c>
      <c r="AE385" s="62" t="str">
        <f t="array" ref="AE385">IF(X385="","",IF(AND(E385=0,AVERAGE(INDEX(Ventas!$C$2:$I$5000,MATCH($A385,Ventas!$A$2:$A$5000,0),0))&gt;0,INDEX(Ventas!$J$2:$J$5000,MATCH($A385,Ventas!$A$2:$A$5000,0))&lt;0.5*AVERAGE(INDEX(Ventas!$C$2:$I$5000,MATCH($A385,Ventas!$A$2:$A$5000,0),0))),"SÍ — stock 0 y Sep cayó (prom Feb-Ago "&amp;TEXT(AVERAGE(INDEX(Ventas!$C$2:$I$5000,MATCH($A385,Ventas!$A$2:$A$5000,0),0)),"#,##0")&amp;")",""))</f>
        <v>SÍ — stock 0 y Sep cayó (prom Feb-Ago 7)</v>
      </c>
      <c r="AF385" s="60">
        <f t="array" ref="AF385">IF(X385="","",IF(AE385&lt;&gt;"",MAX(X385,AVERAGE(INDEX(Ventas!$C$2:$I$5000,MATCH($A385,Ventas!$A$2:$A$5000,0),0))),X385))</f>
        <v>12.25</v>
      </c>
      <c r="AG385" s="60">
        <f t="shared" si="8"/>
        <v>49</v>
      </c>
      <c r="AH385" s="63" t="str">
        <f t="shared" si="9"/>
        <v>COMPRAR</v>
      </c>
    </row>
    <row r="386" ht="13.5" customHeight="1">
      <c r="A386" s="49" t="s">
        <v>2174</v>
      </c>
      <c r="B386" s="50" t="s">
        <v>183</v>
      </c>
      <c r="C386" s="50" t="s">
        <v>3813</v>
      </c>
      <c r="D386" s="50" t="s">
        <v>336</v>
      </c>
      <c r="E386" s="51">
        <v>0.0</v>
      </c>
      <c r="F386" s="52"/>
      <c r="G386" s="53"/>
      <c r="H386" s="55"/>
      <c r="I386" s="55"/>
      <c r="J386" s="53"/>
      <c r="K386" s="53"/>
      <c r="L386" s="55"/>
      <c r="M386" s="53"/>
      <c r="N386" s="74"/>
      <c r="O386" s="57" t="str">
        <f t="shared" si="1"/>
        <v>SIN VENTAS Jun-Sep — no comprar</v>
      </c>
      <c r="P386" s="58">
        <f t="shared" si="2"/>
        <v>0</v>
      </c>
      <c r="Q386" s="1"/>
      <c r="R386" s="1"/>
      <c r="S386" s="1"/>
      <c r="T386" s="1"/>
      <c r="U386" s="1"/>
      <c r="V386" s="1"/>
      <c r="W386" s="1"/>
      <c r="X386" s="60">
        <f>IFERROR(VLOOKUP($A386,Ventas!$A$2:$L$5000,12,FALSE()),"")</f>
        <v>0</v>
      </c>
      <c r="Y386" s="60">
        <f t="shared" si="3"/>
        <v>0</v>
      </c>
      <c r="Z386" s="61" t="str">
        <f t="shared" si="4"/>
        <v/>
      </c>
      <c r="AA386" s="60">
        <f t="shared" si="5"/>
        <v>0</v>
      </c>
      <c r="AB386" s="62" t="str">
        <f t="shared" si="6"/>
        <v/>
      </c>
      <c r="AC386" s="62" t="str">
        <f t="array" ref="AC386">IF(AH386&lt;&gt;"COMPRAR","",IF(MAX(INDEX(Ventas!$G$2:$G$5000,MATCH($A386,Ventas!$A$2:$A$5000,0)),INDEX(Ventas!$H$2:$H$5000,MATCH($A386,Ventas!$A$2:$A$5000,0)),INDEX(Ventas!$I$2:$I$5000,MATCH($A386,Ventas!$A$2:$A$5000,0)),INDEX(Ventas!$J$2:$J$5000,MATCH($A386,Ventas!$A$2:$A$5000,0)))&gt;0.5*AF386*4,"1 mes = "&amp;TEXT(MAX(INDEX(Ventas!$G$2:$G$5000,MATCH($A386,Ventas!$A$2:$A$5000,0)),INDEX(Ventas!$H$2:$H$5000,MATCH($A386,Ventas!$A$2:$A$5000,0)),INDEX(Ventas!$I$2:$I$5000,MATCH($A386,Ventas!$A$2:$A$5000,0)),INDEX(Ventas!$J$2:$J$5000,MATCH($A386,Ventas!$A$2:$A$5000,0)))/(AF386*4),"0%")&amp;" de 4 meses",""))</f>
        <v/>
      </c>
      <c r="AD386" s="62" t="str">
        <f t="shared" si="7"/>
        <v/>
      </c>
      <c r="AE386" s="62" t="str">
        <f t="array" ref="AE386">IF(X386="","",IF(AND(E386=0,AVERAGE(INDEX(Ventas!$C$2:$I$5000,MATCH($A386,Ventas!$A$2:$A$5000,0),0))&gt;0,INDEX(Ventas!$J$2:$J$5000,MATCH($A386,Ventas!$A$2:$A$5000,0))&lt;0.5*AVERAGE(INDEX(Ventas!$C$2:$I$5000,MATCH($A386,Ventas!$A$2:$A$5000,0),0))),"SÍ — stock 0 y Sep cayó (prom Feb-Ago "&amp;TEXT(AVERAGE(INDEX(Ventas!$C$2:$I$5000,MATCH($A386,Ventas!$A$2:$A$5000,0),0)),"#,##0")&amp;")",""))</f>
        <v/>
      </c>
      <c r="AF386" s="60">
        <f t="array" ref="AF386">IF(X386="","",IF(AE386&lt;&gt;"",MAX(X386,AVERAGE(INDEX(Ventas!$C$2:$I$5000,MATCH($A386,Ventas!$A$2:$A$5000,0),0))),X386))</f>
        <v>0</v>
      </c>
      <c r="AG386" s="60">
        <f t="shared" si="8"/>
        <v>0</v>
      </c>
      <c r="AH386" s="63" t="str">
        <f t="shared" si="9"/>
        <v>SIN VENTAS</v>
      </c>
    </row>
    <row r="387" ht="13.5" customHeight="1">
      <c r="A387" s="87"/>
      <c r="B387" s="65" t="s">
        <v>183</v>
      </c>
      <c r="C387" s="65" t="s">
        <v>3813</v>
      </c>
      <c r="D387" s="65" t="s">
        <v>3814</v>
      </c>
      <c r="E387" s="51">
        <v>50.0</v>
      </c>
      <c r="F387" s="66"/>
      <c r="G387" s="53"/>
      <c r="H387" s="55"/>
      <c r="I387" s="55"/>
      <c r="J387" s="53"/>
      <c r="K387" s="53"/>
      <c r="L387" s="55"/>
      <c r="M387" s="53"/>
      <c r="N387" s="73"/>
      <c r="O387" s="57" t="str">
        <f t="shared" si="1"/>
        <v>SIN SKU — cargar código para calcular</v>
      </c>
      <c r="P387" s="58">
        <f t="shared" si="2"/>
        <v>50</v>
      </c>
      <c r="Q387" s="1"/>
      <c r="R387" s="1"/>
      <c r="S387" s="1"/>
      <c r="T387" s="1"/>
      <c r="U387" s="1"/>
      <c r="V387" s="1"/>
      <c r="W387" s="1"/>
      <c r="X387" s="60" t="str">
        <f>IFERROR(VLOOKUP($A387,Ventas!$A$2:$L$5000,12,FALSE()),"")</f>
        <v/>
      </c>
      <c r="Y387" s="60" t="str">
        <f t="shared" si="3"/>
        <v/>
      </c>
      <c r="Z387" s="61" t="str">
        <f t="shared" si="4"/>
        <v/>
      </c>
      <c r="AA387" s="60" t="str">
        <f t="shared" si="5"/>
        <v/>
      </c>
      <c r="AB387" s="62" t="str">
        <f t="shared" si="6"/>
        <v/>
      </c>
      <c r="AC387" s="62" t="str">
        <f t="array" ref="AC387">IF(AH387&lt;&gt;"COMPRAR","",IF(MAX(INDEX(Ventas!$G$2:$G$5000,MATCH($A387,Ventas!$A$2:$A$5000,0)),INDEX(Ventas!$H$2:$H$5000,MATCH($A387,Ventas!$A$2:$A$5000,0)),INDEX(Ventas!$I$2:$I$5000,MATCH($A387,Ventas!$A$2:$A$5000,0)),INDEX(Ventas!$J$2:$J$5000,MATCH($A387,Ventas!$A$2:$A$5000,0)))&gt;0.5*AF387*4,"1 mes = "&amp;TEXT(MAX(INDEX(Ventas!$G$2:$G$5000,MATCH($A387,Ventas!$A$2:$A$5000,0)),INDEX(Ventas!$H$2:$H$5000,MATCH($A387,Ventas!$A$2:$A$5000,0)),INDEX(Ventas!$I$2:$I$5000,MATCH($A387,Ventas!$A$2:$A$5000,0)),INDEX(Ventas!$J$2:$J$5000,MATCH($A387,Ventas!$A$2:$A$5000,0)))/(AF387*4),"0%")&amp;" de 4 meses",""))</f>
        <v/>
      </c>
      <c r="AD387" s="62" t="str">
        <f t="shared" si="7"/>
        <v/>
      </c>
      <c r="AE387" s="62" t="str">
        <f t="array" ref="AE387">IF(X387="","",IF(AND(E387=0,AVERAGE(INDEX(Ventas!$C$2:$I$5000,MATCH($A387,Ventas!$A$2:$A$5000,0),0))&gt;0,INDEX(Ventas!$J$2:$J$5000,MATCH($A387,Ventas!$A$2:$A$5000,0))&lt;0.5*AVERAGE(INDEX(Ventas!$C$2:$I$5000,MATCH($A387,Ventas!$A$2:$A$5000,0),0))),"SÍ — stock 0 y Sep cayó (prom Feb-Ago "&amp;TEXT(AVERAGE(INDEX(Ventas!$C$2:$I$5000,MATCH($A387,Ventas!$A$2:$A$5000,0),0)),"#,##0")&amp;")",""))</f>
        <v/>
      </c>
      <c r="AF387" s="60" t="str">
        <f t="array" ref="AF387">IF(X387="","",IF(AE387&lt;&gt;"",MAX(X387,AVERAGE(INDEX(Ventas!$C$2:$I$5000,MATCH($A387,Ventas!$A$2:$A$5000,0),0))),X387))</f>
        <v/>
      </c>
      <c r="AG387" s="60" t="str">
        <f t="shared" si="8"/>
        <v/>
      </c>
      <c r="AH387" s="63" t="str">
        <f t="shared" si="9"/>
        <v/>
      </c>
    </row>
    <row r="388" ht="13.5" customHeight="1">
      <c r="A388" s="87"/>
      <c r="B388" s="50" t="s">
        <v>3815</v>
      </c>
      <c r="C388" s="50" t="s">
        <v>3815</v>
      </c>
      <c r="D388" s="50" t="s">
        <v>3816</v>
      </c>
      <c r="E388" s="51">
        <v>0.0</v>
      </c>
      <c r="F388" s="52"/>
      <c r="G388" s="53"/>
      <c r="H388" s="69"/>
      <c r="I388" s="55"/>
      <c r="J388" s="53"/>
      <c r="K388" s="53"/>
      <c r="L388" s="55"/>
      <c r="M388" s="53"/>
      <c r="N388" s="74"/>
      <c r="O388" s="57" t="str">
        <f t="shared" si="1"/>
        <v>SIN SKU — cargar código para calcular</v>
      </c>
      <c r="P388" s="58">
        <f t="shared" si="2"/>
        <v>0</v>
      </c>
      <c r="Q388" s="1"/>
      <c r="R388" s="1"/>
      <c r="S388" s="1"/>
      <c r="T388" s="1"/>
      <c r="U388" s="1"/>
      <c r="V388" s="1"/>
      <c r="W388" s="1"/>
      <c r="X388" s="60" t="str">
        <f>IFERROR(VLOOKUP($A388,Ventas!$A$2:$L$5000,12,FALSE()),"")</f>
        <v/>
      </c>
      <c r="Y388" s="60" t="str">
        <f t="shared" si="3"/>
        <v/>
      </c>
      <c r="Z388" s="61" t="str">
        <f t="shared" si="4"/>
        <v/>
      </c>
      <c r="AA388" s="60" t="str">
        <f t="shared" si="5"/>
        <v/>
      </c>
      <c r="AB388" s="62" t="str">
        <f t="shared" si="6"/>
        <v/>
      </c>
      <c r="AC388" s="62" t="str">
        <f t="array" ref="AC388">IF(AH388&lt;&gt;"COMPRAR","",IF(MAX(INDEX(Ventas!$G$2:$G$5000,MATCH($A388,Ventas!$A$2:$A$5000,0)),INDEX(Ventas!$H$2:$H$5000,MATCH($A388,Ventas!$A$2:$A$5000,0)),INDEX(Ventas!$I$2:$I$5000,MATCH($A388,Ventas!$A$2:$A$5000,0)),INDEX(Ventas!$J$2:$J$5000,MATCH($A388,Ventas!$A$2:$A$5000,0)))&gt;0.5*AF388*4,"1 mes = "&amp;TEXT(MAX(INDEX(Ventas!$G$2:$G$5000,MATCH($A388,Ventas!$A$2:$A$5000,0)),INDEX(Ventas!$H$2:$H$5000,MATCH($A388,Ventas!$A$2:$A$5000,0)),INDEX(Ventas!$I$2:$I$5000,MATCH($A388,Ventas!$A$2:$A$5000,0)),INDEX(Ventas!$J$2:$J$5000,MATCH($A388,Ventas!$A$2:$A$5000,0)))/(AF388*4),"0%")&amp;" de 4 meses",""))</f>
        <v/>
      </c>
      <c r="AD388" s="62" t="str">
        <f t="shared" si="7"/>
        <v/>
      </c>
      <c r="AE388" s="62" t="str">
        <f t="array" ref="AE388">IF(X388="","",IF(AND(E388=0,AVERAGE(INDEX(Ventas!$C$2:$I$5000,MATCH($A388,Ventas!$A$2:$A$5000,0),0))&gt;0,INDEX(Ventas!$J$2:$J$5000,MATCH($A388,Ventas!$A$2:$A$5000,0))&lt;0.5*AVERAGE(INDEX(Ventas!$C$2:$I$5000,MATCH($A388,Ventas!$A$2:$A$5000,0),0))),"SÍ — stock 0 y Sep cayó (prom Feb-Ago "&amp;TEXT(AVERAGE(INDEX(Ventas!$C$2:$I$5000,MATCH($A388,Ventas!$A$2:$A$5000,0),0)),"#,##0")&amp;")",""))</f>
        <v/>
      </c>
      <c r="AF388" s="60" t="str">
        <f t="array" ref="AF388">IF(X388="","",IF(AE388&lt;&gt;"",MAX(X388,AVERAGE(INDEX(Ventas!$C$2:$I$5000,MATCH($A388,Ventas!$A$2:$A$5000,0),0))),X388))</f>
        <v/>
      </c>
      <c r="AG388" s="60" t="str">
        <f t="shared" si="8"/>
        <v/>
      </c>
      <c r="AH388" s="63" t="str">
        <f t="shared" si="9"/>
        <v/>
      </c>
    </row>
    <row r="389" ht="13.5" customHeight="1">
      <c r="A389" s="87"/>
      <c r="B389" s="65" t="s">
        <v>3815</v>
      </c>
      <c r="C389" s="65" t="s">
        <v>3815</v>
      </c>
      <c r="D389" s="65" t="s">
        <v>1329</v>
      </c>
      <c r="E389" s="51">
        <v>0.0</v>
      </c>
      <c r="F389" s="66"/>
      <c r="G389" s="53"/>
      <c r="H389" s="55"/>
      <c r="I389" s="55"/>
      <c r="J389" s="53"/>
      <c r="K389" s="53"/>
      <c r="L389" s="55"/>
      <c r="M389" s="53"/>
      <c r="N389" s="86" t="s">
        <v>3693</v>
      </c>
      <c r="O389" s="57" t="str">
        <f t="shared" si="1"/>
        <v>SIN SKU — cargar código para calcular</v>
      </c>
      <c r="P389" s="58">
        <f t="shared" si="2"/>
        <v>0</v>
      </c>
      <c r="Q389" s="1"/>
      <c r="R389" s="1"/>
      <c r="S389" s="1"/>
      <c r="T389" s="1"/>
      <c r="U389" s="1"/>
      <c r="V389" s="1"/>
      <c r="W389" s="1"/>
      <c r="X389" s="60" t="str">
        <f>IFERROR(VLOOKUP($A389,Ventas!$A$2:$L$5000,12,FALSE()),"")</f>
        <v/>
      </c>
      <c r="Y389" s="60" t="str">
        <f t="shared" si="3"/>
        <v/>
      </c>
      <c r="Z389" s="61" t="str">
        <f t="shared" si="4"/>
        <v/>
      </c>
      <c r="AA389" s="60" t="str">
        <f t="shared" si="5"/>
        <v/>
      </c>
      <c r="AB389" s="62" t="str">
        <f t="shared" si="6"/>
        <v/>
      </c>
      <c r="AC389" s="62" t="str">
        <f t="array" ref="AC389">IF(AH389&lt;&gt;"COMPRAR","",IF(MAX(INDEX(Ventas!$G$2:$G$5000,MATCH($A389,Ventas!$A$2:$A$5000,0)),INDEX(Ventas!$H$2:$H$5000,MATCH($A389,Ventas!$A$2:$A$5000,0)),INDEX(Ventas!$I$2:$I$5000,MATCH($A389,Ventas!$A$2:$A$5000,0)),INDEX(Ventas!$J$2:$J$5000,MATCH($A389,Ventas!$A$2:$A$5000,0)))&gt;0.5*AF389*4,"1 mes = "&amp;TEXT(MAX(INDEX(Ventas!$G$2:$G$5000,MATCH($A389,Ventas!$A$2:$A$5000,0)),INDEX(Ventas!$H$2:$H$5000,MATCH($A389,Ventas!$A$2:$A$5000,0)),INDEX(Ventas!$I$2:$I$5000,MATCH($A389,Ventas!$A$2:$A$5000,0)),INDEX(Ventas!$J$2:$J$5000,MATCH($A389,Ventas!$A$2:$A$5000,0)))/(AF389*4),"0%")&amp;" de 4 meses",""))</f>
        <v/>
      </c>
      <c r="AD389" s="62" t="str">
        <f t="shared" si="7"/>
        <v/>
      </c>
      <c r="AE389" s="62" t="str">
        <f t="array" ref="AE389">IF(X389="","",IF(AND(E389=0,AVERAGE(INDEX(Ventas!$C$2:$I$5000,MATCH($A389,Ventas!$A$2:$A$5000,0),0))&gt;0,INDEX(Ventas!$J$2:$J$5000,MATCH($A389,Ventas!$A$2:$A$5000,0))&lt;0.5*AVERAGE(INDEX(Ventas!$C$2:$I$5000,MATCH($A389,Ventas!$A$2:$A$5000,0),0))),"SÍ — stock 0 y Sep cayó (prom Feb-Ago "&amp;TEXT(AVERAGE(INDEX(Ventas!$C$2:$I$5000,MATCH($A389,Ventas!$A$2:$A$5000,0),0)),"#,##0")&amp;")",""))</f>
        <v/>
      </c>
      <c r="AF389" s="60" t="str">
        <f t="array" ref="AF389">IF(X389="","",IF(AE389&lt;&gt;"",MAX(X389,AVERAGE(INDEX(Ventas!$C$2:$I$5000,MATCH($A389,Ventas!$A$2:$A$5000,0),0))),X389))</f>
        <v/>
      </c>
      <c r="AG389" s="60" t="str">
        <f t="shared" si="8"/>
        <v/>
      </c>
      <c r="AH389" s="63" t="str">
        <f t="shared" si="9"/>
        <v/>
      </c>
    </row>
    <row r="390" ht="13.5" customHeight="1">
      <c r="A390" s="49" t="s">
        <v>3817</v>
      </c>
      <c r="B390" s="50" t="s">
        <v>3815</v>
      </c>
      <c r="C390" s="50" t="s">
        <v>3815</v>
      </c>
      <c r="D390" s="50" t="s">
        <v>2949</v>
      </c>
      <c r="E390" s="51">
        <v>0.0</v>
      </c>
      <c r="F390" s="52"/>
      <c r="G390" s="53"/>
      <c r="H390" s="55">
        <v>268.2</v>
      </c>
      <c r="I390" s="90">
        <v>2200.0</v>
      </c>
      <c r="J390" s="53"/>
      <c r="K390" s="53"/>
      <c r="L390" s="55"/>
      <c r="M390" s="53"/>
      <c r="N390" s="74"/>
      <c r="O390" s="57" t="str">
        <f t="shared" si="1"/>
        <v>SIN HISTORIAL DE VENTAS — artículo nuevo o código distinto en Ventas</v>
      </c>
      <c r="P390" s="58">
        <f t="shared" si="2"/>
        <v>2468.2</v>
      </c>
      <c r="Q390" s="1"/>
      <c r="R390" s="1"/>
      <c r="S390" s="1"/>
      <c r="T390" s="1"/>
      <c r="U390" s="1"/>
      <c r="V390" s="1"/>
      <c r="W390" s="1"/>
      <c r="X390" s="60" t="str">
        <f>IFERROR(VLOOKUP($A390,Ventas!$A$2:$L$5000,12,FALSE()),"")</f>
        <v/>
      </c>
      <c r="Y390" s="60" t="str">
        <f t="shared" si="3"/>
        <v/>
      </c>
      <c r="Z390" s="61" t="str">
        <f t="shared" si="4"/>
        <v/>
      </c>
      <c r="AA390" s="60" t="str">
        <f t="shared" si="5"/>
        <v/>
      </c>
      <c r="AB390" s="62" t="str">
        <f t="shared" si="6"/>
        <v/>
      </c>
      <c r="AC390" s="62" t="str">
        <f t="array" ref="AC390">IF(AH390&lt;&gt;"COMPRAR","",IF(MAX(INDEX(Ventas!$G$2:$G$5000,MATCH($A390,Ventas!$A$2:$A$5000,0)),INDEX(Ventas!$H$2:$H$5000,MATCH($A390,Ventas!$A$2:$A$5000,0)),INDEX(Ventas!$I$2:$I$5000,MATCH($A390,Ventas!$A$2:$A$5000,0)),INDEX(Ventas!$J$2:$J$5000,MATCH($A390,Ventas!$A$2:$A$5000,0)))&gt;0.5*AF390*4,"1 mes = "&amp;TEXT(MAX(INDEX(Ventas!$G$2:$G$5000,MATCH($A390,Ventas!$A$2:$A$5000,0)),INDEX(Ventas!$H$2:$H$5000,MATCH($A390,Ventas!$A$2:$A$5000,0)),INDEX(Ventas!$I$2:$I$5000,MATCH($A390,Ventas!$A$2:$A$5000,0)),INDEX(Ventas!$J$2:$J$5000,MATCH($A390,Ventas!$A$2:$A$5000,0)))/(AF390*4),"0%")&amp;" de 4 meses",""))</f>
        <v/>
      </c>
      <c r="AD390" s="62" t="str">
        <f t="shared" si="7"/>
        <v/>
      </c>
      <c r="AE390" s="62" t="str">
        <f t="array" ref="AE390">IF(X390="","",IF(AND(E390=0,AVERAGE(INDEX(Ventas!$C$2:$I$5000,MATCH($A390,Ventas!$A$2:$A$5000,0),0))&gt;0,INDEX(Ventas!$J$2:$J$5000,MATCH($A390,Ventas!$A$2:$A$5000,0))&lt;0.5*AVERAGE(INDEX(Ventas!$C$2:$I$5000,MATCH($A390,Ventas!$A$2:$A$5000,0),0))),"SÍ — stock 0 y Sep cayó (prom Feb-Ago "&amp;TEXT(AVERAGE(INDEX(Ventas!$C$2:$I$5000,MATCH($A390,Ventas!$A$2:$A$5000,0),0)),"#,##0")&amp;")",""))</f>
        <v/>
      </c>
      <c r="AF390" s="60" t="str">
        <f t="array" ref="AF390">IF(X390="","",IF(AE390&lt;&gt;"",MAX(X390,AVERAGE(INDEX(Ventas!$C$2:$I$5000,MATCH($A390,Ventas!$A$2:$A$5000,0),0))),X390))</f>
        <v/>
      </c>
      <c r="AG390" s="60" t="str">
        <f t="shared" si="8"/>
        <v/>
      </c>
      <c r="AH390" s="63" t="str">
        <f t="shared" si="9"/>
        <v>SIN HISTORIAL</v>
      </c>
    </row>
    <row r="391" ht="13.5" customHeight="1">
      <c r="A391" s="87"/>
      <c r="B391" s="65" t="s">
        <v>3815</v>
      </c>
      <c r="C391" s="65" t="s">
        <v>3815</v>
      </c>
      <c r="D391" s="65" t="s">
        <v>694</v>
      </c>
      <c r="E391" s="51">
        <v>0.0</v>
      </c>
      <c r="F391" s="66"/>
      <c r="G391" s="53"/>
      <c r="H391" s="55"/>
      <c r="I391" s="89"/>
      <c r="J391" s="53"/>
      <c r="K391" s="53"/>
      <c r="L391" s="55"/>
      <c r="M391" s="53"/>
      <c r="N391" s="73"/>
      <c r="O391" s="57" t="str">
        <f t="shared" si="1"/>
        <v>SIN SKU — cargar código para calcular</v>
      </c>
      <c r="P391" s="58">
        <f t="shared" si="2"/>
        <v>0</v>
      </c>
      <c r="Q391" s="1"/>
      <c r="R391" s="1"/>
      <c r="S391" s="1"/>
      <c r="T391" s="1"/>
      <c r="U391" s="1"/>
      <c r="V391" s="1"/>
      <c r="W391" s="1"/>
      <c r="X391" s="60" t="str">
        <f>IFERROR(VLOOKUP($A391,Ventas!$A$2:$L$5000,12,FALSE()),"")</f>
        <v/>
      </c>
      <c r="Y391" s="60" t="str">
        <f t="shared" si="3"/>
        <v/>
      </c>
      <c r="Z391" s="61" t="str">
        <f t="shared" si="4"/>
        <v/>
      </c>
      <c r="AA391" s="60" t="str">
        <f t="shared" si="5"/>
        <v/>
      </c>
      <c r="AB391" s="62" t="str">
        <f t="shared" si="6"/>
        <v/>
      </c>
      <c r="AC391" s="62" t="str">
        <f t="array" ref="AC391">IF(AH391&lt;&gt;"COMPRAR","",IF(MAX(INDEX(Ventas!$G$2:$G$5000,MATCH($A391,Ventas!$A$2:$A$5000,0)),INDEX(Ventas!$H$2:$H$5000,MATCH($A391,Ventas!$A$2:$A$5000,0)),INDEX(Ventas!$I$2:$I$5000,MATCH($A391,Ventas!$A$2:$A$5000,0)),INDEX(Ventas!$J$2:$J$5000,MATCH($A391,Ventas!$A$2:$A$5000,0)))&gt;0.5*AF391*4,"1 mes = "&amp;TEXT(MAX(INDEX(Ventas!$G$2:$G$5000,MATCH($A391,Ventas!$A$2:$A$5000,0)),INDEX(Ventas!$H$2:$H$5000,MATCH($A391,Ventas!$A$2:$A$5000,0)),INDEX(Ventas!$I$2:$I$5000,MATCH($A391,Ventas!$A$2:$A$5000,0)),INDEX(Ventas!$J$2:$J$5000,MATCH($A391,Ventas!$A$2:$A$5000,0)))/(AF391*4),"0%")&amp;" de 4 meses",""))</f>
        <v/>
      </c>
      <c r="AD391" s="62" t="str">
        <f t="shared" si="7"/>
        <v/>
      </c>
      <c r="AE391" s="62" t="str">
        <f t="array" ref="AE391">IF(X391="","",IF(AND(E391=0,AVERAGE(INDEX(Ventas!$C$2:$I$5000,MATCH($A391,Ventas!$A$2:$A$5000,0),0))&gt;0,INDEX(Ventas!$J$2:$J$5000,MATCH($A391,Ventas!$A$2:$A$5000,0))&lt;0.5*AVERAGE(INDEX(Ventas!$C$2:$I$5000,MATCH($A391,Ventas!$A$2:$A$5000,0),0))),"SÍ — stock 0 y Sep cayó (prom Feb-Ago "&amp;TEXT(AVERAGE(INDEX(Ventas!$C$2:$I$5000,MATCH($A391,Ventas!$A$2:$A$5000,0),0)),"#,##0")&amp;")",""))</f>
        <v/>
      </c>
      <c r="AF391" s="60" t="str">
        <f t="array" ref="AF391">IF(X391="","",IF(AE391&lt;&gt;"",MAX(X391,AVERAGE(INDEX(Ventas!$C$2:$I$5000,MATCH($A391,Ventas!$A$2:$A$5000,0),0))),X391))</f>
        <v/>
      </c>
      <c r="AG391" s="60" t="str">
        <f t="shared" si="8"/>
        <v/>
      </c>
      <c r="AH391" s="63" t="str">
        <f t="shared" si="9"/>
        <v/>
      </c>
    </row>
    <row r="392" ht="13.5" customHeight="1">
      <c r="A392" s="87"/>
      <c r="B392" s="50" t="s">
        <v>3815</v>
      </c>
      <c r="C392" s="50" t="s">
        <v>3815</v>
      </c>
      <c r="D392" s="50" t="s">
        <v>336</v>
      </c>
      <c r="E392" s="51">
        <v>0.0</v>
      </c>
      <c r="F392" s="52"/>
      <c r="G392" s="53"/>
      <c r="H392" s="55"/>
      <c r="I392" s="89"/>
      <c r="J392" s="53"/>
      <c r="K392" s="53"/>
      <c r="L392" s="55"/>
      <c r="M392" s="53"/>
      <c r="N392" s="74"/>
      <c r="O392" s="57" t="str">
        <f t="shared" si="1"/>
        <v>SIN SKU — cargar código para calcular</v>
      </c>
      <c r="P392" s="58">
        <f t="shared" si="2"/>
        <v>0</v>
      </c>
      <c r="Q392" s="1"/>
      <c r="R392" s="1"/>
      <c r="S392" s="1"/>
      <c r="T392" s="1"/>
      <c r="U392" s="1"/>
      <c r="V392" s="1"/>
      <c r="W392" s="1"/>
      <c r="X392" s="60" t="str">
        <f>IFERROR(VLOOKUP($A392,Ventas!$A$2:$L$5000,12,FALSE()),"")</f>
        <v/>
      </c>
      <c r="Y392" s="60" t="str">
        <f t="shared" si="3"/>
        <v/>
      </c>
      <c r="Z392" s="61" t="str">
        <f t="shared" si="4"/>
        <v/>
      </c>
      <c r="AA392" s="60" t="str">
        <f t="shared" si="5"/>
        <v/>
      </c>
      <c r="AB392" s="62" t="str">
        <f t="shared" si="6"/>
        <v/>
      </c>
      <c r="AC392" s="62" t="str">
        <f t="array" ref="AC392">IF(AH392&lt;&gt;"COMPRAR","",IF(MAX(INDEX(Ventas!$G$2:$G$5000,MATCH($A392,Ventas!$A$2:$A$5000,0)),INDEX(Ventas!$H$2:$H$5000,MATCH($A392,Ventas!$A$2:$A$5000,0)),INDEX(Ventas!$I$2:$I$5000,MATCH($A392,Ventas!$A$2:$A$5000,0)),INDEX(Ventas!$J$2:$J$5000,MATCH($A392,Ventas!$A$2:$A$5000,0)))&gt;0.5*AF392*4,"1 mes = "&amp;TEXT(MAX(INDEX(Ventas!$G$2:$G$5000,MATCH($A392,Ventas!$A$2:$A$5000,0)),INDEX(Ventas!$H$2:$H$5000,MATCH($A392,Ventas!$A$2:$A$5000,0)),INDEX(Ventas!$I$2:$I$5000,MATCH($A392,Ventas!$A$2:$A$5000,0)),INDEX(Ventas!$J$2:$J$5000,MATCH($A392,Ventas!$A$2:$A$5000,0)))/(AF392*4),"0%")&amp;" de 4 meses",""))</f>
        <v/>
      </c>
      <c r="AD392" s="62" t="str">
        <f t="shared" si="7"/>
        <v/>
      </c>
      <c r="AE392" s="62" t="str">
        <f t="array" ref="AE392">IF(X392="","",IF(AND(E392=0,AVERAGE(INDEX(Ventas!$C$2:$I$5000,MATCH($A392,Ventas!$A$2:$A$5000,0),0))&gt;0,INDEX(Ventas!$J$2:$J$5000,MATCH($A392,Ventas!$A$2:$A$5000,0))&lt;0.5*AVERAGE(INDEX(Ventas!$C$2:$I$5000,MATCH($A392,Ventas!$A$2:$A$5000,0),0))),"SÍ — stock 0 y Sep cayó (prom Feb-Ago "&amp;TEXT(AVERAGE(INDEX(Ventas!$C$2:$I$5000,MATCH($A392,Ventas!$A$2:$A$5000,0),0)),"#,##0")&amp;")",""))</f>
        <v/>
      </c>
      <c r="AF392" s="60" t="str">
        <f t="array" ref="AF392">IF(X392="","",IF(AE392&lt;&gt;"",MAX(X392,AVERAGE(INDEX(Ventas!$C$2:$I$5000,MATCH($A392,Ventas!$A$2:$A$5000,0),0))),X392))</f>
        <v/>
      </c>
      <c r="AG392" s="60" t="str">
        <f t="shared" si="8"/>
        <v/>
      </c>
      <c r="AH392" s="63" t="str">
        <f t="shared" si="9"/>
        <v/>
      </c>
    </row>
    <row r="393" ht="13.5" customHeight="1">
      <c r="A393" s="87"/>
      <c r="B393" s="50" t="s">
        <v>3815</v>
      </c>
      <c r="C393" s="50" t="s">
        <v>3815</v>
      </c>
      <c r="D393" s="68" t="s">
        <v>590</v>
      </c>
      <c r="E393" s="51"/>
      <c r="F393" s="66"/>
      <c r="G393" s="53"/>
      <c r="H393" s="55"/>
      <c r="I393" s="90">
        <v>800.0</v>
      </c>
      <c r="J393" s="53"/>
      <c r="K393" s="53"/>
      <c r="L393" s="55"/>
      <c r="M393" s="53"/>
      <c r="N393" s="73"/>
      <c r="O393" s="57" t="str">
        <f t="shared" si="1"/>
        <v>SIN SKU — cargar código para calcular</v>
      </c>
      <c r="P393" s="58">
        <f t="shared" si="2"/>
        <v>800</v>
      </c>
      <c r="Q393" s="1"/>
      <c r="R393" s="1"/>
      <c r="S393" s="1"/>
      <c r="T393" s="1"/>
      <c r="U393" s="1"/>
      <c r="V393" s="1"/>
      <c r="W393" s="1"/>
      <c r="X393" s="60" t="str">
        <f>IFERROR(VLOOKUP($A393,Ventas!$A$2:$L$5000,12,FALSE()),"")</f>
        <v/>
      </c>
      <c r="Y393" s="60" t="str">
        <f t="shared" si="3"/>
        <v/>
      </c>
      <c r="Z393" s="61" t="str">
        <f t="shared" si="4"/>
        <v/>
      </c>
      <c r="AA393" s="60" t="str">
        <f t="shared" si="5"/>
        <v/>
      </c>
      <c r="AB393" s="62" t="str">
        <f t="shared" si="6"/>
        <v/>
      </c>
      <c r="AC393" s="62" t="str">
        <f t="array" ref="AC393">IF(AH393&lt;&gt;"COMPRAR","",IF(MAX(INDEX(Ventas!$G$2:$G$5000,MATCH($A393,Ventas!$A$2:$A$5000,0)),INDEX(Ventas!$H$2:$H$5000,MATCH($A393,Ventas!$A$2:$A$5000,0)),INDEX(Ventas!$I$2:$I$5000,MATCH($A393,Ventas!$A$2:$A$5000,0)),INDEX(Ventas!$J$2:$J$5000,MATCH($A393,Ventas!$A$2:$A$5000,0)))&gt;0.5*AF393*4,"1 mes = "&amp;TEXT(MAX(INDEX(Ventas!$G$2:$G$5000,MATCH($A393,Ventas!$A$2:$A$5000,0)),INDEX(Ventas!$H$2:$H$5000,MATCH($A393,Ventas!$A$2:$A$5000,0)),INDEX(Ventas!$I$2:$I$5000,MATCH($A393,Ventas!$A$2:$A$5000,0)),INDEX(Ventas!$J$2:$J$5000,MATCH($A393,Ventas!$A$2:$A$5000,0)))/(AF393*4),"0%")&amp;" de 4 meses",""))</f>
        <v/>
      </c>
      <c r="AD393" s="62" t="str">
        <f t="shared" si="7"/>
        <v/>
      </c>
      <c r="AE393" s="62" t="str">
        <f t="array" ref="AE393">IF(X393="","",IF(AND(E393=0,AVERAGE(INDEX(Ventas!$C$2:$I$5000,MATCH($A393,Ventas!$A$2:$A$5000,0),0))&gt;0,INDEX(Ventas!$J$2:$J$5000,MATCH($A393,Ventas!$A$2:$A$5000,0))&lt;0.5*AVERAGE(INDEX(Ventas!$C$2:$I$5000,MATCH($A393,Ventas!$A$2:$A$5000,0),0))),"SÍ — stock 0 y Sep cayó (prom Feb-Ago "&amp;TEXT(AVERAGE(INDEX(Ventas!$C$2:$I$5000,MATCH($A393,Ventas!$A$2:$A$5000,0),0)),"#,##0")&amp;")",""))</f>
        <v/>
      </c>
      <c r="AF393" s="60" t="str">
        <f t="array" ref="AF393">IF(X393="","",IF(AE393&lt;&gt;"",MAX(X393,AVERAGE(INDEX(Ventas!$C$2:$I$5000,MATCH($A393,Ventas!$A$2:$A$5000,0),0))),X393))</f>
        <v/>
      </c>
      <c r="AG393" s="60" t="str">
        <f t="shared" si="8"/>
        <v/>
      </c>
      <c r="AH393" s="63" t="str">
        <f t="shared" si="9"/>
        <v/>
      </c>
    </row>
    <row r="394" ht="13.5" customHeight="1">
      <c r="A394" s="87"/>
      <c r="B394" s="65" t="s">
        <v>3815</v>
      </c>
      <c r="C394" s="65" t="s">
        <v>3815</v>
      </c>
      <c r="D394" s="65" t="s">
        <v>1329</v>
      </c>
      <c r="E394" s="51">
        <v>0.0</v>
      </c>
      <c r="F394" s="66"/>
      <c r="G394" s="53"/>
      <c r="H394" s="55">
        <v>4368.0</v>
      </c>
      <c r="I394" s="55"/>
      <c r="J394" s="53"/>
      <c r="K394" s="53"/>
      <c r="L394" s="55"/>
      <c r="M394" s="53"/>
      <c r="N394" s="73"/>
      <c r="O394" s="57" t="str">
        <f t="shared" si="1"/>
        <v>SIN SKU — cargar código para calcular</v>
      </c>
      <c r="P394" s="58">
        <f t="shared" si="2"/>
        <v>4368</v>
      </c>
      <c r="Q394" s="1"/>
      <c r="R394" s="1"/>
      <c r="S394" s="1"/>
      <c r="T394" s="1"/>
      <c r="U394" s="1"/>
      <c r="V394" s="1"/>
      <c r="W394" s="1"/>
      <c r="X394" s="60" t="str">
        <f>IFERROR(VLOOKUP($A394,Ventas!$A$2:$L$5000,12,FALSE()),"")</f>
        <v/>
      </c>
      <c r="Y394" s="60" t="str">
        <f t="shared" si="3"/>
        <v/>
      </c>
      <c r="Z394" s="61" t="str">
        <f t="shared" si="4"/>
        <v/>
      </c>
      <c r="AA394" s="60" t="str">
        <f t="shared" si="5"/>
        <v/>
      </c>
      <c r="AB394" s="62" t="str">
        <f t="shared" si="6"/>
        <v/>
      </c>
      <c r="AC394" s="62" t="str">
        <f t="array" ref="AC394">IF(AH394&lt;&gt;"COMPRAR","",IF(MAX(INDEX(Ventas!$G$2:$G$5000,MATCH($A394,Ventas!$A$2:$A$5000,0)),INDEX(Ventas!$H$2:$H$5000,MATCH($A394,Ventas!$A$2:$A$5000,0)),INDEX(Ventas!$I$2:$I$5000,MATCH($A394,Ventas!$A$2:$A$5000,0)),INDEX(Ventas!$J$2:$J$5000,MATCH($A394,Ventas!$A$2:$A$5000,0)))&gt;0.5*AF394*4,"1 mes = "&amp;TEXT(MAX(INDEX(Ventas!$G$2:$G$5000,MATCH($A394,Ventas!$A$2:$A$5000,0)),INDEX(Ventas!$H$2:$H$5000,MATCH($A394,Ventas!$A$2:$A$5000,0)),INDEX(Ventas!$I$2:$I$5000,MATCH($A394,Ventas!$A$2:$A$5000,0)),INDEX(Ventas!$J$2:$J$5000,MATCH($A394,Ventas!$A$2:$A$5000,0)))/(AF394*4),"0%")&amp;" de 4 meses",""))</f>
        <v/>
      </c>
      <c r="AD394" s="62" t="str">
        <f t="shared" si="7"/>
        <v/>
      </c>
      <c r="AE394" s="62" t="str">
        <f t="array" ref="AE394">IF(X394="","",IF(AND(E394=0,AVERAGE(INDEX(Ventas!$C$2:$I$5000,MATCH($A394,Ventas!$A$2:$A$5000,0),0))&gt;0,INDEX(Ventas!$J$2:$J$5000,MATCH($A394,Ventas!$A$2:$A$5000,0))&lt;0.5*AVERAGE(INDEX(Ventas!$C$2:$I$5000,MATCH($A394,Ventas!$A$2:$A$5000,0),0))),"SÍ — stock 0 y Sep cayó (prom Feb-Ago "&amp;TEXT(AVERAGE(INDEX(Ventas!$C$2:$I$5000,MATCH($A394,Ventas!$A$2:$A$5000,0),0)),"#,##0")&amp;")",""))</f>
        <v/>
      </c>
      <c r="AF394" s="60" t="str">
        <f t="array" ref="AF394">IF(X394="","",IF(AE394&lt;&gt;"",MAX(X394,AVERAGE(INDEX(Ventas!$C$2:$I$5000,MATCH($A394,Ventas!$A$2:$A$5000,0),0))),X394))</f>
        <v/>
      </c>
      <c r="AG394" s="60" t="str">
        <f t="shared" si="8"/>
        <v/>
      </c>
      <c r="AH394" s="63" t="str">
        <f t="shared" si="9"/>
        <v/>
      </c>
    </row>
    <row r="395" ht="13.5" customHeight="1">
      <c r="A395" s="49" t="s">
        <v>2231</v>
      </c>
      <c r="B395" s="50" t="s">
        <v>183</v>
      </c>
      <c r="C395" s="50" t="s">
        <v>3818</v>
      </c>
      <c r="D395" s="50" t="s">
        <v>185</v>
      </c>
      <c r="E395" s="51">
        <v>7782.0</v>
      </c>
      <c r="F395" s="52"/>
      <c r="G395" s="53"/>
      <c r="H395" s="55"/>
      <c r="I395" s="55"/>
      <c r="J395" s="53"/>
      <c r="K395" s="53"/>
      <c r="L395" s="55"/>
      <c r="M395" s="53"/>
      <c r="N395" s="74"/>
      <c r="O395" s="57" t="str">
        <f t="shared" si="1"/>
        <v>SOBRESTOCK — 77.4 meses de cobertura</v>
      </c>
      <c r="P395" s="58">
        <f t="shared" si="2"/>
        <v>7782</v>
      </c>
      <c r="Q395" s="1"/>
      <c r="R395" s="1"/>
      <c r="S395" s="1"/>
      <c r="T395" s="1"/>
      <c r="U395" s="1"/>
      <c r="V395" s="1"/>
      <c r="W395" s="1"/>
      <c r="X395" s="60">
        <f>IFERROR(VLOOKUP($A395,Ventas!$A$2:$L$5000,12,FALSE()),"")</f>
        <v>100.5</v>
      </c>
      <c r="Y395" s="60">
        <f t="shared" si="3"/>
        <v>402</v>
      </c>
      <c r="Z395" s="61">
        <f t="shared" si="4"/>
        <v>77.4</v>
      </c>
      <c r="AA395" s="60">
        <f t="shared" si="5"/>
        <v>-7380</v>
      </c>
      <c r="AB395" s="62" t="str">
        <f t="shared" si="6"/>
        <v>DUPLICADO</v>
      </c>
      <c r="AC395" s="62" t="str">
        <f t="array" ref="AC395">IF(AH395&lt;&gt;"COMPRAR","",IF(MAX(INDEX(Ventas!$G$2:$G$5000,MATCH($A395,Ventas!$A$2:$A$5000,0)),INDEX(Ventas!$H$2:$H$5000,MATCH($A395,Ventas!$A$2:$A$5000,0)),INDEX(Ventas!$I$2:$I$5000,MATCH($A395,Ventas!$A$2:$A$5000,0)),INDEX(Ventas!$J$2:$J$5000,MATCH($A395,Ventas!$A$2:$A$5000,0)))&gt;0.5*AF395*4,"1 mes = "&amp;TEXT(MAX(INDEX(Ventas!$G$2:$G$5000,MATCH($A395,Ventas!$A$2:$A$5000,0)),INDEX(Ventas!$H$2:$H$5000,MATCH($A395,Ventas!$A$2:$A$5000,0)),INDEX(Ventas!$I$2:$I$5000,MATCH($A395,Ventas!$A$2:$A$5000,0)),INDEX(Ventas!$J$2:$J$5000,MATCH($A395,Ventas!$A$2:$A$5000,0)))/(AF395*4),"0%")&amp;" de 4 meses",""))</f>
        <v/>
      </c>
      <c r="AD395" s="62" t="str">
        <f t="shared" si="7"/>
        <v/>
      </c>
      <c r="AE395" s="62" t="str">
        <f t="array" ref="AE395">IF(X395="","",IF(AND(E395=0,AVERAGE(INDEX(Ventas!$C$2:$I$5000,MATCH($A395,Ventas!$A$2:$A$5000,0),0))&gt;0,INDEX(Ventas!$J$2:$J$5000,MATCH($A395,Ventas!$A$2:$A$5000,0))&lt;0.5*AVERAGE(INDEX(Ventas!$C$2:$I$5000,MATCH($A395,Ventas!$A$2:$A$5000,0),0))),"SÍ — stock 0 y Sep cayó (prom Feb-Ago "&amp;TEXT(AVERAGE(INDEX(Ventas!$C$2:$I$5000,MATCH($A395,Ventas!$A$2:$A$5000,0),0)),"#,##0")&amp;")",""))</f>
        <v/>
      </c>
      <c r="AF395" s="60">
        <f t="array" ref="AF395">IF(X395="","",IF(AE395&lt;&gt;"",MAX(X395,AVERAGE(INDEX(Ventas!$C$2:$I$5000,MATCH($A395,Ventas!$A$2:$A$5000,0),0))),X395))</f>
        <v>100.5</v>
      </c>
      <c r="AG395" s="60">
        <f t="shared" si="8"/>
        <v>-7380</v>
      </c>
      <c r="AH395" s="63" t="str">
        <f t="shared" si="9"/>
        <v>SOBRESTOCK</v>
      </c>
    </row>
    <row r="396" ht="13.5" customHeight="1">
      <c r="A396" s="64" t="s">
        <v>2235</v>
      </c>
      <c r="B396" s="65" t="s">
        <v>183</v>
      </c>
      <c r="C396" s="65" t="s">
        <v>3818</v>
      </c>
      <c r="D396" s="65" t="s">
        <v>3650</v>
      </c>
      <c r="E396" s="51">
        <v>2741.0</v>
      </c>
      <c r="F396" s="66"/>
      <c r="G396" s="53"/>
      <c r="H396" s="39"/>
      <c r="I396" s="55"/>
      <c r="J396" s="53"/>
      <c r="K396" s="53"/>
      <c r="L396" s="55"/>
      <c r="M396" s="53"/>
      <c r="N396" s="73"/>
      <c r="O396" s="57" t="str">
        <f t="shared" si="1"/>
        <v>SOBRESTOCK — 44.1 meses de cobertura</v>
      </c>
      <c r="P396" s="58">
        <f t="shared" si="2"/>
        <v>2741</v>
      </c>
      <c r="Q396" s="1"/>
      <c r="R396" s="1"/>
      <c r="S396" s="1"/>
      <c r="T396" s="1"/>
      <c r="U396" s="1"/>
      <c r="V396" s="1"/>
      <c r="W396" s="1"/>
      <c r="X396" s="60">
        <f>IFERROR(VLOOKUP($A396,Ventas!$A$2:$L$5000,12,FALSE()),"")</f>
        <v>62.175</v>
      </c>
      <c r="Y396" s="60">
        <f t="shared" si="3"/>
        <v>249</v>
      </c>
      <c r="Z396" s="61">
        <f t="shared" si="4"/>
        <v>44.1</v>
      </c>
      <c r="AA396" s="60">
        <f t="shared" si="5"/>
        <v>-2492</v>
      </c>
      <c r="AB396" s="62" t="str">
        <f t="shared" si="6"/>
        <v/>
      </c>
      <c r="AC396" s="62" t="str">
        <f t="array" ref="AC396">IF(AH396&lt;&gt;"COMPRAR","",IF(MAX(INDEX(Ventas!$G$2:$G$5000,MATCH($A396,Ventas!$A$2:$A$5000,0)),INDEX(Ventas!$H$2:$H$5000,MATCH($A396,Ventas!$A$2:$A$5000,0)),INDEX(Ventas!$I$2:$I$5000,MATCH($A396,Ventas!$A$2:$A$5000,0)),INDEX(Ventas!$J$2:$J$5000,MATCH($A396,Ventas!$A$2:$A$5000,0)))&gt;0.5*AF396*4,"1 mes = "&amp;TEXT(MAX(INDEX(Ventas!$G$2:$G$5000,MATCH($A396,Ventas!$A$2:$A$5000,0)),INDEX(Ventas!$H$2:$H$5000,MATCH($A396,Ventas!$A$2:$A$5000,0)),INDEX(Ventas!$I$2:$I$5000,MATCH($A396,Ventas!$A$2:$A$5000,0)),INDEX(Ventas!$J$2:$J$5000,MATCH($A396,Ventas!$A$2:$A$5000,0)))/(AF396*4),"0%")&amp;" de 4 meses",""))</f>
        <v/>
      </c>
      <c r="AD396" s="62" t="str">
        <f t="shared" si="7"/>
        <v/>
      </c>
      <c r="AE396" s="62" t="str">
        <f t="array" ref="AE396">IF(X396="","",IF(AND(E396=0,AVERAGE(INDEX(Ventas!$C$2:$I$5000,MATCH($A396,Ventas!$A$2:$A$5000,0),0))&gt;0,INDEX(Ventas!$J$2:$J$5000,MATCH($A396,Ventas!$A$2:$A$5000,0))&lt;0.5*AVERAGE(INDEX(Ventas!$C$2:$I$5000,MATCH($A396,Ventas!$A$2:$A$5000,0),0))),"SÍ — stock 0 y Sep cayó (prom Feb-Ago "&amp;TEXT(AVERAGE(INDEX(Ventas!$C$2:$I$5000,MATCH($A396,Ventas!$A$2:$A$5000,0),0)),"#,##0")&amp;")",""))</f>
        <v/>
      </c>
      <c r="AF396" s="60">
        <f t="array" ref="AF396">IF(X396="","",IF(AE396&lt;&gt;"",MAX(X396,AVERAGE(INDEX(Ventas!$C$2:$I$5000,MATCH($A396,Ventas!$A$2:$A$5000,0),0))),X396))</f>
        <v>62.175</v>
      </c>
      <c r="AG396" s="60">
        <f t="shared" si="8"/>
        <v>-2492</v>
      </c>
      <c r="AH396" s="63" t="str">
        <f t="shared" si="9"/>
        <v>SOBRESTOCK</v>
      </c>
    </row>
    <row r="397" ht="13.5" customHeight="1">
      <c r="A397" s="49" t="s">
        <v>2237</v>
      </c>
      <c r="B397" s="50" t="s">
        <v>183</v>
      </c>
      <c r="C397" s="50" t="s">
        <v>3818</v>
      </c>
      <c r="D397" s="50" t="s">
        <v>524</v>
      </c>
      <c r="E397" s="51">
        <v>1562.0</v>
      </c>
      <c r="F397" s="52"/>
      <c r="G397" s="53"/>
      <c r="H397" s="39"/>
      <c r="I397" s="55"/>
      <c r="J397" s="53"/>
      <c r="K397" s="53"/>
      <c r="L397" s="55"/>
      <c r="M397" s="53"/>
      <c r="N397" s="74"/>
      <c r="O397" s="57" t="str">
        <f t="shared" si="1"/>
        <v>SOBRESTOCK — 62.5 meses de cobertura</v>
      </c>
      <c r="P397" s="58">
        <f t="shared" si="2"/>
        <v>1562</v>
      </c>
      <c r="Q397" s="1"/>
      <c r="R397" s="1"/>
      <c r="S397" s="1"/>
      <c r="T397" s="1"/>
      <c r="U397" s="1"/>
      <c r="V397" s="1"/>
      <c r="W397" s="1"/>
      <c r="X397" s="60">
        <f>IFERROR(VLOOKUP($A397,Ventas!$A$2:$L$5000,12,FALSE()),"")</f>
        <v>25</v>
      </c>
      <c r="Y397" s="60">
        <f t="shared" si="3"/>
        <v>100</v>
      </c>
      <c r="Z397" s="61">
        <f t="shared" si="4"/>
        <v>62.5</v>
      </c>
      <c r="AA397" s="60">
        <f t="shared" si="5"/>
        <v>-1462</v>
      </c>
      <c r="AB397" s="62" t="str">
        <f t="shared" si="6"/>
        <v/>
      </c>
      <c r="AC397" s="62" t="str">
        <f t="array" ref="AC397">IF(AH397&lt;&gt;"COMPRAR","",IF(MAX(INDEX(Ventas!$G$2:$G$5000,MATCH($A397,Ventas!$A$2:$A$5000,0)),INDEX(Ventas!$H$2:$H$5000,MATCH($A397,Ventas!$A$2:$A$5000,0)),INDEX(Ventas!$I$2:$I$5000,MATCH($A397,Ventas!$A$2:$A$5000,0)),INDEX(Ventas!$J$2:$J$5000,MATCH($A397,Ventas!$A$2:$A$5000,0)))&gt;0.5*AF397*4,"1 mes = "&amp;TEXT(MAX(INDEX(Ventas!$G$2:$G$5000,MATCH($A397,Ventas!$A$2:$A$5000,0)),INDEX(Ventas!$H$2:$H$5000,MATCH($A397,Ventas!$A$2:$A$5000,0)),INDEX(Ventas!$I$2:$I$5000,MATCH($A397,Ventas!$A$2:$A$5000,0)),INDEX(Ventas!$J$2:$J$5000,MATCH($A397,Ventas!$A$2:$A$5000,0)))/(AF397*4),"0%")&amp;" de 4 meses",""))</f>
        <v/>
      </c>
      <c r="AD397" s="62" t="str">
        <f t="shared" si="7"/>
        <v/>
      </c>
      <c r="AE397" s="62" t="str">
        <f t="array" ref="AE397">IF(X397="","",IF(AND(E397=0,AVERAGE(INDEX(Ventas!$C$2:$I$5000,MATCH($A397,Ventas!$A$2:$A$5000,0),0))&gt;0,INDEX(Ventas!$J$2:$J$5000,MATCH($A397,Ventas!$A$2:$A$5000,0))&lt;0.5*AVERAGE(INDEX(Ventas!$C$2:$I$5000,MATCH($A397,Ventas!$A$2:$A$5000,0),0))),"SÍ — stock 0 y Sep cayó (prom Feb-Ago "&amp;TEXT(AVERAGE(INDEX(Ventas!$C$2:$I$5000,MATCH($A397,Ventas!$A$2:$A$5000,0),0)),"#,##0")&amp;")",""))</f>
        <v/>
      </c>
      <c r="AF397" s="60">
        <f t="array" ref="AF397">IF(X397="","",IF(AE397&lt;&gt;"",MAX(X397,AVERAGE(INDEX(Ventas!$C$2:$I$5000,MATCH($A397,Ventas!$A$2:$A$5000,0),0))),X397))</f>
        <v>25</v>
      </c>
      <c r="AG397" s="60">
        <f t="shared" si="8"/>
        <v>-1462</v>
      </c>
      <c r="AH397" s="63" t="str">
        <f t="shared" si="9"/>
        <v>SOBRESTOCK</v>
      </c>
    </row>
    <row r="398" ht="13.5" customHeight="1">
      <c r="A398" s="64" t="s">
        <v>2229</v>
      </c>
      <c r="B398" s="65" t="s">
        <v>183</v>
      </c>
      <c r="C398" s="65" t="s">
        <v>3818</v>
      </c>
      <c r="D398" s="65" t="s">
        <v>2949</v>
      </c>
      <c r="E398" s="51">
        <v>387.0</v>
      </c>
      <c r="F398" s="66"/>
      <c r="G398" s="53"/>
      <c r="H398" s="55"/>
      <c r="I398" s="55"/>
      <c r="J398" s="53"/>
      <c r="K398" s="53"/>
      <c r="L398" s="55"/>
      <c r="M398" s="53"/>
      <c r="N398" s="73"/>
      <c r="O398" s="57" t="str">
        <f t="shared" si="1"/>
        <v>SOBRESTOCK — 11.8 meses de cobertura</v>
      </c>
      <c r="P398" s="58">
        <f t="shared" si="2"/>
        <v>387</v>
      </c>
      <c r="Q398" s="1"/>
      <c r="R398" s="1"/>
      <c r="S398" s="1"/>
      <c r="T398" s="1"/>
      <c r="U398" s="1"/>
      <c r="V398" s="1"/>
      <c r="W398" s="1"/>
      <c r="X398" s="60">
        <f>IFERROR(VLOOKUP($A398,Ventas!$A$2:$L$5000,12,FALSE()),"")</f>
        <v>32.75</v>
      </c>
      <c r="Y398" s="60">
        <f t="shared" si="3"/>
        <v>131</v>
      </c>
      <c r="Z398" s="61">
        <f t="shared" si="4"/>
        <v>11.8</v>
      </c>
      <c r="AA398" s="60">
        <f t="shared" si="5"/>
        <v>-256</v>
      </c>
      <c r="AB398" s="62" t="str">
        <f t="shared" si="6"/>
        <v/>
      </c>
      <c r="AC398" s="62" t="str">
        <f t="array" ref="AC398">IF(AH398&lt;&gt;"COMPRAR","",IF(MAX(INDEX(Ventas!$G$2:$G$5000,MATCH($A398,Ventas!$A$2:$A$5000,0)),INDEX(Ventas!$H$2:$H$5000,MATCH($A398,Ventas!$A$2:$A$5000,0)),INDEX(Ventas!$I$2:$I$5000,MATCH($A398,Ventas!$A$2:$A$5000,0)),INDEX(Ventas!$J$2:$J$5000,MATCH($A398,Ventas!$A$2:$A$5000,0)))&gt;0.5*AF398*4,"1 mes = "&amp;TEXT(MAX(INDEX(Ventas!$G$2:$G$5000,MATCH($A398,Ventas!$A$2:$A$5000,0)),INDEX(Ventas!$H$2:$H$5000,MATCH($A398,Ventas!$A$2:$A$5000,0)),INDEX(Ventas!$I$2:$I$5000,MATCH($A398,Ventas!$A$2:$A$5000,0)),INDEX(Ventas!$J$2:$J$5000,MATCH($A398,Ventas!$A$2:$A$5000,0)))/(AF398*4),"0%")&amp;" de 4 meses",""))</f>
        <v/>
      </c>
      <c r="AD398" s="62" t="str">
        <f t="shared" si="7"/>
        <v/>
      </c>
      <c r="AE398" s="62" t="str">
        <f t="array" ref="AE398">IF(X398="","",IF(AND(E398=0,AVERAGE(INDEX(Ventas!$C$2:$I$5000,MATCH($A398,Ventas!$A$2:$A$5000,0),0))&gt;0,INDEX(Ventas!$J$2:$J$5000,MATCH($A398,Ventas!$A$2:$A$5000,0))&lt;0.5*AVERAGE(INDEX(Ventas!$C$2:$I$5000,MATCH($A398,Ventas!$A$2:$A$5000,0),0))),"SÍ — stock 0 y Sep cayó (prom Feb-Ago "&amp;TEXT(AVERAGE(INDEX(Ventas!$C$2:$I$5000,MATCH($A398,Ventas!$A$2:$A$5000,0),0)),"#,##0")&amp;")",""))</f>
        <v/>
      </c>
      <c r="AF398" s="60">
        <f t="array" ref="AF398">IF(X398="","",IF(AE398&lt;&gt;"",MAX(X398,AVERAGE(INDEX(Ventas!$C$2:$I$5000,MATCH($A398,Ventas!$A$2:$A$5000,0),0))),X398))</f>
        <v>32.75</v>
      </c>
      <c r="AG398" s="60">
        <f t="shared" si="8"/>
        <v>-256</v>
      </c>
      <c r="AH398" s="63" t="str">
        <f t="shared" si="9"/>
        <v>SOBRESTOCK</v>
      </c>
    </row>
    <row r="399" ht="13.5" customHeight="1">
      <c r="A399" s="49" t="s">
        <v>2233</v>
      </c>
      <c r="B399" s="50" t="s">
        <v>183</v>
      </c>
      <c r="C399" s="50" t="s">
        <v>3818</v>
      </c>
      <c r="D399" s="50" t="s">
        <v>3643</v>
      </c>
      <c r="E399" s="51">
        <v>207.0</v>
      </c>
      <c r="F399" s="52"/>
      <c r="G399" s="53"/>
      <c r="H399" s="55"/>
      <c r="I399" s="55"/>
      <c r="J399" s="53"/>
      <c r="K399" s="53"/>
      <c r="L399" s="55"/>
      <c r="M399" s="53"/>
      <c r="N399" s="74"/>
      <c r="O399" s="57" t="str">
        <f t="shared" si="1"/>
        <v>SOBRESTOCK — 15.9 meses de cobertura</v>
      </c>
      <c r="P399" s="58">
        <f t="shared" si="2"/>
        <v>207</v>
      </c>
      <c r="Q399" s="1"/>
      <c r="R399" s="1"/>
      <c r="S399" s="1"/>
      <c r="T399" s="1"/>
      <c r="U399" s="1"/>
      <c r="V399" s="1"/>
      <c r="W399" s="1"/>
      <c r="X399" s="60">
        <f>IFERROR(VLOOKUP($A399,Ventas!$A$2:$L$5000,12,FALSE()),"")</f>
        <v>13.025</v>
      </c>
      <c r="Y399" s="60">
        <f t="shared" si="3"/>
        <v>52</v>
      </c>
      <c r="Z399" s="61">
        <f t="shared" si="4"/>
        <v>15.9</v>
      </c>
      <c r="AA399" s="60">
        <f t="shared" si="5"/>
        <v>-155</v>
      </c>
      <c r="AB399" s="62" t="str">
        <f t="shared" si="6"/>
        <v/>
      </c>
      <c r="AC399" s="62" t="str">
        <f t="array" ref="AC399">IF(AH399&lt;&gt;"COMPRAR","",IF(MAX(INDEX(Ventas!$G$2:$G$5000,MATCH($A399,Ventas!$A$2:$A$5000,0)),INDEX(Ventas!$H$2:$H$5000,MATCH($A399,Ventas!$A$2:$A$5000,0)),INDEX(Ventas!$I$2:$I$5000,MATCH($A399,Ventas!$A$2:$A$5000,0)),INDEX(Ventas!$J$2:$J$5000,MATCH($A399,Ventas!$A$2:$A$5000,0)))&gt;0.5*AF399*4,"1 mes = "&amp;TEXT(MAX(INDEX(Ventas!$G$2:$G$5000,MATCH($A399,Ventas!$A$2:$A$5000,0)),INDEX(Ventas!$H$2:$H$5000,MATCH($A399,Ventas!$A$2:$A$5000,0)),INDEX(Ventas!$I$2:$I$5000,MATCH($A399,Ventas!$A$2:$A$5000,0)),INDEX(Ventas!$J$2:$J$5000,MATCH($A399,Ventas!$A$2:$A$5000,0)))/(AF399*4),"0%")&amp;" de 4 meses",""))</f>
        <v/>
      </c>
      <c r="AD399" s="62" t="str">
        <f t="shared" si="7"/>
        <v/>
      </c>
      <c r="AE399" s="62" t="str">
        <f t="array" ref="AE399">IF(X399="","",IF(AND(E399=0,AVERAGE(INDEX(Ventas!$C$2:$I$5000,MATCH($A399,Ventas!$A$2:$A$5000,0),0))&gt;0,INDEX(Ventas!$J$2:$J$5000,MATCH($A399,Ventas!$A$2:$A$5000,0))&lt;0.5*AVERAGE(INDEX(Ventas!$C$2:$I$5000,MATCH($A399,Ventas!$A$2:$A$5000,0),0))),"SÍ — stock 0 y Sep cayó (prom Feb-Ago "&amp;TEXT(AVERAGE(INDEX(Ventas!$C$2:$I$5000,MATCH($A399,Ventas!$A$2:$A$5000,0),0)),"#,##0")&amp;")",""))</f>
        <v/>
      </c>
      <c r="AF399" s="60">
        <f t="array" ref="AF399">IF(X399="","",IF(AE399&lt;&gt;"",MAX(X399,AVERAGE(INDEX(Ventas!$C$2:$I$5000,MATCH($A399,Ventas!$A$2:$A$5000,0),0))),X399))</f>
        <v>13.025</v>
      </c>
      <c r="AG399" s="60">
        <f t="shared" si="8"/>
        <v>-155</v>
      </c>
      <c r="AH399" s="63" t="str">
        <f t="shared" si="9"/>
        <v>SOBRESTOCK</v>
      </c>
    </row>
    <row r="400" ht="13.5" customHeight="1">
      <c r="A400" s="64" t="s">
        <v>2231</v>
      </c>
      <c r="B400" s="65" t="s">
        <v>183</v>
      </c>
      <c r="C400" s="65" t="s">
        <v>3818</v>
      </c>
      <c r="D400" s="65" t="s">
        <v>1329</v>
      </c>
      <c r="E400" s="51">
        <v>7782.0</v>
      </c>
      <c r="F400" s="66"/>
      <c r="G400" s="53"/>
      <c r="H400" s="55"/>
      <c r="I400" s="55"/>
      <c r="J400" s="53"/>
      <c r="K400" s="53"/>
      <c r="L400" s="55"/>
      <c r="M400" s="53"/>
      <c r="N400" s="73"/>
      <c r="O400" s="57" t="str">
        <f t="shared" si="1"/>
        <v>SOBRESTOCK — 77.4 meses de cobertura</v>
      </c>
      <c r="P400" s="58">
        <f t="shared" si="2"/>
        <v>7782</v>
      </c>
      <c r="Q400" s="1"/>
      <c r="R400" s="1"/>
      <c r="S400" s="1"/>
      <c r="T400" s="1"/>
      <c r="U400" s="1"/>
      <c r="V400" s="1"/>
      <c r="W400" s="1"/>
      <c r="X400" s="60">
        <f>IFERROR(VLOOKUP($A400,Ventas!$A$2:$L$5000,12,FALSE()),"")</f>
        <v>100.5</v>
      </c>
      <c r="Y400" s="60">
        <f t="shared" si="3"/>
        <v>402</v>
      </c>
      <c r="Z400" s="61">
        <f t="shared" si="4"/>
        <v>77.4</v>
      </c>
      <c r="AA400" s="60">
        <f t="shared" si="5"/>
        <v>-7380</v>
      </c>
      <c r="AB400" s="62" t="str">
        <f t="shared" si="6"/>
        <v>DUPLICADO</v>
      </c>
      <c r="AC400" s="62" t="str">
        <f t="array" ref="AC400">IF(AH400&lt;&gt;"COMPRAR","",IF(MAX(INDEX(Ventas!$G$2:$G$5000,MATCH($A400,Ventas!$A$2:$A$5000,0)),INDEX(Ventas!$H$2:$H$5000,MATCH($A400,Ventas!$A$2:$A$5000,0)),INDEX(Ventas!$I$2:$I$5000,MATCH($A400,Ventas!$A$2:$A$5000,0)),INDEX(Ventas!$J$2:$J$5000,MATCH($A400,Ventas!$A$2:$A$5000,0)))&gt;0.5*AF400*4,"1 mes = "&amp;TEXT(MAX(INDEX(Ventas!$G$2:$G$5000,MATCH($A400,Ventas!$A$2:$A$5000,0)),INDEX(Ventas!$H$2:$H$5000,MATCH($A400,Ventas!$A$2:$A$5000,0)),INDEX(Ventas!$I$2:$I$5000,MATCH($A400,Ventas!$A$2:$A$5000,0)),INDEX(Ventas!$J$2:$J$5000,MATCH($A400,Ventas!$A$2:$A$5000,0)))/(AF400*4),"0%")&amp;" de 4 meses",""))</f>
        <v/>
      </c>
      <c r="AD400" s="62" t="str">
        <f t="shared" si="7"/>
        <v/>
      </c>
      <c r="AE400" s="62" t="str">
        <f t="array" ref="AE400">IF(X400="","",IF(AND(E400=0,AVERAGE(INDEX(Ventas!$C$2:$I$5000,MATCH($A400,Ventas!$A$2:$A$5000,0),0))&gt;0,INDEX(Ventas!$J$2:$J$5000,MATCH($A400,Ventas!$A$2:$A$5000,0))&lt;0.5*AVERAGE(INDEX(Ventas!$C$2:$I$5000,MATCH($A400,Ventas!$A$2:$A$5000,0),0))),"SÍ — stock 0 y Sep cayó (prom Feb-Ago "&amp;TEXT(AVERAGE(INDEX(Ventas!$C$2:$I$5000,MATCH($A400,Ventas!$A$2:$A$5000,0),0)),"#,##0")&amp;")",""))</f>
        <v/>
      </c>
      <c r="AF400" s="60">
        <f t="array" ref="AF400">IF(X400="","",IF(AE400&lt;&gt;"",MAX(X400,AVERAGE(INDEX(Ventas!$C$2:$I$5000,MATCH($A400,Ventas!$A$2:$A$5000,0),0))),X400))</f>
        <v>100.5</v>
      </c>
      <c r="AG400" s="60">
        <f t="shared" si="8"/>
        <v>-7380</v>
      </c>
      <c r="AH400" s="63" t="str">
        <f t="shared" si="9"/>
        <v>SOBRESTOCK</v>
      </c>
    </row>
    <row r="401" ht="13.5" customHeight="1">
      <c r="A401" s="87"/>
      <c r="B401" s="50" t="s">
        <v>183</v>
      </c>
      <c r="C401" s="50" t="s">
        <v>3818</v>
      </c>
      <c r="D401" s="50" t="s">
        <v>3635</v>
      </c>
      <c r="E401" s="51">
        <v>799.0</v>
      </c>
      <c r="F401" s="52"/>
      <c r="G401" s="53"/>
      <c r="H401" s="55"/>
      <c r="I401" s="55"/>
      <c r="J401" s="53"/>
      <c r="K401" s="53"/>
      <c r="L401" s="55"/>
      <c r="M401" s="53"/>
      <c r="N401" s="74"/>
      <c r="O401" s="57" t="str">
        <f t="shared" si="1"/>
        <v>SIN SKU — cargar código para calcular</v>
      </c>
      <c r="P401" s="58">
        <f t="shared" si="2"/>
        <v>799</v>
      </c>
      <c r="Q401" s="1"/>
      <c r="R401" s="1"/>
      <c r="S401" s="1"/>
      <c r="T401" s="1"/>
      <c r="U401" s="1"/>
      <c r="V401" s="1"/>
      <c r="W401" s="1"/>
      <c r="X401" s="60" t="str">
        <f>IFERROR(VLOOKUP($A401,Ventas!$A$2:$L$5000,12,FALSE()),"")</f>
        <v/>
      </c>
      <c r="Y401" s="60" t="str">
        <f t="shared" si="3"/>
        <v/>
      </c>
      <c r="Z401" s="61" t="str">
        <f t="shared" si="4"/>
        <v/>
      </c>
      <c r="AA401" s="60" t="str">
        <f t="shared" si="5"/>
        <v/>
      </c>
      <c r="AB401" s="62" t="str">
        <f t="shared" si="6"/>
        <v/>
      </c>
      <c r="AC401" s="62" t="str">
        <f t="array" ref="AC401">IF(AH401&lt;&gt;"COMPRAR","",IF(MAX(INDEX(Ventas!$G$2:$G$5000,MATCH($A401,Ventas!$A$2:$A$5000,0)),INDEX(Ventas!$H$2:$H$5000,MATCH($A401,Ventas!$A$2:$A$5000,0)),INDEX(Ventas!$I$2:$I$5000,MATCH($A401,Ventas!$A$2:$A$5000,0)),INDEX(Ventas!$J$2:$J$5000,MATCH($A401,Ventas!$A$2:$A$5000,0)))&gt;0.5*AF401*4,"1 mes = "&amp;TEXT(MAX(INDEX(Ventas!$G$2:$G$5000,MATCH($A401,Ventas!$A$2:$A$5000,0)),INDEX(Ventas!$H$2:$H$5000,MATCH($A401,Ventas!$A$2:$A$5000,0)),INDEX(Ventas!$I$2:$I$5000,MATCH($A401,Ventas!$A$2:$A$5000,0)),INDEX(Ventas!$J$2:$J$5000,MATCH($A401,Ventas!$A$2:$A$5000,0)))/(AF401*4),"0%")&amp;" de 4 meses",""))</f>
        <v/>
      </c>
      <c r="AD401" s="62" t="str">
        <f t="shared" si="7"/>
        <v/>
      </c>
      <c r="AE401" s="62" t="str">
        <f t="array" ref="AE401">IF(X401="","",IF(AND(E401=0,AVERAGE(INDEX(Ventas!$C$2:$I$5000,MATCH($A401,Ventas!$A$2:$A$5000,0),0))&gt;0,INDEX(Ventas!$J$2:$J$5000,MATCH($A401,Ventas!$A$2:$A$5000,0))&lt;0.5*AVERAGE(INDEX(Ventas!$C$2:$I$5000,MATCH($A401,Ventas!$A$2:$A$5000,0),0))),"SÍ — stock 0 y Sep cayó (prom Feb-Ago "&amp;TEXT(AVERAGE(INDEX(Ventas!$C$2:$I$5000,MATCH($A401,Ventas!$A$2:$A$5000,0),0)),"#,##0")&amp;")",""))</f>
        <v/>
      </c>
      <c r="AF401" s="60" t="str">
        <f t="array" ref="AF401">IF(X401="","",IF(AE401&lt;&gt;"",MAX(X401,AVERAGE(INDEX(Ventas!$C$2:$I$5000,MATCH($A401,Ventas!$A$2:$A$5000,0),0))),X401))</f>
        <v/>
      </c>
      <c r="AG401" s="60" t="str">
        <f t="shared" si="8"/>
        <v/>
      </c>
      <c r="AH401" s="63" t="str">
        <f t="shared" si="9"/>
        <v/>
      </c>
    </row>
    <row r="402" ht="13.5" customHeight="1">
      <c r="A402" s="87"/>
      <c r="B402" s="65" t="s">
        <v>183</v>
      </c>
      <c r="C402" s="65" t="s">
        <v>3818</v>
      </c>
      <c r="D402" s="65" t="s">
        <v>794</v>
      </c>
      <c r="E402" s="51">
        <v>400.0</v>
      </c>
      <c r="F402" s="66"/>
      <c r="G402" s="53"/>
      <c r="H402" s="55"/>
      <c r="I402" s="55"/>
      <c r="J402" s="53"/>
      <c r="K402" s="53"/>
      <c r="L402" s="55"/>
      <c r="M402" s="53"/>
      <c r="N402" s="73"/>
      <c r="O402" s="57" t="str">
        <f t="shared" si="1"/>
        <v>SIN SKU — cargar código para calcular</v>
      </c>
      <c r="P402" s="58">
        <f t="shared" si="2"/>
        <v>400</v>
      </c>
      <c r="Q402" s="1"/>
      <c r="R402" s="1"/>
      <c r="S402" s="1"/>
      <c r="T402" s="1"/>
      <c r="U402" s="1"/>
      <c r="V402" s="1"/>
      <c r="W402" s="1"/>
      <c r="X402" s="60" t="str">
        <f>IFERROR(VLOOKUP($A402,Ventas!$A$2:$L$5000,12,FALSE()),"")</f>
        <v/>
      </c>
      <c r="Y402" s="60" t="str">
        <f t="shared" si="3"/>
        <v/>
      </c>
      <c r="Z402" s="61" t="str">
        <f t="shared" si="4"/>
        <v/>
      </c>
      <c r="AA402" s="60" t="str">
        <f t="shared" si="5"/>
        <v/>
      </c>
      <c r="AB402" s="62" t="str">
        <f t="shared" si="6"/>
        <v/>
      </c>
      <c r="AC402" s="62" t="str">
        <f t="array" ref="AC402">IF(AH402&lt;&gt;"COMPRAR","",IF(MAX(INDEX(Ventas!$G$2:$G$5000,MATCH($A402,Ventas!$A$2:$A$5000,0)),INDEX(Ventas!$H$2:$H$5000,MATCH($A402,Ventas!$A$2:$A$5000,0)),INDEX(Ventas!$I$2:$I$5000,MATCH($A402,Ventas!$A$2:$A$5000,0)),INDEX(Ventas!$J$2:$J$5000,MATCH($A402,Ventas!$A$2:$A$5000,0)))&gt;0.5*AF402*4,"1 mes = "&amp;TEXT(MAX(INDEX(Ventas!$G$2:$G$5000,MATCH($A402,Ventas!$A$2:$A$5000,0)),INDEX(Ventas!$H$2:$H$5000,MATCH($A402,Ventas!$A$2:$A$5000,0)),INDEX(Ventas!$I$2:$I$5000,MATCH($A402,Ventas!$A$2:$A$5000,0)),INDEX(Ventas!$J$2:$J$5000,MATCH($A402,Ventas!$A$2:$A$5000,0)))/(AF402*4),"0%")&amp;" de 4 meses",""))</f>
        <v/>
      </c>
      <c r="AD402" s="62" t="str">
        <f t="shared" si="7"/>
        <v/>
      </c>
      <c r="AE402" s="62" t="str">
        <f t="array" ref="AE402">IF(X402="","",IF(AND(E402=0,AVERAGE(INDEX(Ventas!$C$2:$I$5000,MATCH($A402,Ventas!$A$2:$A$5000,0),0))&gt;0,INDEX(Ventas!$J$2:$J$5000,MATCH($A402,Ventas!$A$2:$A$5000,0))&lt;0.5*AVERAGE(INDEX(Ventas!$C$2:$I$5000,MATCH($A402,Ventas!$A$2:$A$5000,0),0))),"SÍ — stock 0 y Sep cayó (prom Feb-Ago "&amp;TEXT(AVERAGE(INDEX(Ventas!$C$2:$I$5000,MATCH($A402,Ventas!$A$2:$A$5000,0),0)),"#,##0")&amp;")",""))</f>
        <v/>
      </c>
      <c r="AF402" s="60" t="str">
        <f t="array" ref="AF402">IF(X402="","",IF(AE402&lt;&gt;"",MAX(X402,AVERAGE(INDEX(Ventas!$C$2:$I$5000,MATCH($A402,Ventas!$A$2:$A$5000,0),0))),X402))</f>
        <v/>
      </c>
      <c r="AG402" s="60" t="str">
        <f t="shared" si="8"/>
        <v/>
      </c>
      <c r="AH402" s="63" t="str">
        <f t="shared" si="9"/>
        <v/>
      </c>
    </row>
    <row r="403" ht="13.5" customHeight="1">
      <c r="A403" s="87"/>
      <c r="B403" s="50" t="s">
        <v>183</v>
      </c>
      <c r="C403" s="50" t="s">
        <v>3818</v>
      </c>
      <c r="D403" s="50" t="s">
        <v>1009</v>
      </c>
      <c r="E403" s="51">
        <v>1526.0</v>
      </c>
      <c r="F403" s="52"/>
      <c r="G403" s="53"/>
      <c r="H403" s="55"/>
      <c r="I403" s="55"/>
      <c r="J403" s="53"/>
      <c r="K403" s="53"/>
      <c r="L403" s="55"/>
      <c r="M403" s="53"/>
      <c r="N403" s="74"/>
      <c r="O403" s="57" t="str">
        <f t="shared" si="1"/>
        <v>SIN SKU — cargar código para calcular</v>
      </c>
      <c r="P403" s="58">
        <f t="shared" si="2"/>
        <v>1526</v>
      </c>
      <c r="Q403" s="1"/>
      <c r="R403" s="1"/>
      <c r="S403" s="1"/>
      <c r="T403" s="1"/>
      <c r="U403" s="1"/>
      <c r="V403" s="1"/>
      <c r="W403" s="1"/>
      <c r="X403" s="60" t="str">
        <f>IFERROR(VLOOKUP($A403,Ventas!$A$2:$L$5000,12,FALSE()),"")</f>
        <v/>
      </c>
      <c r="Y403" s="60" t="str">
        <f t="shared" si="3"/>
        <v/>
      </c>
      <c r="Z403" s="61" t="str">
        <f t="shared" si="4"/>
        <v/>
      </c>
      <c r="AA403" s="60" t="str">
        <f t="shared" si="5"/>
        <v/>
      </c>
      <c r="AB403" s="62" t="str">
        <f t="shared" si="6"/>
        <v/>
      </c>
      <c r="AC403" s="62" t="str">
        <f t="array" ref="AC403">IF(AH403&lt;&gt;"COMPRAR","",IF(MAX(INDEX(Ventas!$G$2:$G$5000,MATCH($A403,Ventas!$A$2:$A$5000,0)),INDEX(Ventas!$H$2:$H$5000,MATCH($A403,Ventas!$A$2:$A$5000,0)),INDEX(Ventas!$I$2:$I$5000,MATCH($A403,Ventas!$A$2:$A$5000,0)),INDEX(Ventas!$J$2:$J$5000,MATCH($A403,Ventas!$A$2:$A$5000,0)))&gt;0.5*AF403*4,"1 mes = "&amp;TEXT(MAX(INDEX(Ventas!$G$2:$G$5000,MATCH($A403,Ventas!$A$2:$A$5000,0)),INDEX(Ventas!$H$2:$H$5000,MATCH($A403,Ventas!$A$2:$A$5000,0)),INDEX(Ventas!$I$2:$I$5000,MATCH($A403,Ventas!$A$2:$A$5000,0)),INDEX(Ventas!$J$2:$J$5000,MATCH($A403,Ventas!$A$2:$A$5000,0)))/(AF403*4),"0%")&amp;" de 4 meses",""))</f>
        <v/>
      </c>
      <c r="AD403" s="62" t="str">
        <f t="shared" si="7"/>
        <v/>
      </c>
      <c r="AE403" s="62" t="str">
        <f t="array" ref="AE403">IF(X403="","",IF(AND(E403=0,AVERAGE(INDEX(Ventas!$C$2:$I$5000,MATCH($A403,Ventas!$A$2:$A$5000,0),0))&gt;0,INDEX(Ventas!$J$2:$J$5000,MATCH($A403,Ventas!$A$2:$A$5000,0))&lt;0.5*AVERAGE(INDEX(Ventas!$C$2:$I$5000,MATCH($A403,Ventas!$A$2:$A$5000,0),0))),"SÍ — stock 0 y Sep cayó (prom Feb-Ago "&amp;TEXT(AVERAGE(INDEX(Ventas!$C$2:$I$5000,MATCH($A403,Ventas!$A$2:$A$5000,0),0)),"#,##0")&amp;")",""))</f>
        <v/>
      </c>
      <c r="AF403" s="60" t="str">
        <f t="array" ref="AF403">IF(X403="","",IF(AE403&lt;&gt;"",MAX(X403,AVERAGE(INDEX(Ventas!$C$2:$I$5000,MATCH($A403,Ventas!$A$2:$A$5000,0),0))),X403))</f>
        <v/>
      </c>
      <c r="AG403" s="60" t="str">
        <f t="shared" si="8"/>
        <v/>
      </c>
      <c r="AH403" s="63" t="str">
        <f t="shared" si="9"/>
        <v/>
      </c>
    </row>
    <row r="404" ht="13.5" customHeight="1">
      <c r="A404" s="87"/>
      <c r="B404" s="65" t="s">
        <v>183</v>
      </c>
      <c r="C404" s="65" t="s">
        <v>3818</v>
      </c>
      <c r="D404" s="65" t="s">
        <v>336</v>
      </c>
      <c r="E404" s="51">
        <v>1171.0</v>
      </c>
      <c r="F404" s="66"/>
      <c r="G404" s="53"/>
      <c r="H404" s="55"/>
      <c r="I404" s="55"/>
      <c r="J404" s="53"/>
      <c r="K404" s="53"/>
      <c r="L404" s="55"/>
      <c r="M404" s="53"/>
      <c r="N404" s="73"/>
      <c r="O404" s="57" t="str">
        <f t="shared" si="1"/>
        <v>SIN SKU — cargar código para calcular</v>
      </c>
      <c r="P404" s="58">
        <f t="shared" si="2"/>
        <v>1171</v>
      </c>
      <c r="Q404" s="1"/>
      <c r="R404" s="1"/>
      <c r="S404" s="1"/>
      <c r="T404" s="1"/>
      <c r="U404" s="1"/>
      <c r="V404" s="1"/>
      <c r="W404" s="1"/>
      <c r="X404" s="60" t="str">
        <f>IFERROR(VLOOKUP($A404,Ventas!$A$2:$L$5000,12,FALSE()),"")</f>
        <v/>
      </c>
      <c r="Y404" s="60" t="str">
        <f t="shared" si="3"/>
        <v/>
      </c>
      <c r="Z404" s="61" t="str">
        <f t="shared" si="4"/>
        <v/>
      </c>
      <c r="AA404" s="60" t="str">
        <f t="shared" si="5"/>
        <v/>
      </c>
      <c r="AB404" s="62" t="str">
        <f t="shared" si="6"/>
        <v/>
      </c>
      <c r="AC404" s="62" t="str">
        <f t="array" ref="AC404">IF(AH404&lt;&gt;"COMPRAR","",IF(MAX(INDEX(Ventas!$G$2:$G$5000,MATCH($A404,Ventas!$A$2:$A$5000,0)),INDEX(Ventas!$H$2:$H$5000,MATCH($A404,Ventas!$A$2:$A$5000,0)),INDEX(Ventas!$I$2:$I$5000,MATCH($A404,Ventas!$A$2:$A$5000,0)),INDEX(Ventas!$J$2:$J$5000,MATCH($A404,Ventas!$A$2:$A$5000,0)))&gt;0.5*AF404*4,"1 mes = "&amp;TEXT(MAX(INDEX(Ventas!$G$2:$G$5000,MATCH($A404,Ventas!$A$2:$A$5000,0)),INDEX(Ventas!$H$2:$H$5000,MATCH($A404,Ventas!$A$2:$A$5000,0)),INDEX(Ventas!$I$2:$I$5000,MATCH($A404,Ventas!$A$2:$A$5000,0)),INDEX(Ventas!$J$2:$J$5000,MATCH($A404,Ventas!$A$2:$A$5000,0)))/(AF404*4),"0%")&amp;" de 4 meses",""))</f>
        <v/>
      </c>
      <c r="AD404" s="62" t="str">
        <f t="shared" si="7"/>
        <v/>
      </c>
      <c r="AE404" s="62" t="str">
        <f t="array" ref="AE404">IF(X404="","",IF(AND(E404=0,AVERAGE(INDEX(Ventas!$C$2:$I$5000,MATCH($A404,Ventas!$A$2:$A$5000,0),0))&gt;0,INDEX(Ventas!$J$2:$J$5000,MATCH($A404,Ventas!$A$2:$A$5000,0))&lt;0.5*AVERAGE(INDEX(Ventas!$C$2:$I$5000,MATCH($A404,Ventas!$A$2:$A$5000,0),0))),"SÍ — stock 0 y Sep cayó (prom Feb-Ago "&amp;TEXT(AVERAGE(INDEX(Ventas!$C$2:$I$5000,MATCH($A404,Ventas!$A$2:$A$5000,0),0)),"#,##0")&amp;")",""))</f>
        <v/>
      </c>
      <c r="AF404" s="60" t="str">
        <f t="array" ref="AF404">IF(X404="","",IF(AE404&lt;&gt;"",MAX(X404,AVERAGE(INDEX(Ventas!$C$2:$I$5000,MATCH($A404,Ventas!$A$2:$A$5000,0),0))),X404))</f>
        <v/>
      </c>
      <c r="AG404" s="60" t="str">
        <f t="shared" si="8"/>
        <v/>
      </c>
      <c r="AH404" s="63" t="str">
        <f t="shared" si="9"/>
        <v/>
      </c>
    </row>
    <row r="405" ht="13.5" customHeight="1">
      <c r="A405" s="49" t="s">
        <v>2629</v>
      </c>
      <c r="B405" s="50" t="s">
        <v>183</v>
      </c>
      <c r="C405" s="50" t="s">
        <v>3819</v>
      </c>
      <c r="D405" s="50" t="s">
        <v>1329</v>
      </c>
      <c r="E405" s="51">
        <v>319.0</v>
      </c>
      <c r="F405" s="52"/>
      <c r="G405" s="53"/>
      <c r="H405" s="55"/>
      <c r="I405" s="55"/>
      <c r="J405" s="53"/>
      <c r="K405" s="53"/>
      <c r="L405" s="55"/>
      <c r="M405" s="53"/>
      <c r="N405" s="74"/>
      <c r="O405" s="57" t="str">
        <f t="shared" si="1"/>
        <v>SOBRESTOCK — 16.0 meses de cobertura</v>
      </c>
      <c r="P405" s="58">
        <f t="shared" si="2"/>
        <v>319</v>
      </c>
      <c r="Q405" s="1"/>
      <c r="R405" s="1"/>
      <c r="S405" s="1"/>
      <c r="T405" s="1"/>
      <c r="U405" s="1"/>
      <c r="V405" s="1"/>
      <c r="W405" s="1"/>
      <c r="X405" s="60">
        <f>IFERROR(VLOOKUP($A405,Ventas!$A$2:$L$5000,12,FALSE()),"")</f>
        <v>19.925</v>
      </c>
      <c r="Y405" s="60">
        <f t="shared" si="3"/>
        <v>80</v>
      </c>
      <c r="Z405" s="61">
        <f t="shared" si="4"/>
        <v>16</v>
      </c>
      <c r="AA405" s="60">
        <f t="shared" si="5"/>
        <v>-239</v>
      </c>
      <c r="AB405" s="62" t="str">
        <f t="shared" si="6"/>
        <v/>
      </c>
      <c r="AC405" s="62" t="str">
        <f t="array" ref="AC405">IF(AH405&lt;&gt;"COMPRAR","",IF(MAX(INDEX(Ventas!$G$2:$G$5000,MATCH($A405,Ventas!$A$2:$A$5000,0)),INDEX(Ventas!$H$2:$H$5000,MATCH($A405,Ventas!$A$2:$A$5000,0)),INDEX(Ventas!$I$2:$I$5000,MATCH($A405,Ventas!$A$2:$A$5000,0)),INDEX(Ventas!$J$2:$J$5000,MATCH($A405,Ventas!$A$2:$A$5000,0)))&gt;0.5*AF405*4,"1 mes = "&amp;TEXT(MAX(INDEX(Ventas!$G$2:$G$5000,MATCH($A405,Ventas!$A$2:$A$5000,0)),INDEX(Ventas!$H$2:$H$5000,MATCH($A405,Ventas!$A$2:$A$5000,0)),INDEX(Ventas!$I$2:$I$5000,MATCH($A405,Ventas!$A$2:$A$5000,0)),INDEX(Ventas!$J$2:$J$5000,MATCH($A405,Ventas!$A$2:$A$5000,0)))/(AF405*4),"0%")&amp;" de 4 meses",""))</f>
        <v/>
      </c>
      <c r="AD405" s="62" t="str">
        <f t="shared" si="7"/>
        <v/>
      </c>
      <c r="AE405" s="62" t="str">
        <f t="array" ref="AE405">IF(X405="","",IF(AND(E405=0,AVERAGE(INDEX(Ventas!$C$2:$I$5000,MATCH($A405,Ventas!$A$2:$A$5000,0),0))&gt;0,INDEX(Ventas!$J$2:$J$5000,MATCH($A405,Ventas!$A$2:$A$5000,0))&lt;0.5*AVERAGE(INDEX(Ventas!$C$2:$I$5000,MATCH($A405,Ventas!$A$2:$A$5000,0),0))),"SÍ — stock 0 y Sep cayó (prom Feb-Ago "&amp;TEXT(AVERAGE(INDEX(Ventas!$C$2:$I$5000,MATCH($A405,Ventas!$A$2:$A$5000,0),0)),"#,##0")&amp;")",""))</f>
        <v/>
      </c>
      <c r="AF405" s="60">
        <f t="array" ref="AF405">IF(X405="","",IF(AE405&lt;&gt;"",MAX(X405,AVERAGE(INDEX(Ventas!$C$2:$I$5000,MATCH($A405,Ventas!$A$2:$A$5000,0),0))),X405))</f>
        <v>19.925</v>
      </c>
      <c r="AG405" s="60">
        <f t="shared" si="8"/>
        <v>-239</v>
      </c>
      <c r="AH405" s="63" t="str">
        <f t="shared" si="9"/>
        <v>SOBRESTOCK</v>
      </c>
    </row>
    <row r="406" ht="13.5" customHeight="1">
      <c r="A406" s="64" t="s">
        <v>2621</v>
      </c>
      <c r="B406" s="65" t="s">
        <v>183</v>
      </c>
      <c r="C406" s="65" t="s">
        <v>3819</v>
      </c>
      <c r="D406" s="65" t="s">
        <v>2949</v>
      </c>
      <c r="E406" s="51">
        <v>478.0</v>
      </c>
      <c r="F406" s="66"/>
      <c r="G406" s="53"/>
      <c r="H406" s="55"/>
      <c r="I406" s="55"/>
      <c r="J406" s="53"/>
      <c r="K406" s="53"/>
      <c r="L406" s="55"/>
      <c r="M406" s="53"/>
      <c r="N406" s="73"/>
      <c r="O406" s="57" t="str">
        <f t="shared" si="1"/>
        <v>SOBRESTOCK — 57.9 meses de cobertura</v>
      </c>
      <c r="P406" s="58">
        <f t="shared" si="2"/>
        <v>478</v>
      </c>
      <c r="Q406" s="1"/>
      <c r="R406" s="1"/>
      <c r="S406" s="1"/>
      <c r="T406" s="1"/>
      <c r="U406" s="1"/>
      <c r="V406" s="1"/>
      <c r="W406" s="1"/>
      <c r="X406" s="60">
        <f>IFERROR(VLOOKUP($A406,Ventas!$A$2:$L$5000,12,FALSE()),"")</f>
        <v>8.25</v>
      </c>
      <c r="Y406" s="60">
        <f t="shared" si="3"/>
        <v>33</v>
      </c>
      <c r="Z406" s="61">
        <f t="shared" si="4"/>
        <v>57.9</v>
      </c>
      <c r="AA406" s="60">
        <f t="shared" si="5"/>
        <v>-445</v>
      </c>
      <c r="AB406" s="62" t="str">
        <f t="shared" si="6"/>
        <v/>
      </c>
      <c r="AC406" s="62" t="str">
        <f t="array" ref="AC406">IF(AH406&lt;&gt;"COMPRAR","",IF(MAX(INDEX(Ventas!$G$2:$G$5000,MATCH($A406,Ventas!$A$2:$A$5000,0)),INDEX(Ventas!$H$2:$H$5000,MATCH($A406,Ventas!$A$2:$A$5000,0)),INDEX(Ventas!$I$2:$I$5000,MATCH($A406,Ventas!$A$2:$A$5000,0)),INDEX(Ventas!$J$2:$J$5000,MATCH($A406,Ventas!$A$2:$A$5000,0)))&gt;0.5*AF406*4,"1 mes = "&amp;TEXT(MAX(INDEX(Ventas!$G$2:$G$5000,MATCH($A406,Ventas!$A$2:$A$5000,0)),INDEX(Ventas!$H$2:$H$5000,MATCH($A406,Ventas!$A$2:$A$5000,0)),INDEX(Ventas!$I$2:$I$5000,MATCH($A406,Ventas!$A$2:$A$5000,0)),INDEX(Ventas!$J$2:$J$5000,MATCH($A406,Ventas!$A$2:$A$5000,0)))/(AF406*4),"0%")&amp;" de 4 meses",""))</f>
        <v/>
      </c>
      <c r="AD406" s="62" t="str">
        <f t="shared" si="7"/>
        <v/>
      </c>
      <c r="AE406" s="62" t="str">
        <f t="array" ref="AE406">IF(X406="","",IF(AND(E406=0,AVERAGE(INDEX(Ventas!$C$2:$I$5000,MATCH($A406,Ventas!$A$2:$A$5000,0),0))&gt;0,INDEX(Ventas!$J$2:$J$5000,MATCH($A406,Ventas!$A$2:$A$5000,0))&lt;0.5*AVERAGE(INDEX(Ventas!$C$2:$I$5000,MATCH($A406,Ventas!$A$2:$A$5000,0),0))),"SÍ — stock 0 y Sep cayó (prom Feb-Ago "&amp;TEXT(AVERAGE(INDEX(Ventas!$C$2:$I$5000,MATCH($A406,Ventas!$A$2:$A$5000,0),0)),"#,##0")&amp;")",""))</f>
        <v/>
      </c>
      <c r="AF406" s="60">
        <f t="array" ref="AF406">IF(X406="","",IF(AE406&lt;&gt;"",MAX(X406,AVERAGE(INDEX(Ventas!$C$2:$I$5000,MATCH($A406,Ventas!$A$2:$A$5000,0),0))),X406))</f>
        <v>8.25</v>
      </c>
      <c r="AG406" s="60">
        <f t="shared" si="8"/>
        <v>-445</v>
      </c>
      <c r="AH406" s="63" t="str">
        <f t="shared" si="9"/>
        <v>SOBRESTOCK</v>
      </c>
    </row>
    <row r="407" ht="13.5" customHeight="1">
      <c r="A407" s="49" t="s">
        <v>2631</v>
      </c>
      <c r="B407" s="50" t="s">
        <v>183</v>
      </c>
      <c r="C407" s="50" t="s">
        <v>3819</v>
      </c>
      <c r="D407" s="50" t="s">
        <v>646</v>
      </c>
      <c r="E407" s="51">
        <v>287.0</v>
      </c>
      <c r="F407" s="52"/>
      <c r="G407" s="53"/>
      <c r="H407" s="55"/>
      <c r="I407" s="55"/>
      <c r="J407" s="53"/>
      <c r="K407" s="53"/>
      <c r="L407" s="55"/>
      <c r="M407" s="53"/>
      <c r="N407" s="74"/>
      <c r="O407" s="57" t="str">
        <f t="shared" si="1"/>
        <v>SOBRESTOCK — 18.9 meses de cobertura</v>
      </c>
      <c r="P407" s="58">
        <f t="shared" si="2"/>
        <v>287</v>
      </c>
      <c r="Q407" s="1"/>
      <c r="R407" s="1"/>
      <c r="S407" s="1"/>
      <c r="T407" s="1"/>
      <c r="U407" s="1"/>
      <c r="V407" s="1"/>
      <c r="W407" s="1"/>
      <c r="X407" s="60">
        <f>IFERROR(VLOOKUP($A407,Ventas!$A$2:$L$5000,12,FALSE()),"")</f>
        <v>15.15</v>
      </c>
      <c r="Y407" s="60">
        <f t="shared" si="3"/>
        <v>61</v>
      </c>
      <c r="Z407" s="61">
        <f t="shared" si="4"/>
        <v>18.9</v>
      </c>
      <c r="AA407" s="60">
        <f t="shared" si="5"/>
        <v>-226</v>
      </c>
      <c r="AB407" s="62" t="str">
        <f t="shared" si="6"/>
        <v/>
      </c>
      <c r="AC407" s="62" t="str">
        <f t="array" ref="AC407">IF(AH407&lt;&gt;"COMPRAR","",IF(MAX(INDEX(Ventas!$G$2:$G$5000,MATCH($A407,Ventas!$A$2:$A$5000,0)),INDEX(Ventas!$H$2:$H$5000,MATCH($A407,Ventas!$A$2:$A$5000,0)),INDEX(Ventas!$I$2:$I$5000,MATCH($A407,Ventas!$A$2:$A$5000,0)),INDEX(Ventas!$J$2:$J$5000,MATCH($A407,Ventas!$A$2:$A$5000,0)))&gt;0.5*AF407*4,"1 mes = "&amp;TEXT(MAX(INDEX(Ventas!$G$2:$G$5000,MATCH($A407,Ventas!$A$2:$A$5000,0)),INDEX(Ventas!$H$2:$H$5000,MATCH($A407,Ventas!$A$2:$A$5000,0)),INDEX(Ventas!$I$2:$I$5000,MATCH($A407,Ventas!$A$2:$A$5000,0)),INDEX(Ventas!$J$2:$J$5000,MATCH($A407,Ventas!$A$2:$A$5000,0)))/(AF407*4),"0%")&amp;" de 4 meses",""))</f>
        <v/>
      </c>
      <c r="AD407" s="62" t="str">
        <f t="shared" si="7"/>
        <v/>
      </c>
      <c r="AE407" s="62" t="str">
        <f t="array" ref="AE407">IF(X407="","",IF(AND(E407=0,AVERAGE(INDEX(Ventas!$C$2:$I$5000,MATCH($A407,Ventas!$A$2:$A$5000,0),0))&gt;0,INDEX(Ventas!$J$2:$J$5000,MATCH($A407,Ventas!$A$2:$A$5000,0))&lt;0.5*AVERAGE(INDEX(Ventas!$C$2:$I$5000,MATCH($A407,Ventas!$A$2:$A$5000,0),0))),"SÍ — stock 0 y Sep cayó (prom Feb-Ago "&amp;TEXT(AVERAGE(INDEX(Ventas!$C$2:$I$5000,MATCH($A407,Ventas!$A$2:$A$5000,0),0)),"#,##0")&amp;")",""))</f>
        <v/>
      </c>
      <c r="AF407" s="60">
        <f t="array" ref="AF407">IF(X407="","",IF(AE407&lt;&gt;"",MAX(X407,AVERAGE(INDEX(Ventas!$C$2:$I$5000,MATCH($A407,Ventas!$A$2:$A$5000,0),0))),X407))</f>
        <v>15.15</v>
      </c>
      <c r="AG407" s="60">
        <f t="shared" si="8"/>
        <v>-226</v>
      </c>
      <c r="AH407" s="63" t="str">
        <f t="shared" si="9"/>
        <v>SOBRESTOCK</v>
      </c>
    </row>
    <row r="408" ht="13.5" customHeight="1">
      <c r="A408" s="64" t="s">
        <v>2623</v>
      </c>
      <c r="B408" s="65" t="s">
        <v>183</v>
      </c>
      <c r="C408" s="65" t="s">
        <v>3819</v>
      </c>
      <c r="D408" s="65" t="s">
        <v>1009</v>
      </c>
      <c r="E408" s="51">
        <v>484.0</v>
      </c>
      <c r="F408" s="66"/>
      <c r="G408" s="53"/>
      <c r="H408" s="55"/>
      <c r="I408" s="55"/>
      <c r="J408" s="53"/>
      <c r="K408" s="53"/>
      <c r="L408" s="55"/>
      <c r="M408" s="53"/>
      <c r="N408" s="73"/>
      <c r="O408" s="57" t="str">
        <f t="shared" si="1"/>
        <v>SIN VENTAS Jun-Sep — no comprar (484 m disponibles)</v>
      </c>
      <c r="P408" s="58">
        <f t="shared" si="2"/>
        <v>484</v>
      </c>
      <c r="Q408" s="1"/>
      <c r="R408" s="1"/>
      <c r="S408" s="1"/>
      <c r="T408" s="1"/>
      <c r="U408" s="1"/>
      <c r="V408" s="1"/>
      <c r="W408" s="1"/>
      <c r="X408" s="60">
        <f>IFERROR(VLOOKUP($A408,Ventas!$A$2:$L$5000,12,FALSE()),"")</f>
        <v>0</v>
      </c>
      <c r="Y408" s="60">
        <f t="shared" si="3"/>
        <v>0</v>
      </c>
      <c r="Z408" s="61" t="str">
        <f t="shared" si="4"/>
        <v/>
      </c>
      <c r="AA408" s="60">
        <f t="shared" si="5"/>
        <v>-484</v>
      </c>
      <c r="AB408" s="62" t="str">
        <f t="shared" si="6"/>
        <v/>
      </c>
      <c r="AC408" s="62" t="str">
        <f t="array" ref="AC408">IF(AH408&lt;&gt;"COMPRAR","",IF(MAX(INDEX(Ventas!$G$2:$G$5000,MATCH($A408,Ventas!$A$2:$A$5000,0)),INDEX(Ventas!$H$2:$H$5000,MATCH($A408,Ventas!$A$2:$A$5000,0)),INDEX(Ventas!$I$2:$I$5000,MATCH($A408,Ventas!$A$2:$A$5000,0)),INDEX(Ventas!$J$2:$J$5000,MATCH($A408,Ventas!$A$2:$A$5000,0)))&gt;0.5*AF408*4,"1 mes = "&amp;TEXT(MAX(INDEX(Ventas!$G$2:$G$5000,MATCH($A408,Ventas!$A$2:$A$5000,0)),INDEX(Ventas!$H$2:$H$5000,MATCH($A408,Ventas!$A$2:$A$5000,0)),INDEX(Ventas!$I$2:$I$5000,MATCH($A408,Ventas!$A$2:$A$5000,0)),INDEX(Ventas!$J$2:$J$5000,MATCH($A408,Ventas!$A$2:$A$5000,0)))/(AF408*4),"0%")&amp;" de 4 meses",""))</f>
        <v/>
      </c>
      <c r="AD408" s="62" t="str">
        <f t="shared" si="7"/>
        <v/>
      </c>
      <c r="AE408" s="62" t="str">
        <f t="array" ref="AE408">IF(X408="","",IF(AND(E408=0,AVERAGE(INDEX(Ventas!$C$2:$I$5000,MATCH($A408,Ventas!$A$2:$A$5000,0),0))&gt;0,INDEX(Ventas!$J$2:$J$5000,MATCH($A408,Ventas!$A$2:$A$5000,0))&lt;0.5*AVERAGE(INDEX(Ventas!$C$2:$I$5000,MATCH($A408,Ventas!$A$2:$A$5000,0),0))),"SÍ — stock 0 y Sep cayó (prom Feb-Ago "&amp;TEXT(AVERAGE(INDEX(Ventas!$C$2:$I$5000,MATCH($A408,Ventas!$A$2:$A$5000,0),0)),"#,##0")&amp;")",""))</f>
        <v/>
      </c>
      <c r="AF408" s="60">
        <f t="array" ref="AF408">IF(X408="","",IF(AE408&lt;&gt;"",MAX(X408,AVERAGE(INDEX(Ventas!$C$2:$I$5000,MATCH($A408,Ventas!$A$2:$A$5000,0),0))),X408))</f>
        <v>0</v>
      </c>
      <c r="AG408" s="60">
        <f t="shared" si="8"/>
        <v>-484</v>
      </c>
      <c r="AH408" s="63" t="str">
        <f t="shared" si="9"/>
        <v>SIN VENTAS</v>
      </c>
    </row>
    <row r="409" ht="13.5" customHeight="1">
      <c r="A409" s="49" t="s">
        <v>2625</v>
      </c>
      <c r="B409" s="50" t="s">
        <v>183</v>
      </c>
      <c r="C409" s="50" t="s">
        <v>3819</v>
      </c>
      <c r="D409" s="50" t="s">
        <v>3791</v>
      </c>
      <c r="E409" s="51">
        <v>523.0</v>
      </c>
      <c r="F409" s="52"/>
      <c r="G409" s="53"/>
      <c r="H409" s="55"/>
      <c r="I409" s="55"/>
      <c r="J409" s="53"/>
      <c r="K409" s="53"/>
      <c r="L409" s="55"/>
      <c r="M409" s="53"/>
      <c r="N409" s="74"/>
      <c r="O409" s="57" t="str">
        <f t="shared" si="1"/>
        <v>SOBRESTOCK — 15.2 meses de cobertura</v>
      </c>
      <c r="P409" s="58">
        <f t="shared" si="2"/>
        <v>523</v>
      </c>
      <c r="Q409" s="1"/>
      <c r="R409" s="1"/>
      <c r="S409" s="1"/>
      <c r="T409" s="1"/>
      <c r="U409" s="1"/>
      <c r="V409" s="1"/>
      <c r="W409" s="1"/>
      <c r="X409" s="60">
        <f>IFERROR(VLOOKUP($A409,Ventas!$A$2:$L$5000,12,FALSE()),"")</f>
        <v>34.325</v>
      </c>
      <c r="Y409" s="60">
        <f t="shared" si="3"/>
        <v>137</v>
      </c>
      <c r="Z409" s="61">
        <f t="shared" si="4"/>
        <v>15.2</v>
      </c>
      <c r="AA409" s="60">
        <f t="shared" si="5"/>
        <v>-386</v>
      </c>
      <c r="AB409" s="62" t="str">
        <f t="shared" si="6"/>
        <v/>
      </c>
      <c r="AC409" s="62" t="str">
        <f t="array" ref="AC409">IF(AH409&lt;&gt;"COMPRAR","",IF(MAX(INDEX(Ventas!$G$2:$G$5000,MATCH($A409,Ventas!$A$2:$A$5000,0)),INDEX(Ventas!$H$2:$H$5000,MATCH($A409,Ventas!$A$2:$A$5000,0)),INDEX(Ventas!$I$2:$I$5000,MATCH($A409,Ventas!$A$2:$A$5000,0)),INDEX(Ventas!$J$2:$J$5000,MATCH($A409,Ventas!$A$2:$A$5000,0)))&gt;0.5*AF409*4,"1 mes = "&amp;TEXT(MAX(INDEX(Ventas!$G$2:$G$5000,MATCH($A409,Ventas!$A$2:$A$5000,0)),INDEX(Ventas!$H$2:$H$5000,MATCH($A409,Ventas!$A$2:$A$5000,0)),INDEX(Ventas!$I$2:$I$5000,MATCH($A409,Ventas!$A$2:$A$5000,0)),INDEX(Ventas!$J$2:$J$5000,MATCH($A409,Ventas!$A$2:$A$5000,0)))/(AF409*4),"0%")&amp;" de 4 meses",""))</f>
        <v/>
      </c>
      <c r="AD409" s="62" t="str">
        <f t="shared" si="7"/>
        <v/>
      </c>
      <c r="AE409" s="62" t="str">
        <f t="array" ref="AE409">IF(X409="","",IF(AND(E409=0,AVERAGE(INDEX(Ventas!$C$2:$I$5000,MATCH($A409,Ventas!$A$2:$A$5000,0),0))&gt;0,INDEX(Ventas!$J$2:$J$5000,MATCH($A409,Ventas!$A$2:$A$5000,0))&lt;0.5*AVERAGE(INDEX(Ventas!$C$2:$I$5000,MATCH($A409,Ventas!$A$2:$A$5000,0),0))),"SÍ — stock 0 y Sep cayó (prom Feb-Ago "&amp;TEXT(AVERAGE(INDEX(Ventas!$C$2:$I$5000,MATCH($A409,Ventas!$A$2:$A$5000,0),0)),"#,##0")&amp;")",""))</f>
        <v/>
      </c>
      <c r="AF409" s="60">
        <f t="array" ref="AF409">IF(X409="","",IF(AE409&lt;&gt;"",MAX(X409,AVERAGE(INDEX(Ventas!$C$2:$I$5000,MATCH($A409,Ventas!$A$2:$A$5000,0),0))),X409))</f>
        <v>34.325</v>
      </c>
      <c r="AG409" s="60">
        <f t="shared" si="8"/>
        <v>-386</v>
      </c>
      <c r="AH409" s="63" t="str">
        <f t="shared" si="9"/>
        <v>SOBRESTOCK</v>
      </c>
    </row>
    <row r="410" ht="13.5" customHeight="1">
      <c r="A410" s="64" t="s">
        <v>2611</v>
      </c>
      <c r="B410" s="65" t="s">
        <v>183</v>
      </c>
      <c r="C410" s="65" t="s">
        <v>3820</v>
      </c>
      <c r="D410" s="65" t="s">
        <v>3821</v>
      </c>
      <c r="E410" s="51">
        <v>894.0</v>
      </c>
      <c r="F410" s="66"/>
      <c r="G410" s="53"/>
      <c r="H410" s="55"/>
      <c r="I410" s="55"/>
      <c r="J410" s="53"/>
      <c r="K410" s="53"/>
      <c r="L410" s="55"/>
      <c r="M410" s="53"/>
      <c r="N410" s="73"/>
      <c r="O410" s="57" t="str">
        <f t="shared" si="1"/>
        <v>SOBRESTOCK — 14.4 meses de cobertura</v>
      </c>
      <c r="P410" s="58">
        <f t="shared" si="2"/>
        <v>894</v>
      </c>
      <c r="Q410" s="1"/>
      <c r="R410" s="1"/>
      <c r="S410" s="1"/>
      <c r="T410" s="1"/>
      <c r="U410" s="1"/>
      <c r="V410" s="1"/>
      <c r="W410" s="1"/>
      <c r="X410" s="60">
        <f>IFERROR(VLOOKUP($A410,Ventas!$A$2:$L$5000,12,FALSE()),"")</f>
        <v>62.25</v>
      </c>
      <c r="Y410" s="60">
        <f t="shared" si="3"/>
        <v>249</v>
      </c>
      <c r="Z410" s="61">
        <f t="shared" si="4"/>
        <v>14.4</v>
      </c>
      <c r="AA410" s="60">
        <f t="shared" si="5"/>
        <v>-645</v>
      </c>
      <c r="AB410" s="62" t="str">
        <f t="shared" si="6"/>
        <v/>
      </c>
      <c r="AC410" s="62" t="str">
        <f t="array" ref="AC410">IF(AH410&lt;&gt;"COMPRAR","",IF(MAX(INDEX(Ventas!$G$2:$G$5000,MATCH($A410,Ventas!$A$2:$A$5000,0)),INDEX(Ventas!$H$2:$H$5000,MATCH($A410,Ventas!$A$2:$A$5000,0)),INDEX(Ventas!$I$2:$I$5000,MATCH($A410,Ventas!$A$2:$A$5000,0)),INDEX(Ventas!$J$2:$J$5000,MATCH($A410,Ventas!$A$2:$A$5000,0)))&gt;0.5*AF410*4,"1 mes = "&amp;TEXT(MAX(INDEX(Ventas!$G$2:$G$5000,MATCH($A410,Ventas!$A$2:$A$5000,0)),INDEX(Ventas!$H$2:$H$5000,MATCH($A410,Ventas!$A$2:$A$5000,0)),INDEX(Ventas!$I$2:$I$5000,MATCH($A410,Ventas!$A$2:$A$5000,0)),INDEX(Ventas!$J$2:$J$5000,MATCH($A410,Ventas!$A$2:$A$5000,0)))/(AF410*4),"0%")&amp;" de 4 meses",""))</f>
        <v/>
      </c>
      <c r="AD410" s="62" t="str">
        <f t="shared" si="7"/>
        <v/>
      </c>
      <c r="AE410" s="62" t="str">
        <f t="array" ref="AE410">IF(X410="","",IF(AND(E410=0,AVERAGE(INDEX(Ventas!$C$2:$I$5000,MATCH($A410,Ventas!$A$2:$A$5000,0),0))&gt;0,INDEX(Ventas!$J$2:$J$5000,MATCH($A410,Ventas!$A$2:$A$5000,0))&lt;0.5*AVERAGE(INDEX(Ventas!$C$2:$I$5000,MATCH($A410,Ventas!$A$2:$A$5000,0),0))),"SÍ — stock 0 y Sep cayó (prom Feb-Ago "&amp;TEXT(AVERAGE(INDEX(Ventas!$C$2:$I$5000,MATCH($A410,Ventas!$A$2:$A$5000,0),0)),"#,##0")&amp;")",""))</f>
        <v/>
      </c>
      <c r="AF410" s="60">
        <f t="array" ref="AF410">IF(X410="","",IF(AE410&lt;&gt;"",MAX(X410,AVERAGE(INDEX(Ventas!$C$2:$I$5000,MATCH($A410,Ventas!$A$2:$A$5000,0),0))),X410))</f>
        <v>62.25</v>
      </c>
      <c r="AG410" s="60">
        <f t="shared" si="8"/>
        <v>-645</v>
      </c>
      <c r="AH410" s="63" t="str">
        <f t="shared" si="9"/>
        <v>SOBRESTOCK</v>
      </c>
    </row>
    <row r="411" ht="13.5" customHeight="1">
      <c r="A411" s="49" t="s">
        <v>2613</v>
      </c>
      <c r="B411" s="50" t="s">
        <v>183</v>
      </c>
      <c r="C411" s="50" t="s">
        <v>3820</v>
      </c>
      <c r="D411" s="50" t="s">
        <v>3791</v>
      </c>
      <c r="E411" s="51">
        <v>0.0</v>
      </c>
      <c r="F411" s="52"/>
      <c r="G411" s="53"/>
      <c r="H411" s="55"/>
      <c r="I411" s="55"/>
      <c r="J411" s="53"/>
      <c r="K411" s="53"/>
      <c r="L411" s="55">
        <v>500.0</v>
      </c>
      <c r="M411" s="53"/>
      <c r="N411" s="74"/>
      <c r="O411" s="57" t="str">
        <f t="shared" si="1"/>
        <v>PEDIR MENOS — sobran 150 m; revisar pedidos sin facturar (500 m)</v>
      </c>
      <c r="P411" s="58">
        <f t="shared" si="2"/>
        <v>500</v>
      </c>
      <c r="Q411" s="1"/>
      <c r="R411" s="1"/>
      <c r="S411" s="1"/>
      <c r="T411" s="1"/>
      <c r="U411" s="1"/>
      <c r="V411" s="1"/>
      <c r="W411" s="1"/>
      <c r="X411" s="60">
        <f>IFERROR(VLOOKUP($A411,Ventas!$A$2:$L$5000,12,FALSE()),"")</f>
        <v>87.5</v>
      </c>
      <c r="Y411" s="60">
        <f t="shared" si="3"/>
        <v>350</v>
      </c>
      <c r="Z411" s="61">
        <f t="shared" si="4"/>
        <v>5.7</v>
      </c>
      <c r="AA411" s="60">
        <f t="shared" si="5"/>
        <v>-150</v>
      </c>
      <c r="AB411" s="62" t="str">
        <f t="shared" si="6"/>
        <v/>
      </c>
      <c r="AC411" s="62" t="str">
        <f t="array" ref="AC411">IF(AH411&lt;&gt;"COMPRAR","",IF(MAX(INDEX(Ventas!$G$2:$G$5000,MATCH($A411,Ventas!$A$2:$A$5000,0)),INDEX(Ventas!$H$2:$H$5000,MATCH($A411,Ventas!$A$2:$A$5000,0)),INDEX(Ventas!$I$2:$I$5000,MATCH($A411,Ventas!$A$2:$A$5000,0)),INDEX(Ventas!$J$2:$J$5000,MATCH($A411,Ventas!$A$2:$A$5000,0)))&gt;0.5*AF411*4,"1 mes = "&amp;TEXT(MAX(INDEX(Ventas!$G$2:$G$5000,MATCH($A411,Ventas!$A$2:$A$5000,0)),INDEX(Ventas!$H$2:$H$5000,MATCH($A411,Ventas!$A$2:$A$5000,0)),INDEX(Ventas!$I$2:$I$5000,MATCH($A411,Ventas!$A$2:$A$5000,0)),INDEX(Ventas!$J$2:$J$5000,MATCH($A411,Ventas!$A$2:$A$5000,0)))/(AF411*4),"0%")&amp;" de 4 meses",""))</f>
        <v/>
      </c>
      <c r="AD411" s="62" t="str">
        <f t="shared" si="7"/>
        <v>SÍ — 0 m vs 46 m</v>
      </c>
      <c r="AE411" s="62" t="str">
        <f t="array" ref="AE411">IF(X411="","",IF(AND(E411=0,AVERAGE(INDEX(Ventas!$C$2:$I$5000,MATCH($A411,Ventas!$A$2:$A$5000,0),0))&gt;0,INDEX(Ventas!$J$2:$J$5000,MATCH($A411,Ventas!$A$2:$A$5000,0))&lt;0.5*AVERAGE(INDEX(Ventas!$C$2:$I$5000,MATCH($A411,Ventas!$A$2:$A$5000,0),0))),"SÍ — stock 0 y Sep cayó (prom Feb-Ago "&amp;TEXT(AVERAGE(INDEX(Ventas!$C$2:$I$5000,MATCH($A411,Ventas!$A$2:$A$5000,0),0)),"#,##0")&amp;")",""))</f>
        <v>SÍ — stock 0 y Sep cayó (prom Feb-Ago 113)</v>
      </c>
      <c r="AF411" s="60">
        <f t="array" ref="AF411">IF(X411="","",IF(AE411&lt;&gt;"",MAX(X411,AVERAGE(INDEX(Ventas!$C$2:$I$5000,MATCH($A411,Ventas!$A$2:$A$5000,0),0))),X411))</f>
        <v>112.5</v>
      </c>
      <c r="AG411" s="60">
        <f t="shared" si="8"/>
        <v>-50</v>
      </c>
      <c r="AH411" s="63" t="str">
        <f t="shared" si="9"/>
        <v>PEDIR MENOS</v>
      </c>
    </row>
    <row r="412" ht="13.5" customHeight="1">
      <c r="A412" s="64" t="s">
        <v>2619</v>
      </c>
      <c r="B412" s="65" t="s">
        <v>183</v>
      </c>
      <c r="C412" s="65" t="s">
        <v>3820</v>
      </c>
      <c r="D412" s="65" t="s">
        <v>3822</v>
      </c>
      <c r="E412" s="51">
        <v>500.0</v>
      </c>
      <c r="F412" s="66"/>
      <c r="G412" s="53"/>
      <c r="H412" s="55"/>
      <c r="I412" s="55"/>
      <c r="J412" s="53"/>
      <c r="K412" s="53"/>
      <c r="L412" s="55"/>
      <c r="M412" s="53"/>
      <c r="N412" s="73"/>
      <c r="O412" s="57" t="str">
        <f t="shared" si="1"/>
        <v>SOBRESTOCK — 26.3 meses de cobertura</v>
      </c>
      <c r="P412" s="58">
        <f t="shared" si="2"/>
        <v>500</v>
      </c>
      <c r="Q412" s="1"/>
      <c r="R412" s="1"/>
      <c r="S412" s="1"/>
      <c r="T412" s="1"/>
      <c r="U412" s="1"/>
      <c r="V412" s="1"/>
      <c r="W412" s="1"/>
      <c r="X412" s="60">
        <f>IFERROR(VLOOKUP($A412,Ventas!$A$2:$L$5000,12,FALSE()),"")</f>
        <v>19</v>
      </c>
      <c r="Y412" s="60">
        <f t="shared" si="3"/>
        <v>76</v>
      </c>
      <c r="Z412" s="61">
        <f t="shared" si="4"/>
        <v>26.3</v>
      </c>
      <c r="AA412" s="60">
        <f t="shared" si="5"/>
        <v>-424</v>
      </c>
      <c r="AB412" s="62" t="str">
        <f t="shared" si="6"/>
        <v/>
      </c>
      <c r="AC412" s="62" t="str">
        <f t="array" ref="AC412">IF(AH412&lt;&gt;"COMPRAR","",IF(MAX(INDEX(Ventas!$G$2:$G$5000,MATCH($A412,Ventas!$A$2:$A$5000,0)),INDEX(Ventas!$H$2:$H$5000,MATCH($A412,Ventas!$A$2:$A$5000,0)),INDEX(Ventas!$I$2:$I$5000,MATCH($A412,Ventas!$A$2:$A$5000,0)),INDEX(Ventas!$J$2:$J$5000,MATCH($A412,Ventas!$A$2:$A$5000,0)))&gt;0.5*AF412*4,"1 mes = "&amp;TEXT(MAX(INDEX(Ventas!$G$2:$G$5000,MATCH($A412,Ventas!$A$2:$A$5000,0)),INDEX(Ventas!$H$2:$H$5000,MATCH($A412,Ventas!$A$2:$A$5000,0)),INDEX(Ventas!$I$2:$I$5000,MATCH($A412,Ventas!$A$2:$A$5000,0)),INDEX(Ventas!$J$2:$J$5000,MATCH($A412,Ventas!$A$2:$A$5000,0)))/(AF412*4),"0%")&amp;" de 4 meses",""))</f>
        <v/>
      </c>
      <c r="AD412" s="62" t="str">
        <f t="shared" si="7"/>
        <v/>
      </c>
      <c r="AE412" s="62" t="str">
        <f t="array" ref="AE412">IF(X412="","",IF(AND(E412=0,AVERAGE(INDEX(Ventas!$C$2:$I$5000,MATCH($A412,Ventas!$A$2:$A$5000,0),0))&gt;0,INDEX(Ventas!$J$2:$J$5000,MATCH($A412,Ventas!$A$2:$A$5000,0))&lt;0.5*AVERAGE(INDEX(Ventas!$C$2:$I$5000,MATCH($A412,Ventas!$A$2:$A$5000,0),0))),"SÍ — stock 0 y Sep cayó (prom Feb-Ago "&amp;TEXT(AVERAGE(INDEX(Ventas!$C$2:$I$5000,MATCH($A412,Ventas!$A$2:$A$5000,0),0)),"#,##0")&amp;")",""))</f>
        <v/>
      </c>
      <c r="AF412" s="60">
        <f t="array" ref="AF412">IF(X412="","",IF(AE412&lt;&gt;"",MAX(X412,AVERAGE(INDEX(Ventas!$C$2:$I$5000,MATCH($A412,Ventas!$A$2:$A$5000,0),0))),X412))</f>
        <v>19</v>
      </c>
      <c r="AG412" s="60">
        <f t="shared" si="8"/>
        <v>-424</v>
      </c>
      <c r="AH412" s="63" t="str">
        <f t="shared" si="9"/>
        <v>SOBRESTOCK</v>
      </c>
    </row>
    <row r="413" ht="13.5" customHeight="1">
      <c r="A413" s="49" t="s">
        <v>2617</v>
      </c>
      <c r="B413" s="50" t="s">
        <v>183</v>
      </c>
      <c r="C413" s="50" t="s">
        <v>3820</v>
      </c>
      <c r="D413" s="50" t="s">
        <v>3823</v>
      </c>
      <c r="E413" s="51">
        <v>1000.0</v>
      </c>
      <c r="F413" s="52"/>
      <c r="G413" s="53"/>
      <c r="H413" s="55"/>
      <c r="I413" s="55"/>
      <c r="J413" s="53"/>
      <c r="K413" s="53"/>
      <c r="L413" s="55"/>
      <c r="M413" s="53"/>
      <c r="N413" s="74"/>
      <c r="O413" s="57" t="str">
        <f t="shared" si="1"/>
        <v>SOBRESTOCK — 22.9 meses de cobertura</v>
      </c>
      <c r="P413" s="58">
        <f t="shared" si="2"/>
        <v>1000</v>
      </c>
      <c r="Q413" s="1"/>
      <c r="R413" s="1"/>
      <c r="S413" s="1"/>
      <c r="T413" s="1"/>
      <c r="U413" s="1"/>
      <c r="V413" s="1"/>
      <c r="W413" s="1"/>
      <c r="X413" s="60">
        <f>IFERROR(VLOOKUP($A413,Ventas!$A$2:$L$5000,12,FALSE()),"")</f>
        <v>43.75</v>
      </c>
      <c r="Y413" s="60">
        <f t="shared" si="3"/>
        <v>175</v>
      </c>
      <c r="Z413" s="61">
        <f t="shared" si="4"/>
        <v>22.9</v>
      </c>
      <c r="AA413" s="60">
        <f t="shared" si="5"/>
        <v>-825</v>
      </c>
      <c r="AB413" s="62" t="str">
        <f t="shared" si="6"/>
        <v/>
      </c>
      <c r="AC413" s="62" t="str">
        <f t="array" ref="AC413">IF(AH413&lt;&gt;"COMPRAR","",IF(MAX(INDEX(Ventas!$G$2:$G$5000,MATCH($A413,Ventas!$A$2:$A$5000,0)),INDEX(Ventas!$H$2:$H$5000,MATCH($A413,Ventas!$A$2:$A$5000,0)),INDEX(Ventas!$I$2:$I$5000,MATCH($A413,Ventas!$A$2:$A$5000,0)),INDEX(Ventas!$J$2:$J$5000,MATCH($A413,Ventas!$A$2:$A$5000,0)))&gt;0.5*AF413*4,"1 mes = "&amp;TEXT(MAX(INDEX(Ventas!$G$2:$G$5000,MATCH($A413,Ventas!$A$2:$A$5000,0)),INDEX(Ventas!$H$2:$H$5000,MATCH($A413,Ventas!$A$2:$A$5000,0)),INDEX(Ventas!$I$2:$I$5000,MATCH($A413,Ventas!$A$2:$A$5000,0)),INDEX(Ventas!$J$2:$J$5000,MATCH($A413,Ventas!$A$2:$A$5000,0)))/(AF413*4),"0%")&amp;" de 4 meses",""))</f>
        <v/>
      </c>
      <c r="AD413" s="62" t="str">
        <f t="shared" si="7"/>
        <v/>
      </c>
      <c r="AE413" s="62" t="str">
        <f t="array" ref="AE413">IF(X413="","",IF(AND(E413=0,AVERAGE(INDEX(Ventas!$C$2:$I$5000,MATCH($A413,Ventas!$A$2:$A$5000,0),0))&gt;0,INDEX(Ventas!$J$2:$J$5000,MATCH($A413,Ventas!$A$2:$A$5000,0))&lt;0.5*AVERAGE(INDEX(Ventas!$C$2:$I$5000,MATCH($A413,Ventas!$A$2:$A$5000,0),0))),"SÍ — stock 0 y Sep cayó (prom Feb-Ago "&amp;TEXT(AVERAGE(INDEX(Ventas!$C$2:$I$5000,MATCH($A413,Ventas!$A$2:$A$5000,0),0)),"#,##0")&amp;")",""))</f>
        <v/>
      </c>
      <c r="AF413" s="60">
        <f t="array" ref="AF413">IF(X413="","",IF(AE413&lt;&gt;"",MAX(X413,AVERAGE(INDEX(Ventas!$C$2:$I$5000,MATCH($A413,Ventas!$A$2:$A$5000,0),0))),X413))</f>
        <v>43.75</v>
      </c>
      <c r="AG413" s="60">
        <f t="shared" si="8"/>
        <v>-825</v>
      </c>
      <c r="AH413" s="63" t="str">
        <f t="shared" si="9"/>
        <v>SOBRESTOCK</v>
      </c>
    </row>
    <row r="414" ht="13.5" customHeight="1">
      <c r="A414" s="64" t="s">
        <v>1280</v>
      </c>
      <c r="B414" s="65" t="s">
        <v>183</v>
      </c>
      <c r="C414" s="65" t="s">
        <v>3824</v>
      </c>
      <c r="D414" s="65" t="s">
        <v>1329</v>
      </c>
      <c r="E414" s="51">
        <v>660.0</v>
      </c>
      <c r="F414" s="66"/>
      <c r="G414" s="53"/>
      <c r="H414" s="55"/>
      <c r="I414" s="55"/>
      <c r="J414" s="53"/>
      <c r="K414" s="53"/>
      <c r="L414" s="55"/>
      <c r="M414" s="53"/>
      <c r="N414" s="73"/>
      <c r="O414" s="57" t="str">
        <f t="shared" si="1"/>
        <v>SIN VENTAS Jun-Sep — no comprar (660 m disponibles)</v>
      </c>
      <c r="P414" s="58">
        <f t="shared" si="2"/>
        <v>660</v>
      </c>
      <c r="Q414" s="1"/>
      <c r="R414" s="1"/>
      <c r="S414" s="1"/>
      <c r="T414" s="1"/>
      <c r="U414" s="1"/>
      <c r="V414" s="1"/>
      <c r="W414" s="1"/>
      <c r="X414" s="60">
        <f>IFERROR(VLOOKUP($A414,Ventas!$A$2:$L$5000,12,FALSE()),"")</f>
        <v>0</v>
      </c>
      <c r="Y414" s="60">
        <f t="shared" si="3"/>
        <v>0</v>
      </c>
      <c r="Z414" s="61" t="str">
        <f t="shared" si="4"/>
        <v/>
      </c>
      <c r="AA414" s="60">
        <f t="shared" si="5"/>
        <v>-660</v>
      </c>
      <c r="AB414" s="62" t="str">
        <f t="shared" si="6"/>
        <v/>
      </c>
      <c r="AC414" s="62" t="str">
        <f t="array" ref="AC414">IF(AH414&lt;&gt;"COMPRAR","",IF(MAX(INDEX(Ventas!$G$2:$G$5000,MATCH($A414,Ventas!$A$2:$A$5000,0)),INDEX(Ventas!$H$2:$H$5000,MATCH($A414,Ventas!$A$2:$A$5000,0)),INDEX(Ventas!$I$2:$I$5000,MATCH($A414,Ventas!$A$2:$A$5000,0)),INDEX(Ventas!$J$2:$J$5000,MATCH($A414,Ventas!$A$2:$A$5000,0)))&gt;0.5*AF414*4,"1 mes = "&amp;TEXT(MAX(INDEX(Ventas!$G$2:$G$5000,MATCH($A414,Ventas!$A$2:$A$5000,0)),INDEX(Ventas!$H$2:$H$5000,MATCH($A414,Ventas!$A$2:$A$5000,0)),INDEX(Ventas!$I$2:$I$5000,MATCH($A414,Ventas!$A$2:$A$5000,0)),INDEX(Ventas!$J$2:$J$5000,MATCH($A414,Ventas!$A$2:$A$5000,0)))/(AF414*4),"0%")&amp;" de 4 meses",""))</f>
        <v/>
      </c>
      <c r="AD414" s="62" t="str">
        <f t="shared" si="7"/>
        <v/>
      </c>
      <c r="AE414" s="62" t="str">
        <f t="array" ref="AE414">IF(X414="","",IF(AND(E414=0,AVERAGE(INDEX(Ventas!$C$2:$I$5000,MATCH($A414,Ventas!$A$2:$A$5000,0),0))&gt;0,INDEX(Ventas!$J$2:$J$5000,MATCH($A414,Ventas!$A$2:$A$5000,0))&lt;0.5*AVERAGE(INDEX(Ventas!$C$2:$I$5000,MATCH($A414,Ventas!$A$2:$A$5000,0),0))),"SÍ — stock 0 y Sep cayó (prom Feb-Ago "&amp;TEXT(AVERAGE(INDEX(Ventas!$C$2:$I$5000,MATCH($A414,Ventas!$A$2:$A$5000,0),0)),"#,##0")&amp;")",""))</f>
        <v/>
      </c>
      <c r="AF414" s="60">
        <f t="array" ref="AF414">IF(X414="","",IF(AE414&lt;&gt;"",MAX(X414,AVERAGE(INDEX(Ventas!$C$2:$I$5000,MATCH($A414,Ventas!$A$2:$A$5000,0),0))),X414))</f>
        <v>0</v>
      </c>
      <c r="AG414" s="60">
        <f t="shared" si="8"/>
        <v>-660</v>
      </c>
      <c r="AH414" s="63" t="str">
        <f t="shared" si="9"/>
        <v>SIN VENTAS</v>
      </c>
    </row>
    <row r="415" ht="13.5" customHeight="1">
      <c r="A415" s="49" t="s">
        <v>3574</v>
      </c>
      <c r="B415" s="50" t="s">
        <v>183</v>
      </c>
      <c r="C415" s="50" t="s">
        <v>3825</v>
      </c>
      <c r="D415" s="50" t="s">
        <v>1329</v>
      </c>
      <c r="E415" s="51">
        <v>1493.0</v>
      </c>
      <c r="F415" s="52"/>
      <c r="G415" s="53"/>
      <c r="H415" s="55"/>
      <c r="I415" s="55"/>
      <c r="J415" s="53"/>
      <c r="K415" s="53"/>
      <c r="L415" s="55"/>
      <c r="M415" s="53"/>
      <c r="N415" s="74"/>
      <c r="O415" s="57" t="str">
        <f t="shared" si="1"/>
        <v>SOBRESTOCK — 16.9 meses de cobertura</v>
      </c>
      <c r="P415" s="58">
        <f t="shared" si="2"/>
        <v>1493</v>
      </c>
      <c r="Q415" s="1"/>
      <c r="R415" s="1"/>
      <c r="S415" s="1"/>
      <c r="T415" s="1"/>
      <c r="U415" s="1"/>
      <c r="V415" s="1"/>
      <c r="W415" s="1"/>
      <c r="X415" s="60">
        <f>IFERROR(VLOOKUP($A415,Ventas!$A$2:$L$5000,12,FALSE()),"")</f>
        <v>88.5</v>
      </c>
      <c r="Y415" s="60">
        <f t="shared" si="3"/>
        <v>354</v>
      </c>
      <c r="Z415" s="61">
        <f t="shared" si="4"/>
        <v>16.9</v>
      </c>
      <c r="AA415" s="60">
        <f t="shared" si="5"/>
        <v>-1139</v>
      </c>
      <c r="AB415" s="62" t="str">
        <f t="shared" si="6"/>
        <v/>
      </c>
      <c r="AC415" s="62" t="str">
        <f t="array" ref="AC415">IF(AH415&lt;&gt;"COMPRAR","",IF(MAX(INDEX(Ventas!$G$2:$G$5000,MATCH($A415,Ventas!$A$2:$A$5000,0)),INDEX(Ventas!$H$2:$H$5000,MATCH($A415,Ventas!$A$2:$A$5000,0)),INDEX(Ventas!$I$2:$I$5000,MATCH($A415,Ventas!$A$2:$A$5000,0)),INDEX(Ventas!$J$2:$J$5000,MATCH($A415,Ventas!$A$2:$A$5000,0)))&gt;0.5*AF415*4,"1 mes = "&amp;TEXT(MAX(INDEX(Ventas!$G$2:$G$5000,MATCH($A415,Ventas!$A$2:$A$5000,0)),INDEX(Ventas!$H$2:$H$5000,MATCH($A415,Ventas!$A$2:$A$5000,0)),INDEX(Ventas!$I$2:$I$5000,MATCH($A415,Ventas!$A$2:$A$5000,0)),INDEX(Ventas!$J$2:$J$5000,MATCH($A415,Ventas!$A$2:$A$5000,0)))/(AF415*4),"0%")&amp;" de 4 meses",""))</f>
        <v/>
      </c>
      <c r="AD415" s="62" t="str">
        <f t="shared" si="7"/>
        <v/>
      </c>
      <c r="AE415" s="62" t="str">
        <f t="array" ref="AE415">IF(X415="","",IF(AND(E415=0,AVERAGE(INDEX(Ventas!$C$2:$I$5000,MATCH($A415,Ventas!$A$2:$A$5000,0),0))&gt;0,INDEX(Ventas!$J$2:$J$5000,MATCH($A415,Ventas!$A$2:$A$5000,0))&lt;0.5*AVERAGE(INDEX(Ventas!$C$2:$I$5000,MATCH($A415,Ventas!$A$2:$A$5000,0),0))),"SÍ — stock 0 y Sep cayó (prom Feb-Ago "&amp;TEXT(AVERAGE(INDEX(Ventas!$C$2:$I$5000,MATCH($A415,Ventas!$A$2:$A$5000,0),0)),"#,##0")&amp;")",""))</f>
        <v/>
      </c>
      <c r="AF415" s="60">
        <f t="array" ref="AF415">IF(X415="","",IF(AE415&lt;&gt;"",MAX(X415,AVERAGE(INDEX(Ventas!$C$2:$I$5000,MATCH($A415,Ventas!$A$2:$A$5000,0),0))),X415))</f>
        <v>88.5</v>
      </c>
      <c r="AG415" s="60">
        <f t="shared" si="8"/>
        <v>-1139</v>
      </c>
      <c r="AH415" s="63" t="str">
        <f t="shared" si="9"/>
        <v>SOBRESTOCK</v>
      </c>
    </row>
    <row r="416" ht="13.5" customHeight="1">
      <c r="A416" s="64" t="s">
        <v>3572</v>
      </c>
      <c r="B416" s="65" t="s">
        <v>183</v>
      </c>
      <c r="C416" s="65" t="s">
        <v>3825</v>
      </c>
      <c r="D416" s="65" t="s">
        <v>3635</v>
      </c>
      <c r="E416" s="51">
        <v>223.0</v>
      </c>
      <c r="F416" s="66"/>
      <c r="G416" s="53"/>
      <c r="H416" s="55"/>
      <c r="I416" s="55"/>
      <c r="J416" s="53"/>
      <c r="K416" s="53"/>
      <c r="L416" s="55"/>
      <c r="M416" s="53"/>
      <c r="N416" s="73"/>
      <c r="O416" s="57" t="str">
        <f t="shared" si="1"/>
        <v>OK — cubierto (3.9 meses)</v>
      </c>
      <c r="P416" s="58">
        <f t="shared" si="2"/>
        <v>223</v>
      </c>
      <c r="Q416" s="1"/>
      <c r="R416" s="1"/>
      <c r="S416" s="1"/>
      <c r="T416" s="1"/>
      <c r="U416" s="1"/>
      <c r="V416" s="1"/>
      <c r="W416" s="1"/>
      <c r="X416" s="60">
        <f>IFERROR(VLOOKUP($A416,Ventas!$A$2:$L$5000,12,FALSE()),"")</f>
        <v>56.5</v>
      </c>
      <c r="Y416" s="60">
        <f t="shared" si="3"/>
        <v>226</v>
      </c>
      <c r="Z416" s="61">
        <f t="shared" si="4"/>
        <v>3.9</v>
      </c>
      <c r="AA416" s="60">
        <f t="shared" si="5"/>
        <v>3</v>
      </c>
      <c r="AB416" s="62" t="str">
        <f t="shared" si="6"/>
        <v/>
      </c>
      <c r="AC416" s="62" t="str">
        <f t="array" ref="AC416">IF(AH416&lt;&gt;"COMPRAR","",IF(MAX(INDEX(Ventas!$G$2:$G$5000,MATCH($A416,Ventas!$A$2:$A$5000,0)),INDEX(Ventas!$H$2:$H$5000,MATCH($A416,Ventas!$A$2:$A$5000,0)),INDEX(Ventas!$I$2:$I$5000,MATCH($A416,Ventas!$A$2:$A$5000,0)),INDEX(Ventas!$J$2:$J$5000,MATCH($A416,Ventas!$A$2:$A$5000,0)))&gt;0.5*AF416*4,"1 mes = "&amp;TEXT(MAX(INDEX(Ventas!$G$2:$G$5000,MATCH($A416,Ventas!$A$2:$A$5000,0)),INDEX(Ventas!$H$2:$H$5000,MATCH($A416,Ventas!$A$2:$A$5000,0)),INDEX(Ventas!$I$2:$I$5000,MATCH($A416,Ventas!$A$2:$A$5000,0)),INDEX(Ventas!$J$2:$J$5000,MATCH($A416,Ventas!$A$2:$A$5000,0)))/(AF416*4),"0%")&amp;" de 4 meses",""))</f>
        <v/>
      </c>
      <c r="AD416" s="62" t="str">
        <f t="shared" si="7"/>
        <v/>
      </c>
      <c r="AE416" s="62" t="str">
        <f t="array" ref="AE416">IF(X416="","",IF(AND(E416=0,AVERAGE(INDEX(Ventas!$C$2:$I$5000,MATCH($A416,Ventas!$A$2:$A$5000,0),0))&gt;0,INDEX(Ventas!$J$2:$J$5000,MATCH($A416,Ventas!$A$2:$A$5000,0))&lt;0.5*AVERAGE(INDEX(Ventas!$C$2:$I$5000,MATCH($A416,Ventas!$A$2:$A$5000,0),0))),"SÍ — stock 0 y Sep cayó (prom Feb-Ago "&amp;TEXT(AVERAGE(INDEX(Ventas!$C$2:$I$5000,MATCH($A416,Ventas!$A$2:$A$5000,0),0)),"#,##0")&amp;")",""))</f>
        <v/>
      </c>
      <c r="AF416" s="60">
        <f t="array" ref="AF416">IF(X416="","",IF(AE416&lt;&gt;"",MAX(X416,AVERAGE(INDEX(Ventas!$C$2:$I$5000,MATCH($A416,Ventas!$A$2:$A$5000,0),0))),X416))</f>
        <v>56.5</v>
      </c>
      <c r="AG416" s="60">
        <f t="shared" si="8"/>
        <v>3</v>
      </c>
      <c r="AH416" s="63" t="str">
        <f t="shared" si="9"/>
        <v>OK</v>
      </c>
    </row>
    <row r="417" ht="13.5" customHeight="1">
      <c r="A417" s="49" t="s">
        <v>3570</v>
      </c>
      <c r="B417" s="50" t="s">
        <v>183</v>
      </c>
      <c r="C417" s="50" t="s">
        <v>3825</v>
      </c>
      <c r="D417" s="50" t="s">
        <v>2949</v>
      </c>
      <c r="E417" s="51">
        <v>24.0</v>
      </c>
      <c r="F417" s="52"/>
      <c r="G417" s="53"/>
      <c r="H417" s="55"/>
      <c r="I417" s="55"/>
      <c r="J417" s="53"/>
      <c r="K417" s="53"/>
      <c r="L417" s="55"/>
      <c r="M417" s="53"/>
      <c r="N417" s="74"/>
      <c r="O417" s="57" t="str">
        <f t="shared" si="1"/>
        <v>SIN VENTAS Jun-Sep — no comprar (24 m disponibles)</v>
      </c>
      <c r="P417" s="58">
        <f t="shared" si="2"/>
        <v>24</v>
      </c>
      <c r="Q417" s="1"/>
      <c r="R417" s="1"/>
      <c r="S417" s="1"/>
      <c r="T417" s="1"/>
      <c r="U417" s="1"/>
      <c r="V417" s="1"/>
      <c r="W417" s="1"/>
      <c r="X417" s="60">
        <f>IFERROR(VLOOKUP($A417,Ventas!$A$2:$L$5000,12,FALSE()),"")</f>
        <v>0</v>
      </c>
      <c r="Y417" s="60">
        <f t="shared" si="3"/>
        <v>0</v>
      </c>
      <c r="Z417" s="61" t="str">
        <f t="shared" si="4"/>
        <v/>
      </c>
      <c r="AA417" s="60">
        <f t="shared" si="5"/>
        <v>-24</v>
      </c>
      <c r="AB417" s="62" t="str">
        <f t="shared" si="6"/>
        <v/>
      </c>
      <c r="AC417" s="62" t="str">
        <f t="array" ref="AC417">IF(AH417&lt;&gt;"COMPRAR","",IF(MAX(INDEX(Ventas!$G$2:$G$5000,MATCH($A417,Ventas!$A$2:$A$5000,0)),INDEX(Ventas!$H$2:$H$5000,MATCH($A417,Ventas!$A$2:$A$5000,0)),INDEX(Ventas!$I$2:$I$5000,MATCH($A417,Ventas!$A$2:$A$5000,0)),INDEX(Ventas!$J$2:$J$5000,MATCH($A417,Ventas!$A$2:$A$5000,0)))&gt;0.5*AF417*4,"1 mes = "&amp;TEXT(MAX(INDEX(Ventas!$G$2:$G$5000,MATCH($A417,Ventas!$A$2:$A$5000,0)),INDEX(Ventas!$H$2:$H$5000,MATCH($A417,Ventas!$A$2:$A$5000,0)),INDEX(Ventas!$I$2:$I$5000,MATCH($A417,Ventas!$A$2:$A$5000,0)),INDEX(Ventas!$J$2:$J$5000,MATCH($A417,Ventas!$A$2:$A$5000,0)))/(AF417*4),"0%")&amp;" de 4 meses",""))</f>
        <v/>
      </c>
      <c r="AD417" s="62" t="str">
        <f t="shared" si="7"/>
        <v/>
      </c>
      <c r="AE417" s="62" t="str">
        <f t="array" ref="AE417">IF(X417="","",IF(AND(E417=0,AVERAGE(INDEX(Ventas!$C$2:$I$5000,MATCH($A417,Ventas!$A$2:$A$5000,0),0))&gt;0,INDEX(Ventas!$J$2:$J$5000,MATCH($A417,Ventas!$A$2:$A$5000,0))&lt;0.5*AVERAGE(INDEX(Ventas!$C$2:$I$5000,MATCH($A417,Ventas!$A$2:$A$5000,0),0))),"SÍ — stock 0 y Sep cayó (prom Feb-Ago "&amp;TEXT(AVERAGE(INDEX(Ventas!$C$2:$I$5000,MATCH($A417,Ventas!$A$2:$A$5000,0),0)),"#,##0")&amp;")",""))</f>
        <v/>
      </c>
      <c r="AF417" s="60">
        <f t="array" ref="AF417">IF(X417="","",IF(AE417&lt;&gt;"",MAX(X417,AVERAGE(INDEX(Ventas!$C$2:$I$5000,MATCH($A417,Ventas!$A$2:$A$5000,0),0))),X417))</f>
        <v>0</v>
      </c>
      <c r="AG417" s="60">
        <f t="shared" si="8"/>
        <v>-24</v>
      </c>
      <c r="AH417" s="63" t="str">
        <f t="shared" si="9"/>
        <v>SIN VENTAS</v>
      </c>
    </row>
    <row r="418" ht="13.5" customHeight="1">
      <c r="A418" s="64" t="s">
        <v>2160</v>
      </c>
      <c r="B418" s="65" t="s">
        <v>183</v>
      </c>
      <c r="C418" s="65" t="s">
        <v>3826</v>
      </c>
      <c r="D418" s="65" t="s">
        <v>1329</v>
      </c>
      <c r="E418" s="51">
        <v>266.0</v>
      </c>
      <c r="F418" s="66"/>
      <c r="G418" s="53"/>
      <c r="H418" s="55"/>
      <c r="I418" s="55"/>
      <c r="J418" s="53"/>
      <c r="K418" s="53"/>
      <c r="L418" s="55"/>
      <c r="M418" s="53"/>
      <c r="N418" s="73"/>
      <c r="O418" s="57" t="str">
        <f t="shared" si="1"/>
        <v>SIN VENTAS Jun-Sep — no comprar (266 m disponibles)</v>
      </c>
      <c r="P418" s="58">
        <f t="shared" si="2"/>
        <v>266</v>
      </c>
      <c r="Q418" s="1"/>
      <c r="R418" s="1"/>
      <c r="S418" s="1"/>
      <c r="T418" s="1"/>
      <c r="U418" s="1"/>
      <c r="V418" s="1"/>
      <c r="W418" s="1"/>
      <c r="X418" s="60">
        <f>IFERROR(VLOOKUP($A418,Ventas!$A$2:$L$5000,12,FALSE()),"")</f>
        <v>0</v>
      </c>
      <c r="Y418" s="60">
        <f t="shared" si="3"/>
        <v>0</v>
      </c>
      <c r="Z418" s="61" t="str">
        <f t="shared" si="4"/>
        <v/>
      </c>
      <c r="AA418" s="60">
        <f t="shared" si="5"/>
        <v>-266</v>
      </c>
      <c r="AB418" s="62" t="str">
        <f t="shared" si="6"/>
        <v/>
      </c>
      <c r="AC418" s="62" t="str">
        <f t="array" ref="AC418">IF(AH418&lt;&gt;"COMPRAR","",IF(MAX(INDEX(Ventas!$G$2:$G$5000,MATCH($A418,Ventas!$A$2:$A$5000,0)),INDEX(Ventas!$H$2:$H$5000,MATCH($A418,Ventas!$A$2:$A$5000,0)),INDEX(Ventas!$I$2:$I$5000,MATCH($A418,Ventas!$A$2:$A$5000,0)),INDEX(Ventas!$J$2:$J$5000,MATCH($A418,Ventas!$A$2:$A$5000,0)))&gt;0.5*AF418*4,"1 mes = "&amp;TEXT(MAX(INDEX(Ventas!$G$2:$G$5000,MATCH($A418,Ventas!$A$2:$A$5000,0)),INDEX(Ventas!$H$2:$H$5000,MATCH($A418,Ventas!$A$2:$A$5000,0)),INDEX(Ventas!$I$2:$I$5000,MATCH($A418,Ventas!$A$2:$A$5000,0)),INDEX(Ventas!$J$2:$J$5000,MATCH($A418,Ventas!$A$2:$A$5000,0)))/(AF418*4),"0%")&amp;" de 4 meses",""))</f>
        <v/>
      </c>
      <c r="AD418" s="62" t="str">
        <f t="shared" si="7"/>
        <v/>
      </c>
      <c r="AE418" s="62" t="str">
        <f t="array" ref="AE418">IF(X418="","",IF(AND(E418=0,AVERAGE(INDEX(Ventas!$C$2:$I$5000,MATCH($A418,Ventas!$A$2:$A$5000,0),0))&gt;0,INDEX(Ventas!$J$2:$J$5000,MATCH($A418,Ventas!$A$2:$A$5000,0))&lt;0.5*AVERAGE(INDEX(Ventas!$C$2:$I$5000,MATCH($A418,Ventas!$A$2:$A$5000,0),0))),"SÍ — stock 0 y Sep cayó (prom Feb-Ago "&amp;TEXT(AVERAGE(INDEX(Ventas!$C$2:$I$5000,MATCH($A418,Ventas!$A$2:$A$5000,0),0)),"#,##0")&amp;")",""))</f>
        <v/>
      </c>
      <c r="AF418" s="60">
        <f t="array" ref="AF418">IF(X418="","",IF(AE418&lt;&gt;"",MAX(X418,AVERAGE(INDEX(Ventas!$C$2:$I$5000,MATCH($A418,Ventas!$A$2:$A$5000,0),0))),X418))</f>
        <v>0</v>
      </c>
      <c r="AG418" s="60">
        <f t="shared" si="8"/>
        <v>-266</v>
      </c>
      <c r="AH418" s="63" t="str">
        <f t="shared" si="9"/>
        <v>SIN VENTAS</v>
      </c>
    </row>
    <row r="419" ht="13.5" customHeight="1">
      <c r="A419" s="49" t="s">
        <v>2158</v>
      </c>
      <c r="B419" s="50" t="s">
        <v>183</v>
      </c>
      <c r="C419" s="50" t="s">
        <v>3826</v>
      </c>
      <c r="D419" s="50" t="s">
        <v>2949</v>
      </c>
      <c r="E419" s="51">
        <v>0.0</v>
      </c>
      <c r="F419" s="52"/>
      <c r="G419" s="53"/>
      <c r="H419" s="55"/>
      <c r="I419" s="55"/>
      <c r="J419" s="53"/>
      <c r="K419" s="53"/>
      <c r="L419" s="55"/>
      <c r="M419" s="53"/>
      <c r="N419" s="74"/>
      <c r="O419" s="57" t="str">
        <f t="shared" si="1"/>
        <v>COMPRAR — faltan 100 m para 4 meses</v>
      </c>
      <c r="P419" s="58">
        <f t="shared" si="2"/>
        <v>0</v>
      </c>
      <c r="Q419" s="1"/>
      <c r="R419" s="1"/>
      <c r="S419" s="1"/>
      <c r="T419" s="1"/>
      <c r="U419" s="1"/>
      <c r="V419" s="1"/>
      <c r="W419" s="1"/>
      <c r="X419" s="60">
        <f>IFERROR(VLOOKUP($A419,Ventas!$A$2:$L$5000,12,FALSE()),"")</f>
        <v>25</v>
      </c>
      <c r="Y419" s="60">
        <f t="shared" si="3"/>
        <v>100</v>
      </c>
      <c r="Z419" s="61">
        <f t="shared" si="4"/>
        <v>0</v>
      </c>
      <c r="AA419" s="60">
        <f t="shared" si="5"/>
        <v>100</v>
      </c>
      <c r="AB419" s="62" t="str">
        <f t="shared" si="6"/>
        <v/>
      </c>
      <c r="AC419" s="62" t="str">
        <f t="array" ref="AC419">IF(AH419&lt;&gt;"COMPRAR","",IF(MAX(INDEX(Ventas!$G$2:$G$5000,MATCH($A419,Ventas!$A$2:$A$5000,0)),INDEX(Ventas!$H$2:$H$5000,MATCH($A419,Ventas!$A$2:$A$5000,0)),INDEX(Ventas!$I$2:$I$5000,MATCH($A419,Ventas!$A$2:$A$5000,0)),INDEX(Ventas!$J$2:$J$5000,MATCH($A419,Ventas!$A$2:$A$5000,0)))&gt;0.5*AF419*4,"1 mes = "&amp;TEXT(MAX(INDEX(Ventas!$G$2:$G$5000,MATCH($A419,Ventas!$A$2:$A$5000,0)),INDEX(Ventas!$H$2:$H$5000,MATCH($A419,Ventas!$A$2:$A$5000,0)),INDEX(Ventas!$I$2:$I$5000,MATCH($A419,Ventas!$A$2:$A$5000,0)),INDEX(Ventas!$J$2:$J$5000,MATCH($A419,Ventas!$A$2:$A$5000,0)))/(AF419*4),"0%")&amp;" de 4 meses",""))</f>
        <v/>
      </c>
      <c r="AD419" s="62" t="str">
        <f t="shared" si="7"/>
        <v>SÍ — 0 m vs 13 m</v>
      </c>
      <c r="AE419" s="62" t="str">
        <f t="array" ref="AE419">IF(X419="","",IF(AND(E419=0,AVERAGE(INDEX(Ventas!$C$2:$I$5000,MATCH($A419,Ventas!$A$2:$A$5000,0),0))&gt;0,INDEX(Ventas!$J$2:$J$5000,MATCH($A419,Ventas!$A$2:$A$5000,0))&lt;0.5*AVERAGE(INDEX(Ventas!$C$2:$I$5000,MATCH($A419,Ventas!$A$2:$A$5000,0),0))),"SÍ — stock 0 y Sep cayó (prom Feb-Ago "&amp;TEXT(AVERAGE(INDEX(Ventas!$C$2:$I$5000,MATCH($A419,Ventas!$A$2:$A$5000,0),0)),"#,##0")&amp;")",""))</f>
        <v/>
      </c>
      <c r="AF419" s="60">
        <f t="array" ref="AF419">IF(X419="","",IF(AE419&lt;&gt;"",MAX(X419,AVERAGE(INDEX(Ventas!$C$2:$I$5000,MATCH($A419,Ventas!$A$2:$A$5000,0),0))),X419))</f>
        <v>25</v>
      </c>
      <c r="AG419" s="60">
        <f t="shared" si="8"/>
        <v>100</v>
      </c>
      <c r="AH419" s="63" t="str">
        <f t="shared" si="9"/>
        <v>COMPRAR</v>
      </c>
    </row>
    <row r="420" ht="13.5" customHeight="1">
      <c r="A420" s="64" t="s">
        <v>2789</v>
      </c>
      <c r="B420" s="65" t="s">
        <v>183</v>
      </c>
      <c r="C420" s="65" t="s">
        <v>3827</v>
      </c>
      <c r="D420" s="65" t="s">
        <v>1329</v>
      </c>
      <c r="E420" s="51">
        <v>999.0</v>
      </c>
      <c r="F420" s="66"/>
      <c r="G420" s="53"/>
      <c r="H420" s="55"/>
      <c r="I420" s="55"/>
      <c r="J420" s="53"/>
      <c r="K420" s="53"/>
      <c r="L420" s="55"/>
      <c r="M420" s="53"/>
      <c r="N420" s="73"/>
      <c r="O420" s="57" t="str">
        <f t="shared" si="1"/>
        <v>SOBRESTOCK — 10.1 meses de cobertura</v>
      </c>
      <c r="P420" s="58">
        <f t="shared" si="2"/>
        <v>999</v>
      </c>
      <c r="Q420" s="1"/>
      <c r="R420" s="1"/>
      <c r="S420" s="1"/>
      <c r="T420" s="1"/>
      <c r="U420" s="1"/>
      <c r="V420" s="1"/>
      <c r="W420" s="1"/>
      <c r="X420" s="60">
        <f>IFERROR(VLOOKUP($A420,Ventas!$A$2:$L$5000,12,FALSE()),"")</f>
        <v>99</v>
      </c>
      <c r="Y420" s="60">
        <f t="shared" si="3"/>
        <v>396</v>
      </c>
      <c r="Z420" s="61">
        <f t="shared" si="4"/>
        <v>10.1</v>
      </c>
      <c r="AA420" s="60">
        <f t="shared" si="5"/>
        <v>-603</v>
      </c>
      <c r="AB420" s="62" t="str">
        <f t="shared" si="6"/>
        <v/>
      </c>
      <c r="AC420" s="62" t="str">
        <f t="array" ref="AC420">IF(AH420&lt;&gt;"COMPRAR","",IF(MAX(INDEX(Ventas!$G$2:$G$5000,MATCH($A420,Ventas!$A$2:$A$5000,0)),INDEX(Ventas!$H$2:$H$5000,MATCH($A420,Ventas!$A$2:$A$5000,0)),INDEX(Ventas!$I$2:$I$5000,MATCH($A420,Ventas!$A$2:$A$5000,0)),INDEX(Ventas!$J$2:$J$5000,MATCH($A420,Ventas!$A$2:$A$5000,0)))&gt;0.5*AF420*4,"1 mes = "&amp;TEXT(MAX(INDEX(Ventas!$G$2:$G$5000,MATCH($A420,Ventas!$A$2:$A$5000,0)),INDEX(Ventas!$H$2:$H$5000,MATCH($A420,Ventas!$A$2:$A$5000,0)),INDEX(Ventas!$I$2:$I$5000,MATCH($A420,Ventas!$A$2:$A$5000,0)),INDEX(Ventas!$J$2:$J$5000,MATCH($A420,Ventas!$A$2:$A$5000,0)))/(AF420*4),"0%")&amp;" de 4 meses",""))</f>
        <v/>
      </c>
      <c r="AD420" s="62" t="str">
        <f t="shared" si="7"/>
        <v/>
      </c>
      <c r="AE420" s="62" t="str">
        <f t="array" ref="AE420">IF(X420="","",IF(AND(E420=0,AVERAGE(INDEX(Ventas!$C$2:$I$5000,MATCH($A420,Ventas!$A$2:$A$5000,0),0))&gt;0,INDEX(Ventas!$J$2:$J$5000,MATCH($A420,Ventas!$A$2:$A$5000,0))&lt;0.5*AVERAGE(INDEX(Ventas!$C$2:$I$5000,MATCH($A420,Ventas!$A$2:$A$5000,0),0))),"SÍ — stock 0 y Sep cayó (prom Feb-Ago "&amp;TEXT(AVERAGE(INDEX(Ventas!$C$2:$I$5000,MATCH($A420,Ventas!$A$2:$A$5000,0),0)),"#,##0")&amp;")",""))</f>
        <v/>
      </c>
      <c r="AF420" s="60">
        <f t="array" ref="AF420">IF(X420="","",IF(AE420&lt;&gt;"",MAX(X420,AVERAGE(INDEX(Ventas!$C$2:$I$5000,MATCH($A420,Ventas!$A$2:$A$5000,0),0))),X420))</f>
        <v>99</v>
      </c>
      <c r="AG420" s="60">
        <f t="shared" si="8"/>
        <v>-603</v>
      </c>
      <c r="AH420" s="63" t="str">
        <f t="shared" si="9"/>
        <v>SOBRESTOCK</v>
      </c>
    </row>
    <row r="421" ht="13.5" customHeight="1">
      <c r="A421" s="49" t="s">
        <v>2787</v>
      </c>
      <c r="B421" s="50" t="s">
        <v>183</v>
      </c>
      <c r="C421" s="50" t="s">
        <v>3827</v>
      </c>
      <c r="D421" s="50" t="s">
        <v>3828</v>
      </c>
      <c r="E421" s="51">
        <v>250.0</v>
      </c>
      <c r="F421" s="52"/>
      <c r="G421" s="53"/>
      <c r="H421" s="55"/>
      <c r="I421" s="55"/>
      <c r="J421" s="53"/>
      <c r="K421" s="53"/>
      <c r="L421" s="55"/>
      <c r="M421" s="53"/>
      <c r="N421" s="74"/>
      <c r="O421" s="57" t="str">
        <f t="shared" si="1"/>
        <v>SOBRESTOCK — 20.0 meses de cobertura</v>
      </c>
      <c r="P421" s="58">
        <f t="shared" si="2"/>
        <v>250</v>
      </c>
      <c r="Q421" s="1"/>
      <c r="R421" s="1"/>
      <c r="S421" s="1"/>
      <c r="T421" s="1"/>
      <c r="U421" s="1"/>
      <c r="V421" s="1"/>
      <c r="W421" s="1"/>
      <c r="X421" s="60">
        <f>IFERROR(VLOOKUP($A421,Ventas!$A$2:$L$5000,12,FALSE()),"")</f>
        <v>12.5</v>
      </c>
      <c r="Y421" s="60">
        <f t="shared" si="3"/>
        <v>50</v>
      </c>
      <c r="Z421" s="61">
        <f t="shared" si="4"/>
        <v>20</v>
      </c>
      <c r="AA421" s="60">
        <f t="shared" si="5"/>
        <v>-200</v>
      </c>
      <c r="AB421" s="62" t="str">
        <f t="shared" si="6"/>
        <v/>
      </c>
      <c r="AC421" s="62" t="str">
        <f t="array" ref="AC421">IF(AH421&lt;&gt;"COMPRAR","",IF(MAX(INDEX(Ventas!$G$2:$G$5000,MATCH($A421,Ventas!$A$2:$A$5000,0)),INDEX(Ventas!$H$2:$H$5000,MATCH($A421,Ventas!$A$2:$A$5000,0)),INDEX(Ventas!$I$2:$I$5000,MATCH($A421,Ventas!$A$2:$A$5000,0)),INDEX(Ventas!$J$2:$J$5000,MATCH($A421,Ventas!$A$2:$A$5000,0)))&gt;0.5*AF421*4,"1 mes = "&amp;TEXT(MAX(INDEX(Ventas!$G$2:$G$5000,MATCH($A421,Ventas!$A$2:$A$5000,0)),INDEX(Ventas!$H$2:$H$5000,MATCH($A421,Ventas!$A$2:$A$5000,0)),INDEX(Ventas!$I$2:$I$5000,MATCH($A421,Ventas!$A$2:$A$5000,0)),INDEX(Ventas!$J$2:$J$5000,MATCH($A421,Ventas!$A$2:$A$5000,0)))/(AF421*4),"0%")&amp;" de 4 meses",""))</f>
        <v/>
      </c>
      <c r="AD421" s="62" t="str">
        <f t="shared" si="7"/>
        <v/>
      </c>
      <c r="AE421" s="62" t="str">
        <f t="array" ref="AE421">IF(X421="","",IF(AND(E421=0,AVERAGE(INDEX(Ventas!$C$2:$I$5000,MATCH($A421,Ventas!$A$2:$A$5000,0),0))&gt;0,INDEX(Ventas!$J$2:$J$5000,MATCH($A421,Ventas!$A$2:$A$5000,0))&lt;0.5*AVERAGE(INDEX(Ventas!$C$2:$I$5000,MATCH($A421,Ventas!$A$2:$A$5000,0),0))),"SÍ — stock 0 y Sep cayó (prom Feb-Ago "&amp;TEXT(AVERAGE(INDEX(Ventas!$C$2:$I$5000,MATCH($A421,Ventas!$A$2:$A$5000,0),0)),"#,##0")&amp;")",""))</f>
        <v/>
      </c>
      <c r="AF421" s="60">
        <f t="array" ref="AF421">IF(X421="","",IF(AE421&lt;&gt;"",MAX(X421,AVERAGE(INDEX(Ventas!$C$2:$I$5000,MATCH($A421,Ventas!$A$2:$A$5000,0),0))),X421))</f>
        <v>12.5</v>
      </c>
      <c r="AG421" s="60">
        <f t="shared" si="8"/>
        <v>-200</v>
      </c>
      <c r="AH421" s="63" t="str">
        <f t="shared" si="9"/>
        <v>SOBRESTOCK</v>
      </c>
    </row>
    <row r="422" ht="13.5" customHeight="1">
      <c r="A422" s="64" t="s">
        <v>2269</v>
      </c>
      <c r="B422" s="65" t="s">
        <v>183</v>
      </c>
      <c r="C422" s="65" t="s">
        <v>3829</v>
      </c>
      <c r="D422" s="65" t="s">
        <v>3624</v>
      </c>
      <c r="E422" s="51">
        <v>154.0</v>
      </c>
      <c r="F422" s="66"/>
      <c r="G422" s="53"/>
      <c r="H422" s="55"/>
      <c r="I422" s="55"/>
      <c r="J422" s="53"/>
      <c r="K422" s="53"/>
      <c r="L422" s="55"/>
      <c r="M422" s="53"/>
      <c r="N422" s="73"/>
      <c r="O422" s="57" t="str">
        <f t="shared" si="1"/>
        <v>SIN VENTAS Jun-Sep — no comprar (154 m disponibles)</v>
      </c>
      <c r="P422" s="58">
        <f t="shared" si="2"/>
        <v>154</v>
      </c>
      <c r="Q422" s="1"/>
      <c r="R422" s="1"/>
      <c r="S422" s="1"/>
      <c r="T422" s="1"/>
      <c r="U422" s="1"/>
      <c r="V422" s="1"/>
      <c r="W422" s="1"/>
      <c r="X422" s="60">
        <f>IFERROR(VLOOKUP($A422,Ventas!$A$2:$L$5000,12,FALSE()),"")</f>
        <v>0</v>
      </c>
      <c r="Y422" s="60">
        <f t="shared" si="3"/>
        <v>0</v>
      </c>
      <c r="Z422" s="61" t="str">
        <f t="shared" si="4"/>
        <v/>
      </c>
      <c r="AA422" s="60">
        <f t="shared" si="5"/>
        <v>-154</v>
      </c>
      <c r="AB422" s="62" t="str">
        <f t="shared" si="6"/>
        <v/>
      </c>
      <c r="AC422" s="62" t="str">
        <f t="array" ref="AC422">IF(AH422&lt;&gt;"COMPRAR","",IF(MAX(INDEX(Ventas!$G$2:$G$5000,MATCH($A422,Ventas!$A$2:$A$5000,0)),INDEX(Ventas!$H$2:$H$5000,MATCH($A422,Ventas!$A$2:$A$5000,0)),INDEX(Ventas!$I$2:$I$5000,MATCH($A422,Ventas!$A$2:$A$5000,0)),INDEX(Ventas!$J$2:$J$5000,MATCH($A422,Ventas!$A$2:$A$5000,0)))&gt;0.5*AF422*4,"1 mes = "&amp;TEXT(MAX(INDEX(Ventas!$G$2:$G$5000,MATCH($A422,Ventas!$A$2:$A$5000,0)),INDEX(Ventas!$H$2:$H$5000,MATCH($A422,Ventas!$A$2:$A$5000,0)),INDEX(Ventas!$I$2:$I$5000,MATCH($A422,Ventas!$A$2:$A$5000,0)),INDEX(Ventas!$J$2:$J$5000,MATCH($A422,Ventas!$A$2:$A$5000,0)))/(AF422*4),"0%")&amp;" de 4 meses",""))</f>
        <v/>
      </c>
      <c r="AD422" s="62" t="str">
        <f t="shared" si="7"/>
        <v/>
      </c>
      <c r="AE422" s="62" t="str">
        <f t="array" ref="AE422">IF(X422="","",IF(AND(E422=0,AVERAGE(INDEX(Ventas!$C$2:$I$5000,MATCH($A422,Ventas!$A$2:$A$5000,0),0))&gt;0,INDEX(Ventas!$J$2:$J$5000,MATCH($A422,Ventas!$A$2:$A$5000,0))&lt;0.5*AVERAGE(INDEX(Ventas!$C$2:$I$5000,MATCH($A422,Ventas!$A$2:$A$5000,0),0))),"SÍ — stock 0 y Sep cayó (prom Feb-Ago "&amp;TEXT(AVERAGE(INDEX(Ventas!$C$2:$I$5000,MATCH($A422,Ventas!$A$2:$A$5000,0),0)),"#,##0")&amp;")",""))</f>
        <v/>
      </c>
      <c r="AF422" s="60">
        <f t="array" ref="AF422">IF(X422="","",IF(AE422&lt;&gt;"",MAX(X422,AVERAGE(INDEX(Ventas!$C$2:$I$5000,MATCH($A422,Ventas!$A$2:$A$5000,0),0))),X422))</f>
        <v>0</v>
      </c>
      <c r="AG422" s="60">
        <f t="shared" si="8"/>
        <v>-154</v>
      </c>
      <c r="AH422" s="63" t="str">
        <f t="shared" si="9"/>
        <v>SIN VENTAS</v>
      </c>
    </row>
    <row r="423" ht="13.5" customHeight="1">
      <c r="A423" s="49" t="s">
        <v>2271</v>
      </c>
      <c r="B423" s="50" t="s">
        <v>183</v>
      </c>
      <c r="C423" s="50" t="s">
        <v>3829</v>
      </c>
      <c r="D423" s="50" t="s">
        <v>2692</v>
      </c>
      <c r="E423" s="51">
        <v>0.0</v>
      </c>
      <c r="F423" s="52"/>
      <c r="G423" s="53"/>
      <c r="H423" s="55"/>
      <c r="I423" s="55"/>
      <c r="J423" s="53"/>
      <c r="K423" s="53"/>
      <c r="L423" s="55"/>
      <c r="M423" s="53"/>
      <c r="N423" s="74"/>
      <c r="O423" s="57" t="str">
        <f t="shared" si="1"/>
        <v>SIN VENTAS Jun-Sep — no comprar</v>
      </c>
      <c r="P423" s="58">
        <f t="shared" si="2"/>
        <v>0</v>
      </c>
      <c r="Q423" s="1"/>
      <c r="R423" s="1"/>
      <c r="S423" s="1"/>
      <c r="T423" s="1"/>
      <c r="U423" s="1"/>
      <c r="V423" s="1"/>
      <c r="W423" s="1"/>
      <c r="X423" s="60">
        <f>IFERROR(VLOOKUP($A423,Ventas!$A$2:$L$5000,12,FALSE()),"")</f>
        <v>0</v>
      </c>
      <c r="Y423" s="60">
        <f t="shared" si="3"/>
        <v>0</v>
      </c>
      <c r="Z423" s="61" t="str">
        <f t="shared" si="4"/>
        <v/>
      </c>
      <c r="AA423" s="60">
        <f t="shared" si="5"/>
        <v>0</v>
      </c>
      <c r="AB423" s="62" t="str">
        <f t="shared" si="6"/>
        <v/>
      </c>
      <c r="AC423" s="62" t="str">
        <f t="array" ref="AC423">IF(AH423&lt;&gt;"COMPRAR","",IF(MAX(INDEX(Ventas!$G$2:$G$5000,MATCH($A423,Ventas!$A$2:$A$5000,0)),INDEX(Ventas!$H$2:$H$5000,MATCH($A423,Ventas!$A$2:$A$5000,0)),INDEX(Ventas!$I$2:$I$5000,MATCH($A423,Ventas!$A$2:$A$5000,0)),INDEX(Ventas!$J$2:$J$5000,MATCH($A423,Ventas!$A$2:$A$5000,0)))&gt;0.5*AF423*4,"1 mes = "&amp;TEXT(MAX(INDEX(Ventas!$G$2:$G$5000,MATCH($A423,Ventas!$A$2:$A$5000,0)),INDEX(Ventas!$H$2:$H$5000,MATCH($A423,Ventas!$A$2:$A$5000,0)),INDEX(Ventas!$I$2:$I$5000,MATCH($A423,Ventas!$A$2:$A$5000,0)),INDEX(Ventas!$J$2:$J$5000,MATCH($A423,Ventas!$A$2:$A$5000,0)))/(AF423*4),"0%")&amp;" de 4 meses",""))</f>
        <v/>
      </c>
      <c r="AD423" s="62" t="str">
        <f t="shared" si="7"/>
        <v/>
      </c>
      <c r="AE423" s="62" t="str">
        <f t="array" ref="AE423">IF(X423="","",IF(AND(E423=0,AVERAGE(INDEX(Ventas!$C$2:$I$5000,MATCH($A423,Ventas!$A$2:$A$5000,0),0))&gt;0,INDEX(Ventas!$J$2:$J$5000,MATCH($A423,Ventas!$A$2:$A$5000,0))&lt;0.5*AVERAGE(INDEX(Ventas!$C$2:$I$5000,MATCH($A423,Ventas!$A$2:$A$5000,0),0))),"SÍ — stock 0 y Sep cayó (prom Feb-Ago "&amp;TEXT(AVERAGE(INDEX(Ventas!$C$2:$I$5000,MATCH($A423,Ventas!$A$2:$A$5000,0),0)),"#,##0")&amp;")",""))</f>
        <v>SÍ — stock 0 y Sep cayó (prom Feb-Ago 12)</v>
      </c>
      <c r="AF423" s="60">
        <f t="array" ref="AF423">IF(X423="","",IF(AE423&lt;&gt;"",MAX(X423,AVERAGE(INDEX(Ventas!$C$2:$I$5000,MATCH($A423,Ventas!$A$2:$A$5000,0),0))),X423))</f>
        <v>12</v>
      </c>
      <c r="AG423" s="60">
        <f t="shared" si="8"/>
        <v>48</v>
      </c>
      <c r="AH423" s="63" t="str">
        <f t="shared" si="9"/>
        <v>COMPRAR</v>
      </c>
    </row>
    <row r="424" ht="13.5" customHeight="1">
      <c r="A424" s="64" t="s">
        <v>2191</v>
      </c>
      <c r="B424" s="65" t="s">
        <v>183</v>
      </c>
      <c r="C424" s="65" t="s">
        <v>3830</v>
      </c>
      <c r="D424" s="65" t="s">
        <v>1329</v>
      </c>
      <c r="E424" s="51">
        <v>30.0</v>
      </c>
      <c r="F424" s="66"/>
      <c r="G424" s="53"/>
      <c r="H424" s="55"/>
      <c r="I424" s="55"/>
      <c r="J424" s="53"/>
      <c r="K424" s="53"/>
      <c r="L424" s="55"/>
      <c r="M424" s="53"/>
      <c r="N424" s="73"/>
      <c r="O424" s="57" t="str">
        <f t="shared" si="1"/>
        <v>OK — cubierto (5.0 meses)</v>
      </c>
      <c r="P424" s="58">
        <f t="shared" si="2"/>
        <v>30</v>
      </c>
      <c r="Q424" s="1"/>
      <c r="R424" s="1"/>
      <c r="S424" s="1"/>
      <c r="T424" s="1"/>
      <c r="U424" s="1"/>
      <c r="V424" s="1"/>
      <c r="W424" s="1"/>
      <c r="X424" s="60">
        <f>IFERROR(VLOOKUP($A424,Ventas!$A$2:$L$5000,12,FALSE()),"")</f>
        <v>6</v>
      </c>
      <c r="Y424" s="60">
        <f t="shared" si="3"/>
        <v>24</v>
      </c>
      <c r="Z424" s="61">
        <f t="shared" si="4"/>
        <v>5</v>
      </c>
      <c r="AA424" s="60">
        <f t="shared" si="5"/>
        <v>-6</v>
      </c>
      <c r="AB424" s="62" t="str">
        <f t="shared" si="6"/>
        <v/>
      </c>
      <c r="AC424" s="62" t="str">
        <f t="array" ref="AC424">IF(AH424&lt;&gt;"COMPRAR","",IF(MAX(INDEX(Ventas!$G$2:$G$5000,MATCH($A424,Ventas!$A$2:$A$5000,0)),INDEX(Ventas!$H$2:$H$5000,MATCH($A424,Ventas!$A$2:$A$5000,0)),INDEX(Ventas!$I$2:$I$5000,MATCH($A424,Ventas!$A$2:$A$5000,0)),INDEX(Ventas!$J$2:$J$5000,MATCH($A424,Ventas!$A$2:$A$5000,0)))&gt;0.5*AF424*4,"1 mes = "&amp;TEXT(MAX(INDEX(Ventas!$G$2:$G$5000,MATCH($A424,Ventas!$A$2:$A$5000,0)),INDEX(Ventas!$H$2:$H$5000,MATCH($A424,Ventas!$A$2:$A$5000,0)),INDEX(Ventas!$I$2:$I$5000,MATCH($A424,Ventas!$A$2:$A$5000,0)),INDEX(Ventas!$J$2:$J$5000,MATCH($A424,Ventas!$A$2:$A$5000,0)))/(AF424*4),"0%")&amp;" de 4 meses",""))</f>
        <v/>
      </c>
      <c r="AD424" s="62" t="str">
        <f t="shared" si="7"/>
        <v/>
      </c>
      <c r="AE424" s="62" t="str">
        <f t="array" ref="AE424">IF(X424="","",IF(AND(E424=0,AVERAGE(INDEX(Ventas!$C$2:$I$5000,MATCH($A424,Ventas!$A$2:$A$5000,0),0))&gt;0,INDEX(Ventas!$J$2:$J$5000,MATCH($A424,Ventas!$A$2:$A$5000,0))&lt;0.5*AVERAGE(INDEX(Ventas!$C$2:$I$5000,MATCH($A424,Ventas!$A$2:$A$5000,0),0))),"SÍ — stock 0 y Sep cayó (prom Feb-Ago "&amp;TEXT(AVERAGE(INDEX(Ventas!$C$2:$I$5000,MATCH($A424,Ventas!$A$2:$A$5000,0),0)),"#,##0")&amp;")",""))</f>
        <v/>
      </c>
      <c r="AF424" s="60">
        <f t="array" ref="AF424">IF(X424="","",IF(AE424&lt;&gt;"",MAX(X424,AVERAGE(INDEX(Ventas!$C$2:$I$5000,MATCH($A424,Ventas!$A$2:$A$5000,0),0))),X424))</f>
        <v>6</v>
      </c>
      <c r="AG424" s="60">
        <f t="shared" si="8"/>
        <v>-6</v>
      </c>
      <c r="AH424" s="63" t="str">
        <f t="shared" si="9"/>
        <v>OK</v>
      </c>
    </row>
    <row r="425" ht="13.5" customHeight="1">
      <c r="A425" s="49" t="s">
        <v>2239</v>
      </c>
      <c r="B425" s="50" t="s">
        <v>183</v>
      </c>
      <c r="C425" s="50" t="s">
        <v>3831</v>
      </c>
      <c r="D425" s="50" t="s">
        <v>3832</v>
      </c>
      <c r="E425" s="51">
        <v>300.0</v>
      </c>
      <c r="F425" s="52"/>
      <c r="G425" s="53"/>
      <c r="H425" s="55"/>
      <c r="I425" s="55"/>
      <c r="J425" s="53"/>
      <c r="K425" s="53"/>
      <c r="L425" s="55"/>
      <c r="M425" s="53"/>
      <c r="N425" s="74"/>
      <c r="O425" s="57" t="str">
        <f t="shared" si="1"/>
        <v>OK — cubierto (6.2 meses)</v>
      </c>
      <c r="P425" s="58">
        <f t="shared" si="2"/>
        <v>300</v>
      </c>
      <c r="Q425" s="1"/>
      <c r="R425" s="1"/>
      <c r="S425" s="1"/>
      <c r="T425" s="1"/>
      <c r="U425" s="1"/>
      <c r="V425" s="1"/>
      <c r="W425" s="1"/>
      <c r="X425" s="60">
        <f>IFERROR(VLOOKUP($A425,Ventas!$A$2:$L$5000,12,FALSE()),"")</f>
        <v>48.25</v>
      </c>
      <c r="Y425" s="60">
        <f t="shared" si="3"/>
        <v>193</v>
      </c>
      <c r="Z425" s="61">
        <f t="shared" si="4"/>
        <v>6.2</v>
      </c>
      <c r="AA425" s="60">
        <f t="shared" si="5"/>
        <v>-107</v>
      </c>
      <c r="AB425" s="62" t="str">
        <f t="shared" si="6"/>
        <v/>
      </c>
      <c r="AC425" s="62" t="str">
        <f t="array" ref="AC425">IF(AH425&lt;&gt;"COMPRAR","",IF(MAX(INDEX(Ventas!$G$2:$G$5000,MATCH($A425,Ventas!$A$2:$A$5000,0)),INDEX(Ventas!$H$2:$H$5000,MATCH($A425,Ventas!$A$2:$A$5000,0)),INDEX(Ventas!$I$2:$I$5000,MATCH($A425,Ventas!$A$2:$A$5000,0)),INDEX(Ventas!$J$2:$J$5000,MATCH($A425,Ventas!$A$2:$A$5000,0)))&gt;0.5*AF425*4,"1 mes = "&amp;TEXT(MAX(INDEX(Ventas!$G$2:$G$5000,MATCH($A425,Ventas!$A$2:$A$5000,0)),INDEX(Ventas!$H$2:$H$5000,MATCH($A425,Ventas!$A$2:$A$5000,0)),INDEX(Ventas!$I$2:$I$5000,MATCH($A425,Ventas!$A$2:$A$5000,0)),INDEX(Ventas!$J$2:$J$5000,MATCH($A425,Ventas!$A$2:$A$5000,0)))/(AF425*4),"0%")&amp;" de 4 meses",""))</f>
        <v/>
      </c>
      <c r="AD425" s="62" t="str">
        <f t="shared" si="7"/>
        <v/>
      </c>
      <c r="AE425" s="62" t="str">
        <f t="array" ref="AE425">IF(X425="","",IF(AND(E425=0,AVERAGE(INDEX(Ventas!$C$2:$I$5000,MATCH($A425,Ventas!$A$2:$A$5000,0),0))&gt;0,INDEX(Ventas!$J$2:$J$5000,MATCH($A425,Ventas!$A$2:$A$5000,0))&lt;0.5*AVERAGE(INDEX(Ventas!$C$2:$I$5000,MATCH($A425,Ventas!$A$2:$A$5000,0),0))),"SÍ — stock 0 y Sep cayó (prom Feb-Ago "&amp;TEXT(AVERAGE(INDEX(Ventas!$C$2:$I$5000,MATCH($A425,Ventas!$A$2:$A$5000,0),0)),"#,##0")&amp;")",""))</f>
        <v/>
      </c>
      <c r="AF425" s="60">
        <f t="array" ref="AF425">IF(X425="","",IF(AE425&lt;&gt;"",MAX(X425,AVERAGE(INDEX(Ventas!$C$2:$I$5000,MATCH($A425,Ventas!$A$2:$A$5000,0),0))),X425))</f>
        <v>48.25</v>
      </c>
      <c r="AG425" s="60">
        <f t="shared" si="8"/>
        <v>-107</v>
      </c>
      <c r="AH425" s="63" t="str">
        <f t="shared" si="9"/>
        <v>OK</v>
      </c>
    </row>
    <row r="426" ht="13.5" customHeight="1">
      <c r="A426" s="64" t="s">
        <v>1902</v>
      </c>
      <c r="B426" s="65" t="s">
        <v>183</v>
      </c>
      <c r="C426" s="65" t="s">
        <v>3833</v>
      </c>
      <c r="D426" s="65" t="s">
        <v>3833</v>
      </c>
      <c r="E426" s="51">
        <v>0.0</v>
      </c>
      <c r="F426" s="66"/>
      <c r="G426" s="53"/>
      <c r="H426" s="55"/>
      <c r="I426" s="55"/>
      <c r="J426" s="53"/>
      <c r="K426" s="53"/>
      <c r="L426" s="55"/>
      <c r="M426" s="53"/>
      <c r="N426" s="73"/>
      <c r="O426" s="57" t="str">
        <f t="shared" si="1"/>
        <v>COMPRAR — faltan 51 m para 4 meses</v>
      </c>
      <c r="P426" s="58">
        <f t="shared" si="2"/>
        <v>0</v>
      </c>
      <c r="Q426" s="1"/>
      <c r="R426" s="1"/>
      <c r="S426" s="1"/>
      <c r="T426" s="1"/>
      <c r="U426" s="1"/>
      <c r="V426" s="1"/>
      <c r="W426" s="1"/>
      <c r="X426" s="60">
        <f>IFERROR(VLOOKUP($A426,Ventas!$A$2:$L$5000,12,FALSE()),"")</f>
        <v>12.85</v>
      </c>
      <c r="Y426" s="60">
        <f t="shared" si="3"/>
        <v>51</v>
      </c>
      <c r="Z426" s="61">
        <f t="shared" si="4"/>
        <v>0</v>
      </c>
      <c r="AA426" s="60">
        <f t="shared" si="5"/>
        <v>51</v>
      </c>
      <c r="AB426" s="62" t="str">
        <f t="shared" si="6"/>
        <v/>
      </c>
      <c r="AC426" s="62" t="str">
        <f t="array" ref="AC426">IF(AH426&lt;&gt;"COMPRAR","",IF(MAX(INDEX(Ventas!$G$2:$G$5000,MATCH($A426,Ventas!$A$2:$A$5000,0)),INDEX(Ventas!$H$2:$H$5000,MATCH($A426,Ventas!$A$2:$A$5000,0)),INDEX(Ventas!$I$2:$I$5000,MATCH($A426,Ventas!$A$2:$A$5000,0)),INDEX(Ventas!$J$2:$J$5000,MATCH($A426,Ventas!$A$2:$A$5000,0)))&gt;0.5*AF426*4,"1 mes = "&amp;TEXT(MAX(INDEX(Ventas!$G$2:$G$5000,MATCH($A426,Ventas!$A$2:$A$5000,0)),INDEX(Ventas!$H$2:$H$5000,MATCH($A426,Ventas!$A$2:$A$5000,0)),INDEX(Ventas!$I$2:$I$5000,MATCH($A426,Ventas!$A$2:$A$5000,0)),INDEX(Ventas!$J$2:$J$5000,MATCH($A426,Ventas!$A$2:$A$5000,0)))/(AF426*4),"0%")&amp;" de 4 meses",""))</f>
        <v/>
      </c>
      <c r="AD426" s="62" t="str">
        <f t="shared" si="7"/>
        <v>SÍ — 0 m vs 7 m</v>
      </c>
      <c r="AE426" s="62" t="str">
        <f t="array" ref="AE426">IF(X426="","",IF(AND(E426=0,AVERAGE(INDEX(Ventas!$C$2:$I$5000,MATCH($A426,Ventas!$A$2:$A$5000,0),0))&gt;0,INDEX(Ventas!$J$2:$J$5000,MATCH($A426,Ventas!$A$2:$A$5000,0))&lt;0.5*AVERAGE(INDEX(Ventas!$C$2:$I$5000,MATCH($A426,Ventas!$A$2:$A$5000,0),0))),"SÍ — stock 0 y Sep cayó (prom Feb-Ago "&amp;TEXT(AVERAGE(INDEX(Ventas!$C$2:$I$5000,MATCH($A426,Ventas!$A$2:$A$5000,0),0)),"#,##0")&amp;")",""))</f>
        <v>SÍ — stock 0 y Sep cayó (prom Feb-Ago 64)</v>
      </c>
      <c r="AF426" s="60">
        <f t="array" ref="AF426">IF(X426="","",IF(AE426&lt;&gt;"",MAX(X426,AVERAGE(INDEX(Ventas!$C$2:$I$5000,MATCH($A426,Ventas!$A$2:$A$5000,0),0))),X426))</f>
        <v>64.34285714</v>
      </c>
      <c r="AG426" s="60">
        <f t="shared" si="8"/>
        <v>257</v>
      </c>
      <c r="AH426" s="63" t="str">
        <f t="shared" si="9"/>
        <v>COMPRAR</v>
      </c>
    </row>
    <row r="427" ht="13.5" customHeight="1">
      <c r="A427" s="49" t="s">
        <v>1272</v>
      </c>
      <c r="B427" s="50" t="s">
        <v>183</v>
      </c>
      <c r="C427" s="50" t="s">
        <v>3834</v>
      </c>
      <c r="D427" s="50" t="s">
        <v>3835</v>
      </c>
      <c r="E427" s="51">
        <v>300.0</v>
      </c>
      <c r="F427" s="52"/>
      <c r="G427" s="53"/>
      <c r="H427" s="69">
        <v>600.0</v>
      </c>
      <c r="I427" s="55"/>
      <c r="J427" s="53"/>
      <c r="K427" s="53"/>
      <c r="L427" s="55"/>
      <c r="M427" s="53"/>
      <c r="N427" s="74"/>
      <c r="O427" s="57" t="str">
        <f t="shared" si="1"/>
        <v>SOBRESTOCK — 14.4 meses de cobertura</v>
      </c>
      <c r="P427" s="58">
        <f t="shared" si="2"/>
        <v>900</v>
      </c>
      <c r="Q427" s="1"/>
      <c r="R427" s="1"/>
      <c r="S427" s="1"/>
      <c r="T427" s="1"/>
      <c r="U427" s="1"/>
      <c r="V427" s="1"/>
      <c r="W427" s="1"/>
      <c r="X427" s="60">
        <f>IFERROR(VLOOKUP($A427,Ventas!$A$2:$L$5000,12,FALSE()),"")</f>
        <v>62.5</v>
      </c>
      <c r="Y427" s="60">
        <f t="shared" si="3"/>
        <v>250</v>
      </c>
      <c r="Z427" s="61">
        <f t="shared" si="4"/>
        <v>14.4</v>
      </c>
      <c r="AA427" s="60">
        <f t="shared" si="5"/>
        <v>-650</v>
      </c>
      <c r="AB427" s="62" t="str">
        <f t="shared" si="6"/>
        <v/>
      </c>
      <c r="AC427" s="62" t="str">
        <f t="array" ref="AC427">IF(AH427&lt;&gt;"COMPRAR","",IF(MAX(INDEX(Ventas!$G$2:$G$5000,MATCH($A427,Ventas!$A$2:$A$5000,0)),INDEX(Ventas!$H$2:$H$5000,MATCH($A427,Ventas!$A$2:$A$5000,0)),INDEX(Ventas!$I$2:$I$5000,MATCH($A427,Ventas!$A$2:$A$5000,0)),INDEX(Ventas!$J$2:$J$5000,MATCH($A427,Ventas!$A$2:$A$5000,0)))&gt;0.5*AF427*4,"1 mes = "&amp;TEXT(MAX(INDEX(Ventas!$G$2:$G$5000,MATCH($A427,Ventas!$A$2:$A$5000,0)),INDEX(Ventas!$H$2:$H$5000,MATCH($A427,Ventas!$A$2:$A$5000,0)),INDEX(Ventas!$I$2:$I$5000,MATCH($A427,Ventas!$A$2:$A$5000,0)),INDEX(Ventas!$J$2:$J$5000,MATCH($A427,Ventas!$A$2:$A$5000,0)))/(AF427*4),"0%")&amp;" de 4 meses",""))</f>
        <v/>
      </c>
      <c r="AD427" s="62" t="str">
        <f t="shared" si="7"/>
        <v/>
      </c>
      <c r="AE427" s="62" t="str">
        <f t="array" ref="AE427">IF(X427="","",IF(AND(E427=0,AVERAGE(INDEX(Ventas!$C$2:$I$5000,MATCH($A427,Ventas!$A$2:$A$5000,0),0))&gt;0,INDEX(Ventas!$J$2:$J$5000,MATCH($A427,Ventas!$A$2:$A$5000,0))&lt;0.5*AVERAGE(INDEX(Ventas!$C$2:$I$5000,MATCH($A427,Ventas!$A$2:$A$5000,0),0))),"SÍ — stock 0 y Sep cayó (prom Feb-Ago "&amp;TEXT(AVERAGE(INDEX(Ventas!$C$2:$I$5000,MATCH($A427,Ventas!$A$2:$A$5000,0),0)),"#,##0")&amp;")",""))</f>
        <v/>
      </c>
      <c r="AF427" s="60">
        <f t="array" ref="AF427">IF(X427="","",IF(AE427&lt;&gt;"",MAX(X427,AVERAGE(INDEX(Ventas!$C$2:$I$5000,MATCH($A427,Ventas!$A$2:$A$5000,0),0))),X427))</f>
        <v>62.5</v>
      </c>
      <c r="AG427" s="60">
        <f t="shared" si="8"/>
        <v>-650</v>
      </c>
      <c r="AH427" s="63" t="str">
        <f t="shared" si="9"/>
        <v>SOBRESTOCK</v>
      </c>
    </row>
    <row r="428" ht="13.5" customHeight="1">
      <c r="A428" s="64" t="s">
        <v>2478</v>
      </c>
      <c r="B428" s="65" t="s">
        <v>183</v>
      </c>
      <c r="C428" s="65" t="s">
        <v>3836</v>
      </c>
      <c r="D428" s="65" t="s">
        <v>1329</v>
      </c>
      <c r="E428" s="51">
        <v>799.0</v>
      </c>
      <c r="F428" s="66"/>
      <c r="G428" s="53"/>
      <c r="H428" s="55"/>
      <c r="I428" s="55"/>
      <c r="J428" s="53"/>
      <c r="K428" s="53"/>
      <c r="L428" s="55"/>
      <c r="M428" s="53"/>
      <c r="N428" s="73"/>
      <c r="O428" s="57" t="str">
        <f t="shared" si="1"/>
        <v>SOBRESTOCK — 32.0 meses de cobertura</v>
      </c>
      <c r="P428" s="58">
        <f t="shared" si="2"/>
        <v>799</v>
      </c>
      <c r="Q428" s="1"/>
      <c r="R428" s="1"/>
      <c r="S428" s="1"/>
      <c r="T428" s="1"/>
      <c r="U428" s="1"/>
      <c r="V428" s="1"/>
      <c r="W428" s="1"/>
      <c r="X428" s="60">
        <f>IFERROR(VLOOKUP($A428,Ventas!$A$2:$L$5000,12,FALSE()),"")</f>
        <v>25</v>
      </c>
      <c r="Y428" s="60">
        <f t="shared" si="3"/>
        <v>100</v>
      </c>
      <c r="Z428" s="61">
        <f t="shared" si="4"/>
        <v>32</v>
      </c>
      <c r="AA428" s="60">
        <f t="shared" si="5"/>
        <v>-699</v>
      </c>
      <c r="AB428" s="62" t="str">
        <f t="shared" si="6"/>
        <v/>
      </c>
      <c r="AC428" s="62" t="str">
        <f t="array" ref="AC428">IF(AH428&lt;&gt;"COMPRAR","",IF(MAX(INDEX(Ventas!$G$2:$G$5000,MATCH($A428,Ventas!$A$2:$A$5000,0)),INDEX(Ventas!$H$2:$H$5000,MATCH($A428,Ventas!$A$2:$A$5000,0)),INDEX(Ventas!$I$2:$I$5000,MATCH($A428,Ventas!$A$2:$A$5000,0)),INDEX(Ventas!$J$2:$J$5000,MATCH($A428,Ventas!$A$2:$A$5000,0)))&gt;0.5*AF428*4,"1 mes = "&amp;TEXT(MAX(INDEX(Ventas!$G$2:$G$5000,MATCH($A428,Ventas!$A$2:$A$5000,0)),INDEX(Ventas!$H$2:$H$5000,MATCH($A428,Ventas!$A$2:$A$5000,0)),INDEX(Ventas!$I$2:$I$5000,MATCH($A428,Ventas!$A$2:$A$5000,0)),INDEX(Ventas!$J$2:$J$5000,MATCH($A428,Ventas!$A$2:$A$5000,0)))/(AF428*4),"0%")&amp;" de 4 meses",""))</f>
        <v/>
      </c>
      <c r="AD428" s="62" t="str">
        <f t="shared" si="7"/>
        <v/>
      </c>
      <c r="AE428" s="62" t="str">
        <f t="array" ref="AE428">IF(X428="","",IF(AND(E428=0,AVERAGE(INDEX(Ventas!$C$2:$I$5000,MATCH($A428,Ventas!$A$2:$A$5000,0),0))&gt;0,INDEX(Ventas!$J$2:$J$5000,MATCH($A428,Ventas!$A$2:$A$5000,0))&lt;0.5*AVERAGE(INDEX(Ventas!$C$2:$I$5000,MATCH($A428,Ventas!$A$2:$A$5000,0),0))),"SÍ — stock 0 y Sep cayó (prom Feb-Ago "&amp;TEXT(AVERAGE(INDEX(Ventas!$C$2:$I$5000,MATCH($A428,Ventas!$A$2:$A$5000,0),0)),"#,##0")&amp;")",""))</f>
        <v/>
      </c>
      <c r="AF428" s="60">
        <f t="array" ref="AF428">IF(X428="","",IF(AE428&lt;&gt;"",MAX(X428,AVERAGE(INDEX(Ventas!$C$2:$I$5000,MATCH($A428,Ventas!$A$2:$A$5000,0),0))),X428))</f>
        <v>25</v>
      </c>
      <c r="AG428" s="60">
        <f t="shared" si="8"/>
        <v>-699</v>
      </c>
      <c r="AH428" s="63" t="str">
        <f t="shared" si="9"/>
        <v>SOBRESTOCK</v>
      </c>
    </row>
    <row r="429" ht="13.5" customHeight="1">
      <c r="A429" s="49" t="s">
        <v>3837</v>
      </c>
      <c r="B429" s="50" t="s">
        <v>183</v>
      </c>
      <c r="C429" s="50" t="s">
        <v>3838</v>
      </c>
      <c r="D429" s="50" t="s">
        <v>1329</v>
      </c>
      <c r="E429" s="51">
        <v>849.0</v>
      </c>
      <c r="F429" s="52"/>
      <c r="G429" s="53"/>
      <c r="H429" s="55"/>
      <c r="I429" s="55"/>
      <c r="J429" s="53"/>
      <c r="K429" s="53"/>
      <c r="L429" s="55"/>
      <c r="M429" s="53"/>
      <c r="N429" s="74"/>
      <c r="O429" s="57" t="str">
        <f t="shared" si="1"/>
        <v>SIN HISTORIAL DE VENTAS — artículo nuevo o código distinto en Ventas</v>
      </c>
      <c r="P429" s="58">
        <f t="shared" si="2"/>
        <v>849</v>
      </c>
      <c r="Q429" s="1"/>
      <c r="R429" s="1"/>
      <c r="S429" s="1"/>
      <c r="T429" s="1"/>
      <c r="U429" s="1"/>
      <c r="V429" s="1"/>
      <c r="W429" s="1"/>
      <c r="X429" s="60" t="str">
        <f>IFERROR(VLOOKUP($A429,Ventas!$A$2:$L$5000,12,FALSE()),"")</f>
        <v/>
      </c>
      <c r="Y429" s="60" t="str">
        <f t="shared" si="3"/>
        <v/>
      </c>
      <c r="Z429" s="61" t="str">
        <f t="shared" si="4"/>
        <v/>
      </c>
      <c r="AA429" s="60" t="str">
        <f t="shared" si="5"/>
        <v/>
      </c>
      <c r="AB429" s="62" t="str">
        <f t="shared" si="6"/>
        <v/>
      </c>
      <c r="AC429" s="62" t="str">
        <f t="array" ref="AC429">IF(AH429&lt;&gt;"COMPRAR","",IF(MAX(INDEX(Ventas!$G$2:$G$5000,MATCH($A429,Ventas!$A$2:$A$5000,0)),INDEX(Ventas!$H$2:$H$5000,MATCH($A429,Ventas!$A$2:$A$5000,0)),INDEX(Ventas!$I$2:$I$5000,MATCH($A429,Ventas!$A$2:$A$5000,0)),INDEX(Ventas!$J$2:$J$5000,MATCH($A429,Ventas!$A$2:$A$5000,0)))&gt;0.5*AF429*4,"1 mes = "&amp;TEXT(MAX(INDEX(Ventas!$G$2:$G$5000,MATCH($A429,Ventas!$A$2:$A$5000,0)),INDEX(Ventas!$H$2:$H$5000,MATCH($A429,Ventas!$A$2:$A$5000,0)),INDEX(Ventas!$I$2:$I$5000,MATCH($A429,Ventas!$A$2:$A$5000,0)),INDEX(Ventas!$J$2:$J$5000,MATCH($A429,Ventas!$A$2:$A$5000,0)))/(AF429*4),"0%")&amp;" de 4 meses",""))</f>
        <v/>
      </c>
      <c r="AD429" s="62" t="str">
        <f t="shared" si="7"/>
        <v/>
      </c>
      <c r="AE429" s="62" t="str">
        <f t="array" ref="AE429">IF(X429="","",IF(AND(E429=0,AVERAGE(INDEX(Ventas!$C$2:$I$5000,MATCH($A429,Ventas!$A$2:$A$5000,0),0))&gt;0,INDEX(Ventas!$J$2:$J$5000,MATCH($A429,Ventas!$A$2:$A$5000,0))&lt;0.5*AVERAGE(INDEX(Ventas!$C$2:$I$5000,MATCH($A429,Ventas!$A$2:$A$5000,0),0))),"SÍ — stock 0 y Sep cayó (prom Feb-Ago "&amp;TEXT(AVERAGE(INDEX(Ventas!$C$2:$I$5000,MATCH($A429,Ventas!$A$2:$A$5000,0),0)),"#,##0")&amp;")",""))</f>
        <v/>
      </c>
      <c r="AF429" s="60" t="str">
        <f t="array" ref="AF429">IF(X429="","",IF(AE429&lt;&gt;"",MAX(X429,AVERAGE(INDEX(Ventas!$C$2:$I$5000,MATCH($A429,Ventas!$A$2:$A$5000,0),0))),X429))</f>
        <v/>
      </c>
      <c r="AG429" s="60" t="str">
        <f t="shared" si="8"/>
        <v/>
      </c>
      <c r="AH429" s="63" t="str">
        <f t="shared" si="9"/>
        <v>SIN HISTORIAL</v>
      </c>
    </row>
    <row r="430" ht="13.5" customHeight="1">
      <c r="A430" s="64" t="s">
        <v>2482</v>
      </c>
      <c r="B430" s="65" t="s">
        <v>183</v>
      </c>
      <c r="C430" s="65" t="s">
        <v>3838</v>
      </c>
      <c r="D430" s="65" t="s">
        <v>3643</v>
      </c>
      <c r="E430" s="51">
        <v>961.0</v>
      </c>
      <c r="F430" s="66"/>
      <c r="G430" s="53"/>
      <c r="H430" s="55"/>
      <c r="I430" s="55"/>
      <c r="J430" s="53"/>
      <c r="K430" s="53"/>
      <c r="L430" s="55"/>
      <c r="M430" s="53"/>
      <c r="N430" s="73"/>
      <c r="O430" s="57" t="str">
        <f t="shared" si="1"/>
        <v>SIN VENTAS Jun-Sep — no comprar (961 m disponibles)</v>
      </c>
      <c r="P430" s="58">
        <f t="shared" si="2"/>
        <v>961</v>
      </c>
      <c r="Q430" s="1"/>
      <c r="R430" s="1"/>
      <c r="S430" s="1"/>
      <c r="T430" s="1"/>
      <c r="U430" s="1"/>
      <c r="V430" s="1"/>
      <c r="W430" s="1"/>
      <c r="X430" s="60">
        <f>IFERROR(VLOOKUP($A430,Ventas!$A$2:$L$5000,12,FALSE()),"")</f>
        <v>0</v>
      </c>
      <c r="Y430" s="60">
        <f t="shared" si="3"/>
        <v>0</v>
      </c>
      <c r="Z430" s="61" t="str">
        <f t="shared" si="4"/>
        <v/>
      </c>
      <c r="AA430" s="60">
        <f t="shared" si="5"/>
        <v>-961</v>
      </c>
      <c r="AB430" s="62" t="str">
        <f t="shared" si="6"/>
        <v/>
      </c>
      <c r="AC430" s="62" t="str">
        <f t="array" ref="AC430">IF(AH430&lt;&gt;"COMPRAR","",IF(MAX(INDEX(Ventas!$G$2:$G$5000,MATCH($A430,Ventas!$A$2:$A$5000,0)),INDEX(Ventas!$H$2:$H$5000,MATCH($A430,Ventas!$A$2:$A$5000,0)),INDEX(Ventas!$I$2:$I$5000,MATCH($A430,Ventas!$A$2:$A$5000,0)),INDEX(Ventas!$J$2:$J$5000,MATCH($A430,Ventas!$A$2:$A$5000,0)))&gt;0.5*AF430*4,"1 mes = "&amp;TEXT(MAX(INDEX(Ventas!$G$2:$G$5000,MATCH($A430,Ventas!$A$2:$A$5000,0)),INDEX(Ventas!$H$2:$H$5000,MATCH($A430,Ventas!$A$2:$A$5000,0)),INDEX(Ventas!$I$2:$I$5000,MATCH($A430,Ventas!$A$2:$A$5000,0)),INDEX(Ventas!$J$2:$J$5000,MATCH($A430,Ventas!$A$2:$A$5000,0)))/(AF430*4),"0%")&amp;" de 4 meses",""))</f>
        <v/>
      </c>
      <c r="AD430" s="62" t="str">
        <f t="shared" si="7"/>
        <v/>
      </c>
      <c r="AE430" s="62" t="str">
        <f t="array" ref="AE430">IF(X430="","",IF(AND(E430=0,AVERAGE(INDEX(Ventas!$C$2:$I$5000,MATCH($A430,Ventas!$A$2:$A$5000,0),0))&gt;0,INDEX(Ventas!$J$2:$J$5000,MATCH($A430,Ventas!$A$2:$A$5000,0))&lt;0.5*AVERAGE(INDEX(Ventas!$C$2:$I$5000,MATCH($A430,Ventas!$A$2:$A$5000,0),0))),"SÍ — stock 0 y Sep cayó (prom Feb-Ago "&amp;TEXT(AVERAGE(INDEX(Ventas!$C$2:$I$5000,MATCH($A430,Ventas!$A$2:$A$5000,0),0)),"#,##0")&amp;")",""))</f>
        <v/>
      </c>
      <c r="AF430" s="60">
        <f t="array" ref="AF430">IF(X430="","",IF(AE430&lt;&gt;"",MAX(X430,AVERAGE(INDEX(Ventas!$C$2:$I$5000,MATCH($A430,Ventas!$A$2:$A$5000,0),0))),X430))</f>
        <v>0</v>
      </c>
      <c r="AG430" s="60">
        <f t="shared" si="8"/>
        <v>-961</v>
      </c>
      <c r="AH430" s="63" t="str">
        <f t="shared" si="9"/>
        <v>SIN VENTAS</v>
      </c>
    </row>
    <row r="431" ht="13.5" customHeight="1">
      <c r="A431" s="49" t="s">
        <v>2484</v>
      </c>
      <c r="B431" s="50" t="s">
        <v>183</v>
      </c>
      <c r="C431" s="50" t="s">
        <v>3838</v>
      </c>
      <c r="D431" s="50" t="s">
        <v>3672</v>
      </c>
      <c r="E431" s="51">
        <v>900.0</v>
      </c>
      <c r="F431" s="52"/>
      <c r="G431" s="53"/>
      <c r="H431" s="55"/>
      <c r="I431" s="55"/>
      <c r="J431" s="53"/>
      <c r="K431" s="53"/>
      <c r="L431" s="55"/>
      <c r="M431" s="53"/>
      <c r="N431" s="74"/>
      <c r="O431" s="57" t="str">
        <f t="shared" si="1"/>
        <v>SIN VENTAS Jun-Sep — no comprar (900 m disponibles)</v>
      </c>
      <c r="P431" s="58">
        <f t="shared" si="2"/>
        <v>900</v>
      </c>
      <c r="Q431" s="1"/>
      <c r="R431" s="1"/>
      <c r="S431" s="1"/>
      <c r="T431" s="1"/>
      <c r="U431" s="1"/>
      <c r="V431" s="1"/>
      <c r="W431" s="1"/>
      <c r="X431" s="60">
        <f>IFERROR(VLOOKUP($A431,Ventas!$A$2:$L$5000,12,FALSE()),"")</f>
        <v>0</v>
      </c>
      <c r="Y431" s="60">
        <f t="shared" si="3"/>
        <v>0</v>
      </c>
      <c r="Z431" s="61" t="str">
        <f t="shared" si="4"/>
        <v/>
      </c>
      <c r="AA431" s="60">
        <f t="shared" si="5"/>
        <v>-900</v>
      </c>
      <c r="AB431" s="62" t="str">
        <f t="shared" si="6"/>
        <v/>
      </c>
      <c r="AC431" s="62" t="str">
        <f t="array" ref="AC431">IF(AH431&lt;&gt;"COMPRAR","",IF(MAX(INDEX(Ventas!$G$2:$G$5000,MATCH($A431,Ventas!$A$2:$A$5000,0)),INDEX(Ventas!$H$2:$H$5000,MATCH($A431,Ventas!$A$2:$A$5000,0)),INDEX(Ventas!$I$2:$I$5000,MATCH($A431,Ventas!$A$2:$A$5000,0)),INDEX(Ventas!$J$2:$J$5000,MATCH($A431,Ventas!$A$2:$A$5000,0)))&gt;0.5*AF431*4,"1 mes = "&amp;TEXT(MAX(INDEX(Ventas!$G$2:$G$5000,MATCH($A431,Ventas!$A$2:$A$5000,0)),INDEX(Ventas!$H$2:$H$5000,MATCH($A431,Ventas!$A$2:$A$5000,0)),INDEX(Ventas!$I$2:$I$5000,MATCH($A431,Ventas!$A$2:$A$5000,0)),INDEX(Ventas!$J$2:$J$5000,MATCH($A431,Ventas!$A$2:$A$5000,0)))/(AF431*4),"0%")&amp;" de 4 meses",""))</f>
        <v/>
      </c>
      <c r="AD431" s="62" t="str">
        <f t="shared" si="7"/>
        <v/>
      </c>
      <c r="AE431" s="62" t="str">
        <f t="array" ref="AE431">IF(X431="","",IF(AND(E431=0,AVERAGE(INDEX(Ventas!$C$2:$I$5000,MATCH($A431,Ventas!$A$2:$A$5000,0),0))&gt;0,INDEX(Ventas!$J$2:$J$5000,MATCH($A431,Ventas!$A$2:$A$5000,0))&lt;0.5*AVERAGE(INDEX(Ventas!$C$2:$I$5000,MATCH($A431,Ventas!$A$2:$A$5000,0),0))),"SÍ — stock 0 y Sep cayó (prom Feb-Ago "&amp;TEXT(AVERAGE(INDEX(Ventas!$C$2:$I$5000,MATCH($A431,Ventas!$A$2:$A$5000,0),0)),"#,##0")&amp;")",""))</f>
        <v/>
      </c>
      <c r="AF431" s="60">
        <f t="array" ref="AF431">IF(X431="","",IF(AE431&lt;&gt;"",MAX(X431,AVERAGE(INDEX(Ventas!$C$2:$I$5000,MATCH($A431,Ventas!$A$2:$A$5000,0),0))),X431))</f>
        <v>0</v>
      </c>
      <c r="AG431" s="60">
        <f t="shared" si="8"/>
        <v>-900</v>
      </c>
      <c r="AH431" s="63" t="str">
        <f t="shared" si="9"/>
        <v>SIN VENTAS</v>
      </c>
    </row>
    <row r="432" ht="13.5" customHeight="1">
      <c r="A432" s="64" t="s">
        <v>2476</v>
      </c>
      <c r="B432" s="65" t="s">
        <v>183</v>
      </c>
      <c r="C432" s="65" t="s">
        <v>3838</v>
      </c>
      <c r="D432" s="65" t="s">
        <v>3839</v>
      </c>
      <c r="E432" s="51">
        <v>878.0</v>
      </c>
      <c r="F432" s="66"/>
      <c r="G432" s="53"/>
      <c r="H432" s="55"/>
      <c r="I432" s="55"/>
      <c r="J432" s="53"/>
      <c r="K432" s="53"/>
      <c r="L432" s="55"/>
      <c r="M432" s="53"/>
      <c r="N432" s="73"/>
      <c r="O432" s="57" t="str">
        <f t="shared" si="1"/>
        <v>SIN VENTAS Jun-Sep — no comprar (878 m disponibles)</v>
      </c>
      <c r="P432" s="58">
        <f t="shared" si="2"/>
        <v>878</v>
      </c>
      <c r="Q432" s="1"/>
      <c r="R432" s="1"/>
      <c r="S432" s="1"/>
      <c r="T432" s="1"/>
      <c r="U432" s="1"/>
      <c r="V432" s="1"/>
      <c r="W432" s="1"/>
      <c r="X432" s="60">
        <f>IFERROR(VLOOKUP($A432,Ventas!$A$2:$L$5000,12,FALSE()),"")</f>
        <v>0</v>
      </c>
      <c r="Y432" s="60">
        <f t="shared" si="3"/>
        <v>0</v>
      </c>
      <c r="Z432" s="61" t="str">
        <f t="shared" si="4"/>
        <v/>
      </c>
      <c r="AA432" s="60">
        <f t="shared" si="5"/>
        <v>-878</v>
      </c>
      <c r="AB432" s="62" t="str">
        <f t="shared" si="6"/>
        <v/>
      </c>
      <c r="AC432" s="62" t="str">
        <f t="array" ref="AC432">IF(AH432&lt;&gt;"COMPRAR","",IF(MAX(INDEX(Ventas!$G$2:$G$5000,MATCH($A432,Ventas!$A$2:$A$5000,0)),INDEX(Ventas!$H$2:$H$5000,MATCH($A432,Ventas!$A$2:$A$5000,0)),INDEX(Ventas!$I$2:$I$5000,MATCH($A432,Ventas!$A$2:$A$5000,0)),INDEX(Ventas!$J$2:$J$5000,MATCH($A432,Ventas!$A$2:$A$5000,0)))&gt;0.5*AF432*4,"1 mes = "&amp;TEXT(MAX(INDEX(Ventas!$G$2:$G$5000,MATCH($A432,Ventas!$A$2:$A$5000,0)),INDEX(Ventas!$H$2:$H$5000,MATCH($A432,Ventas!$A$2:$A$5000,0)),INDEX(Ventas!$I$2:$I$5000,MATCH($A432,Ventas!$A$2:$A$5000,0)),INDEX(Ventas!$J$2:$J$5000,MATCH($A432,Ventas!$A$2:$A$5000,0)))/(AF432*4),"0%")&amp;" de 4 meses",""))</f>
        <v/>
      </c>
      <c r="AD432" s="62" t="str">
        <f t="shared" si="7"/>
        <v/>
      </c>
      <c r="AE432" s="62" t="str">
        <f t="array" ref="AE432">IF(X432="","",IF(AND(E432=0,AVERAGE(INDEX(Ventas!$C$2:$I$5000,MATCH($A432,Ventas!$A$2:$A$5000,0),0))&gt;0,INDEX(Ventas!$J$2:$J$5000,MATCH($A432,Ventas!$A$2:$A$5000,0))&lt;0.5*AVERAGE(INDEX(Ventas!$C$2:$I$5000,MATCH($A432,Ventas!$A$2:$A$5000,0),0))),"SÍ — stock 0 y Sep cayó (prom Feb-Ago "&amp;TEXT(AVERAGE(INDEX(Ventas!$C$2:$I$5000,MATCH($A432,Ventas!$A$2:$A$5000,0),0)),"#,##0")&amp;")",""))</f>
        <v/>
      </c>
      <c r="AF432" s="60">
        <f t="array" ref="AF432">IF(X432="","",IF(AE432&lt;&gt;"",MAX(X432,AVERAGE(INDEX(Ventas!$C$2:$I$5000,MATCH($A432,Ventas!$A$2:$A$5000,0),0))),X432))</f>
        <v>0</v>
      </c>
      <c r="AG432" s="60">
        <f t="shared" si="8"/>
        <v>-878</v>
      </c>
      <c r="AH432" s="63" t="str">
        <f t="shared" si="9"/>
        <v>SIN VENTAS</v>
      </c>
    </row>
    <row r="433" ht="13.5" customHeight="1">
      <c r="A433" s="49" t="s">
        <v>3003</v>
      </c>
      <c r="B433" s="50" t="s">
        <v>183</v>
      </c>
      <c r="C433" s="50" t="s">
        <v>3840</v>
      </c>
      <c r="D433" s="50" t="s">
        <v>1329</v>
      </c>
      <c r="E433" s="51">
        <v>949.0</v>
      </c>
      <c r="F433" s="52"/>
      <c r="G433" s="53"/>
      <c r="H433" s="55"/>
      <c r="I433" s="55"/>
      <c r="J433" s="53"/>
      <c r="K433" s="53"/>
      <c r="L433" s="55"/>
      <c r="M433" s="53"/>
      <c r="N433" s="74"/>
      <c r="O433" s="57" t="str">
        <f t="shared" si="1"/>
        <v>SOBRESTOCK — 25.3 meses de cobertura</v>
      </c>
      <c r="P433" s="58">
        <f t="shared" si="2"/>
        <v>949</v>
      </c>
      <c r="Q433" s="1"/>
      <c r="R433" s="1"/>
      <c r="S433" s="1"/>
      <c r="T433" s="1"/>
      <c r="U433" s="1"/>
      <c r="V433" s="1"/>
      <c r="W433" s="1"/>
      <c r="X433" s="60">
        <f>IFERROR(VLOOKUP($A433,Ventas!$A$2:$L$5000,12,FALSE()),"")</f>
        <v>37.5</v>
      </c>
      <c r="Y433" s="60">
        <f t="shared" si="3"/>
        <v>150</v>
      </c>
      <c r="Z433" s="61">
        <f t="shared" si="4"/>
        <v>25.3</v>
      </c>
      <c r="AA433" s="60">
        <f t="shared" si="5"/>
        <v>-799</v>
      </c>
      <c r="AB433" s="62" t="str">
        <f t="shared" si="6"/>
        <v/>
      </c>
      <c r="AC433" s="62" t="str">
        <f t="array" ref="AC433">IF(AH433&lt;&gt;"COMPRAR","",IF(MAX(INDEX(Ventas!$G$2:$G$5000,MATCH($A433,Ventas!$A$2:$A$5000,0)),INDEX(Ventas!$H$2:$H$5000,MATCH($A433,Ventas!$A$2:$A$5000,0)),INDEX(Ventas!$I$2:$I$5000,MATCH($A433,Ventas!$A$2:$A$5000,0)),INDEX(Ventas!$J$2:$J$5000,MATCH($A433,Ventas!$A$2:$A$5000,0)))&gt;0.5*AF433*4,"1 mes = "&amp;TEXT(MAX(INDEX(Ventas!$G$2:$G$5000,MATCH($A433,Ventas!$A$2:$A$5000,0)),INDEX(Ventas!$H$2:$H$5000,MATCH($A433,Ventas!$A$2:$A$5000,0)),INDEX(Ventas!$I$2:$I$5000,MATCH($A433,Ventas!$A$2:$A$5000,0)),INDEX(Ventas!$J$2:$J$5000,MATCH($A433,Ventas!$A$2:$A$5000,0)))/(AF433*4),"0%")&amp;" de 4 meses",""))</f>
        <v/>
      </c>
      <c r="AD433" s="62" t="str">
        <f t="shared" si="7"/>
        <v/>
      </c>
      <c r="AE433" s="62" t="str">
        <f t="array" ref="AE433">IF(X433="","",IF(AND(E433=0,AVERAGE(INDEX(Ventas!$C$2:$I$5000,MATCH($A433,Ventas!$A$2:$A$5000,0),0))&gt;0,INDEX(Ventas!$J$2:$J$5000,MATCH($A433,Ventas!$A$2:$A$5000,0))&lt;0.5*AVERAGE(INDEX(Ventas!$C$2:$I$5000,MATCH($A433,Ventas!$A$2:$A$5000,0),0))),"SÍ — stock 0 y Sep cayó (prom Feb-Ago "&amp;TEXT(AVERAGE(INDEX(Ventas!$C$2:$I$5000,MATCH($A433,Ventas!$A$2:$A$5000,0),0)),"#,##0")&amp;")",""))</f>
        <v/>
      </c>
      <c r="AF433" s="60">
        <f t="array" ref="AF433">IF(X433="","",IF(AE433&lt;&gt;"",MAX(X433,AVERAGE(INDEX(Ventas!$C$2:$I$5000,MATCH($A433,Ventas!$A$2:$A$5000,0),0))),X433))</f>
        <v>37.5</v>
      </c>
      <c r="AG433" s="60">
        <f t="shared" si="8"/>
        <v>-799</v>
      </c>
      <c r="AH433" s="63" t="str">
        <f t="shared" si="9"/>
        <v>SOBRESTOCK</v>
      </c>
    </row>
    <row r="434" ht="13.5" customHeight="1">
      <c r="A434" s="64" t="s">
        <v>132</v>
      </c>
      <c r="B434" s="65" t="s">
        <v>183</v>
      </c>
      <c r="C434" s="65" t="s">
        <v>3841</v>
      </c>
      <c r="D434" s="65" t="s">
        <v>1329</v>
      </c>
      <c r="E434" s="51">
        <v>130.0</v>
      </c>
      <c r="F434" s="66"/>
      <c r="G434" s="53"/>
      <c r="H434" s="55"/>
      <c r="I434" s="55"/>
      <c r="J434" s="53"/>
      <c r="K434" s="53"/>
      <c r="L434" s="55"/>
      <c r="M434" s="53"/>
      <c r="N434" s="73"/>
      <c r="O434" s="57" t="str">
        <f t="shared" si="1"/>
        <v>COMPRAR — faltan 93 m para 4 meses</v>
      </c>
      <c r="P434" s="58">
        <f t="shared" si="2"/>
        <v>130</v>
      </c>
      <c r="Q434" s="1"/>
      <c r="R434" s="1"/>
      <c r="S434" s="1"/>
      <c r="T434" s="1"/>
      <c r="U434" s="1"/>
      <c r="V434" s="1"/>
      <c r="W434" s="1"/>
      <c r="X434" s="60">
        <f>IFERROR(VLOOKUP($A434,Ventas!$A$2:$L$5000,12,FALSE()),"")</f>
        <v>55.85</v>
      </c>
      <c r="Y434" s="60">
        <f t="shared" si="3"/>
        <v>223</v>
      </c>
      <c r="Z434" s="61">
        <f t="shared" si="4"/>
        <v>2.3</v>
      </c>
      <c r="AA434" s="60">
        <f t="shared" si="5"/>
        <v>93</v>
      </c>
      <c r="AB434" s="62" t="str">
        <f t="shared" si="6"/>
        <v/>
      </c>
      <c r="AC434" s="62" t="str">
        <f t="array" ref="AC434">IF(AH434&lt;&gt;"COMPRAR","",IF(MAX(INDEX(Ventas!$G$2:$G$5000,MATCH($A434,Ventas!$A$2:$A$5000,0)),INDEX(Ventas!$H$2:$H$5000,MATCH($A434,Ventas!$A$2:$A$5000,0)),INDEX(Ventas!$I$2:$I$5000,MATCH($A434,Ventas!$A$2:$A$5000,0)),INDEX(Ventas!$J$2:$J$5000,MATCH($A434,Ventas!$A$2:$A$5000,0)))&gt;0.5*AF434*4,"1 mes = "&amp;TEXT(MAX(INDEX(Ventas!$G$2:$G$5000,MATCH($A434,Ventas!$A$2:$A$5000,0)),INDEX(Ventas!$H$2:$H$5000,MATCH($A434,Ventas!$A$2:$A$5000,0)),INDEX(Ventas!$I$2:$I$5000,MATCH($A434,Ventas!$A$2:$A$5000,0)),INDEX(Ventas!$J$2:$J$5000,MATCH($A434,Ventas!$A$2:$A$5000,0)))/(AF434*4),"0%")&amp;" de 4 meses",""))</f>
        <v>1 mes = 100% de 4 meses</v>
      </c>
      <c r="AD434" s="62" t="str">
        <f t="shared" si="7"/>
        <v/>
      </c>
      <c r="AE434" s="62" t="str">
        <f t="array" ref="AE434">IF(X434="","",IF(AND(E434=0,AVERAGE(INDEX(Ventas!$C$2:$I$5000,MATCH($A434,Ventas!$A$2:$A$5000,0),0))&gt;0,INDEX(Ventas!$J$2:$J$5000,MATCH($A434,Ventas!$A$2:$A$5000,0))&lt;0.5*AVERAGE(INDEX(Ventas!$C$2:$I$5000,MATCH($A434,Ventas!$A$2:$A$5000,0),0))),"SÍ — stock 0 y Sep cayó (prom Feb-Ago "&amp;TEXT(AVERAGE(INDEX(Ventas!$C$2:$I$5000,MATCH($A434,Ventas!$A$2:$A$5000,0),0)),"#,##0")&amp;")",""))</f>
        <v/>
      </c>
      <c r="AF434" s="60">
        <f t="array" ref="AF434">IF(X434="","",IF(AE434&lt;&gt;"",MAX(X434,AVERAGE(INDEX(Ventas!$C$2:$I$5000,MATCH($A434,Ventas!$A$2:$A$5000,0),0))),X434))</f>
        <v>55.85</v>
      </c>
      <c r="AG434" s="60">
        <f t="shared" si="8"/>
        <v>93</v>
      </c>
      <c r="AH434" s="63" t="str">
        <f t="shared" si="9"/>
        <v>COMPRAR</v>
      </c>
    </row>
    <row r="435" ht="13.5" customHeight="1">
      <c r="A435" s="49" t="s">
        <v>1864</v>
      </c>
      <c r="B435" s="50" t="s">
        <v>183</v>
      </c>
      <c r="C435" s="50" t="s">
        <v>3842</v>
      </c>
      <c r="D435" s="50" t="s">
        <v>1329</v>
      </c>
      <c r="E435" s="51">
        <v>381.0</v>
      </c>
      <c r="F435" s="52"/>
      <c r="G435" s="53"/>
      <c r="H435" s="55"/>
      <c r="I435" s="55"/>
      <c r="J435" s="53"/>
      <c r="K435" s="53"/>
      <c r="L435" s="55"/>
      <c r="M435" s="53"/>
      <c r="N435" s="74"/>
      <c r="O435" s="57" t="str">
        <f t="shared" si="1"/>
        <v>SOBRESTOCK — 19.1 meses de cobertura</v>
      </c>
      <c r="P435" s="58">
        <f t="shared" si="2"/>
        <v>381</v>
      </c>
      <c r="Q435" s="1"/>
      <c r="R435" s="1"/>
      <c r="S435" s="1"/>
      <c r="T435" s="1"/>
      <c r="U435" s="1"/>
      <c r="V435" s="1"/>
      <c r="W435" s="1"/>
      <c r="X435" s="60">
        <f>IFERROR(VLOOKUP($A435,Ventas!$A$2:$L$5000,12,FALSE()),"")</f>
        <v>20</v>
      </c>
      <c r="Y435" s="60">
        <f t="shared" si="3"/>
        <v>80</v>
      </c>
      <c r="Z435" s="61">
        <f t="shared" si="4"/>
        <v>19.1</v>
      </c>
      <c r="AA435" s="60">
        <f t="shared" si="5"/>
        <v>-301</v>
      </c>
      <c r="AB435" s="62" t="str">
        <f t="shared" si="6"/>
        <v/>
      </c>
      <c r="AC435" s="62" t="str">
        <f t="array" ref="AC435">IF(AH435&lt;&gt;"COMPRAR","",IF(MAX(INDEX(Ventas!$G$2:$G$5000,MATCH($A435,Ventas!$A$2:$A$5000,0)),INDEX(Ventas!$H$2:$H$5000,MATCH($A435,Ventas!$A$2:$A$5000,0)),INDEX(Ventas!$I$2:$I$5000,MATCH($A435,Ventas!$A$2:$A$5000,0)),INDEX(Ventas!$J$2:$J$5000,MATCH($A435,Ventas!$A$2:$A$5000,0)))&gt;0.5*AF435*4,"1 mes = "&amp;TEXT(MAX(INDEX(Ventas!$G$2:$G$5000,MATCH($A435,Ventas!$A$2:$A$5000,0)),INDEX(Ventas!$H$2:$H$5000,MATCH($A435,Ventas!$A$2:$A$5000,0)),INDEX(Ventas!$I$2:$I$5000,MATCH($A435,Ventas!$A$2:$A$5000,0)),INDEX(Ventas!$J$2:$J$5000,MATCH($A435,Ventas!$A$2:$A$5000,0)))/(AF435*4),"0%")&amp;" de 4 meses",""))</f>
        <v/>
      </c>
      <c r="AD435" s="62" t="str">
        <f t="shared" si="7"/>
        <v/>
      </c>
      <c r="AE435" s="62" t="str">
        <f t="array" ref="AE435">IF(X435="","",IF(AND(E435=0,AVERAGE(INDEX(Ventas!$C$2:$I$5000,MATCH($A435,Ventas!$A$2:$A$5000,0),0))&gt;0,INDEX(Ventas!$J$2:$J$5000,MATCH($A435,Ventas!$A$2:$A$5000,0))&lt;0.5*AVERAGE(INDEX(Ventas!$C$2:$I$5000,MATCH($A435,Ventas!$A$2:$A$5000,0),0))),"SÍ — stock 0 y Sep cayó (prom Feb-Ago "&amp;TEXT(AVERAGE(INDEX(Ventas!$C$2:$I$5000,MATCH($A435,Ventas!$A$2:$A$5000,0),0)),"#,##0")&amp;")",""))</f>
        <v/>
      </c>
      <c r="AF435" s="60">
        <f t="array" ref="AF435">IF(X435="","",IF(AE435&lt;&gt;"",MAX(X435,AVERAGE(INDEX(Ventas!$C$2:$I$5000,MATCH($A435,Ventas!$A$2:$A$5000,0),0))),X435))</f>
        <v>20</v>
      </c>
      <c r="AG435" s="60">
        <f t="shared" si="8"/>
        <v>-301</v>
      </c>
      <c r="AH435" s="63" t="str">
        <f t="shared" si="9"/>
        <v>SOBRESTOCK</v>
      </c>
    </row>
    <row r="436" ht="13.5" customHeight="1">
      <c r="A436" s="64" t="s">
        <v>2205</v>
      </c>
      <c r="B436" s="65" t="s">
        <v>183</v>
      </c>
      <c r="C436" s="65" t="s">
        <v>3843</v>
      </c>
      <c r="D436" s="65" t="s">
        <v>1329</v>
      </c>
      <c r="E436" s="51">
        <v>500.0</v>
      </c>
      <c r="F436" s="66"/>
      <c r="G436" s="53"/>
      <c r="H436" s="55"/>
      <c r="I436" s="55"/>
      <c r="J436" s="53"/>
      <c r="K436" s="53"/>
      <c r="L436" s="55"/>
      <c r="M436" s="53"/>
      <c r="N436" s="73"/>
      <c r="O436" s="57" t="str">
        <f t="shared" si="1"/>
        <v>SOBRESTOCK — 20.0 meses de cobertura</v>
      </c>
      <c r="P436" s="58">
        <f t="shared" si="2"/>
        <v>500</v>
      </c>
      <c r="Q436" s="1"/>
      <c r="R436" s="1"/>
      <c r="S436" s="1"/>
      <c r="T436" s="1"/>
      <c r="U436" s="1"/>
      <c r="V436" s="1"/>
      <c r="W436" s="1"/>
      <c r="X436" s="60">
        <f>IFERROR(VLOOKUP($A436,Ventas!$A$2:$L$5000,12,FALSE()),"")</f>
        <v>25</v>
      </c>
      <c r="Y436" s="60">
        <f t="shared" si="3"/>
        <v>100</v>
      </c>
      <c r="Z436" s="61">
        <f t="shared" si="4"/>
        <v>20</v>
      </c>
      <c r="AA436" s="60">
        <f t="shared" si="5"/>
        <v>-400</v>
      </c>
      <c r="AB436" s="62" t="str">
        <f t="shared" si="6"/>
        <v/>
      </c>
      <c r="AC436" s="62" t="str">
        <f t="array" ref="AC436">IF(AH436&lt;&gt;"COMPRAR","",IF(MAX(INDEX(Ventas!$G$2:$G$5000,MATCH($A436,Ventas!$A$2:$A$5000,0)),INDEX(Ventas!$H$2:$H$5000,MATCH($A436,Ventas!$A$2:$A$5000,0)),INDEX(Ventas!$I$2:$I$5000,MATCH($A436,Ventas!$A$2:$A$5000,0)),INDEX(Ventas!$J$2:$J$5000,MATCH($A436,Ventas!$A$2:$A$5000,0)))&gt;0.5*AF436*4,"1 mes = "&amp;TEXT(MAX(INDEX(Ventas!$G$2:$G$5000,MATCH($A436,Ventas!$A$2:$A$5000,0)),INDEX(Ventas!$H$2:$H$5000,MATCH($A436,Ventas!$A$2:$A$5000,0)),INDEX(Ventas!$I$2:$I$5000,MATCH($A436,Ventas!$A$2:$A$5000,0)),INDEX(Ventas!$J$2:$J$5000,MATCH($A436,Ventas!$A$2:$A$5000,0)))/(AF436*4),"0%")&amp;" de 4 meses",""))</f>
        <v/>
      </c>
      <c r="AD436" s="62" t="str">
        <f t="shared" si="7"/>
        <v/>
      </c>
      <c r="AE436" s="62" t="str">
        <f t="array" ref="AE436">IF(X436="","",IF(AND(E436=0,AVERAGE(INDEX(Ventas!$C$2:$I$5000,MATCH($A436,Ventas!$A$2:$A$5000,0),0))&gt;0,INDEX(Ventas!$J$2:$J$5000,MATCH($A436,Ventas!$A$2:$A$5000,0))&lt;0.5*AVERAGE(INDEX(Ventas!$C$2:$I$5000,MATCH($A436,Ventas!$A$2:$A$5000,0),0))),"SÍ — stock 0 y Sep cayó (prom Feb-Ago "&amp;TEXT(AVERAGE(INDEX(Ventas!$C$2:$I$5000,MATCH($A436,Ventas!$A$2:$A$5000,0),0)),"#,##0")&amp;")",""))</f>
        <v/>
      </c>
      <c r="AF436" s="60">
        <f t="array" ref="AF436">IF(X436="","",IF(AE436&lt;&gt;"",MAX(X436,AVERAGE(INDEX(Ventas!$C$2:$I$5000,MATCH($A436,Ventas!$A$2:$A$5000,0),0))),X436))</f>
        <v>25</v>
      </c>
      <c r="AG436" s="60">
        <f t="shared" si="8"/>
        <v>-400</v>
      </c>
      <c r="AH436" s="63" t="str">
        <f t="shared" si="9"/>
        <v>SOBRESTOCK</v>
      </c>
    </row>
    <row r="437" ht="13.5" customHeight="1">
      <c r="A437" s="49" t="s">
        <v>1348</v>
      </c>
      <c r="B437" s="50" t="s">
        <v>183</v>
      </c>
      <c r="C437" s="50" t="s">
        <v>3844</v>
      </c>
      <c r="D437" s="50" t="s">
        <v>3845</v>
      </c>
      <c r="E437" s="51">
        <v>750.0</v>
      </c>
      <c r="F437" s="52"/>
      <c r="G437" s="53"/>
      <c r="H437" s="55"/>
      <c r="I437" s="55"/>
      <c r="J437" s="53"/>
      <c r="K437" s="53"/>
      <c r="L437" s="55"/>
      <c r="M437" s="53"/>
      <c r="N437" s="74"/>
      <c r="O437" s="57" t="str">
        <f t="shared" si="1"/>
        <v>SOBRESTOCK — 40.0 meses de cobertura</v>
      </c>
      <c r="P437" s="58">
        <f t="shared" si="2"/>
        <v>750</v>
      </c>
      <c r="Q437" s="1"/>
      <c r="R437" s="1"/>
      <c r="S437" s="1"/>
      <c r="T437" s="1"/>
      <c r="U437" s="1"/>
      <c r="V437" s="1"/>
      <c r="W437" s="1"/>
      <c r="X437" s="60">
        <f>IFERROR(VLOOKUP($A437,Ventas!$A$2:$L$5000,12,FALSE()),"")</f>
        <v>18.75</v>
      </c>
      <c r="Y437" s="60">
        <f t="shared" si="3"/>
        <v>75</v>
      </c>
      <c r="Z437" s="61">
        <f t="shared" si="4"/>
        <v>40</v>
      </c>
      <c r="AA437" s="60">
        <f t="shared" si="5"/>
        <v>-675</v>
      </c>
      <c r="AB437" s="62" t="str">
        <f t="shared" si="6"/>
        <v/>
      </c>
      <c r="AC437" s="62" t="str">
        <f t="array" ref="AC437">IF(AH437&lt;&gt;"COMPRAR","",IF(MAX(INDEX(Ventas!$G$2:$G$5000,MATCH($A437,Ventas!$A$2:$A$5000,0)),INDEX(Ventas!$H$2:$H$5000,MATCH($A437,Ventas!$A$2:$A$5000,0)),INDEX(Ventas!$I$2:$I$5000,MATCH($A437,Ventas!$A$2:$A$5000,0)),INDEX(Ventas!$J$2:$J$5000,MATCH($A437,Ventas!$A$2:$A$5000,0)))&gt;0.5*AF437*4,"1 mes = "&amp;TEXT(MAX(INDEX(Ventas!$G$2:$G$5000,MATCH($A437,Ventas!$A$2:$A$5000,0)),INDEX(Ventas!$H$2:$H$5000,MATCH($A437,Ventas!$A$2:$A$5000,0)),INDEX(Ventas!$I$2:$I$5000,MATCH($A437,Ventas!$A$2:$A$5000,0)),INDEX(Ventas!$J$2:$J$5000,MATCH($A437,Ventas!$A$2:$A$5000,0)))/(AF437*4),"0%")&amp;" de 4 meses",""))</f>
        <v/>
      </c>
      <c r="AD437" s="62" t="str">
        <f t="shared" si="7"/>
        <v/>
      </c>
      <c r="AE437" s="62" t="str">
        <f t="array" ref="AE437">IF(X437="","",IF(AND(E437=0,AVERAGE(INDEX(Ventas!$C$2:$I$5000,MATCH($A437,Ventas!$A$2:$A$5000,0),0))&gt;0,INDEX(Ventas!$J$2:$J$5000,MATCH($A437,Ventas!$A$2:$A$5000,0))&lt;0.5*AVERAGE(INDEX(Ventas!$C$2:$I$5000,MATCH($A437,Ventas!$A$2:$A$5000,0),0))),"SÍ — stock 0 y Sep cayó (prom Feb-Ago "&amp;TEXT(AVERAGE(INDEX(Ventas!$C$2:$I$5000,MATCH($A437,Ventas!$A$2:$A$5000,0),0)),"#,##0")&amp;")",""))</f>
        <v/>
      </c>
      <c r="AF437" s="60">
        <f t="array" ref="AF437">IF(X437="","",IF(AE437&lt;&gt;"",MAX(X437,AVERAGE(INDEX(Ventas!$C$2:$I$5000,MATCH($A437,Ventas!$A$2:$A$5000,0),0))),X437))</f>
        <v>18.75</v>
      </c>
      <c r="AG437" s="60">
        <f t="shared" si="8"/>
        <v>-675</v>
      </c>
      <c r="AH437" s="63" t="str">
        <f t="shared" si="9"/>
        <v>SOBRESTOCK</v>
      </c>
    </row>
    <row r="438" ht="13.5" customHeight="1">
      <c r="A438" s="64"/>
      <c r="B438" s="65"/>
      <c r="C438" s="65" t="s">
        <v>3846</v>
      </c>
      <c r="D438" s="65"/>
      <c r="E438" s="51"/>
      <c r="F438" s="66"/>
      <c r="G438" s="53"/>
      <c r="H438" s="55"/>
      <c r="I438" s="55"/>
      <c r="J438" s="53"/>
      <c r="K438" s="53"/>
      <c r="L438" s="55"/>
      <c r="M438" s="53"/>
      <c r="N438" s="73"/>
      <c r="O438" s="57" t="str">
        <f t="shared" si="1"/>
        <v>SIN SKU — cargar código para calcular</v>
      </c>
      <c r="P438" s="58">
        <f t="shared" si="2"/>
        <v>0</v>
      </c>
      <c r="Q438" s="1"/>
      <c r="R438" s="1"/>
      <c r="S438" s="1"/>
      <c r="T438" s="1"/>
      <c r="U438" s="1"/>
      <c r="V438" s="1"/>
      <c r="W438" s="1"/>
      <c r="X438" s="60" t="str">
        <f>IFERROR(VLOOKUP($A438,Ventas!$A$2:$L$5000,12,FALSE()),"")</f>
        <v/>
      </c>
      <c r="Y438" s="60" t="str">
        <f t="shared" si="3"/>
        <v/>
      </c>
      <c r="Z438" s="61" t="str">
        <f t="shared" si="4"/>
        <v/>
      </c>
      <c r="AA438" s="60" t="str">
        <f t="shared" si="5"/>
        <v/>
      </c>
      <c r="AB438" s="62" t="str">
        <f t="shared" si="6"/>
        <v/>
      </c>
      <c r="AC438" s="62" t="str">
        <f t="array" ref="AC438">IF(AH438&lt;&gt;"COMPRAR","",IF(MAX(INDEX(Ventas!$G$2:$G$5000,MATCH($A438,Ventas!$A$2:$A$5000,0)),INDEX(Ventas!$H$2:$H$5000,MATCH($A438,Ventas!$A$2:$A$5000,0)),INDEX(Ventas!$I$2:$I$5000,MATCH($A438,Ventas!$A$2:$A$5000,0)),INDEX(Ventas!$J$2:$J$5000,MATCH($A438,Ventas!$A$2:$A$5000,0)))&gt;0.5*AF438*4,"1 mes = "&amp;TEXT(MAX(INDEX(Ventas!$G$2:$G$5000,MATCH($A438,Ventas!$A$2:$A$5000,0)),INDEX(Ventas!$H$2:$H$5000,MATCH($A438,Ventas!$A$2:$A$5000,0)),INDEX(Ventas!$I$2:$I$5000,MATCH($A438,Ventas!$A$2:$A$5000,0)),INDEX(Ventas!$J$2:$J$5000,MATCH($A438,Ventas!$A$2:$A$5000,0)))/(AF438*4),"0%")&amp;" de 4 meses",""))</f>
        <v/>
      </c>
      <c r="AD438" s="62" t="str">
        <f t="shared" si="7"/>
        <v/>
      </c>
      <c r="AE438" s="62" t="str">
        <f t="array" ref="AE438">IF(X438="","",IF(AND(E438=0,AVERAGE(INDEX(Ventas!$C$2:$I$5000,MATCH($A438,Ventas!$A$2:$A$5000,0),0))&gt;0,INDEX(Ventas!$J$2:$J$5000,MATCH($A438,Ventas!$A$2:$A$5000,0))&lt;0.5*AVERAGE(INDEX(Ventas!$C$2:$I$5000,MATCH($A438,Ventas!$A$2:$A$5000,0),0))),"SÍ — stock 0 y Sep cayó (prom Feb-Ago "&amp;TEXT(AVERAGE(INDEX(Ventas!$C$2:$I$5000,MATCH($A438,Ventas!$A$2:$A$5000,0),0)),"#,##0")&amp;")",""))</f>
        <v/>
      </c>
      <c r="AF438" s="60" t="str">
        <f t="array" ref="AF438">IF(X438="","",IF(AE438&lt;&gt;"",MAX(X438,AVERAGE(INDEX(Ventas!$C$2:$I$5000,MATCH($A438,Ventas!$A$2:$A$5000,0),0))),X438))</f>
        <v/>
      </c>
      <c r="AG438" s="60" t="str">
        <f t="shared" si="8"/>
        <v/>
      </c>
      <c r="AH438" s="63" t="str">
        <f t="shared" si="9"/>
        <v/>
      </c>
    </row>
    <row r="439" ht="13.5" customHeight="1">
      <c r="A439" s="64"/>
      <c r="B439" s="65"/>
      <c r="C439" s="65" t="s">
        <v>3847</v>
      </c>
      <c r="D439" s="65"/>
      <c r="E439" s="51"/>
      <c r="F439" s="66"/>
      <c r="G439" s="53"/>
      <c r="H439" s="69">
        <v>110.0</v>
      </c>
      <c r="I439" s="91"/>
      <c r="J439" s="53"/>
      <c r="K439" s="53"/>
      <c r="L439" s="55"/>
      <c r="M439" s="53"/>
      <c r="N439" s="73"/>
      <c r="O439" s="57" t="str">
        <f t="shared" si="1"/>
        <v>SIN SKU — cargar código para calcular</v>
      </c>
      <c r="P439" s="58">
        <f t="shared" si="2"/>
        <v>110</v>
      </c>
      <c r="Q439" s="1"/>
      <c r="R439" s="1"/>
      <c r="S439" s="1"/>
      <c r="T439" s="1"/>
      <c r="U439" s="1"/>
      <c r="V439" s="1"/>
      <c r="W439" s="1"/>
      <c r="X439" s="60" t="str">
        <f>IFERROR(VLOOKUP($A439,Ventas!$A$2:$L$5000,12,FALSE()),"")</f>
        <v/>
      </c>
      <c r="Y439" s="60" t="str">
        <f t="shared" si="3"/>
        <v/>
      </c>
      <c r="Z439" s="61" t="str">
        <f t="shared" si="4"/>
        <v/>
      </c>
      <c r="AA439" s="60" t="str">
        <f t="shared" si="5"/>
        <v/>
      </c>
      <c r="AB439" s="62" t="str">
        <f t="shared" si="6"/>
        <v/>
      </c>
      <c r="AC439" s="62" t="str">
        <f t="array" ref="AC439">IF(AH439&lt;&gt;"COMPRAR","",IF(MAX(INDEX(Ventas!$G$2:$G$5000,MATCH($A439,Ventas!$A$2:$A$5000,0)),INDEX(Ventas!$H$2:$H$5000,MATCH($A439,Ventas!$A$2:$A$5000,0)),INDEX(Ventas!$I$2:$I$5000,MATCH($A439,Ventas!$A$2:$A$5000,0)),INDEX(Ventas!$J$2:$J$5000,MATCH($A439,Ventas!$A$2:$A$5000,0)))&gt;0.5*AF439*4,"1 mes = "&amp;TEXT(MAX(INDEX(Ventas!$G$2:$G$5000,MATCH($A439,Ventas!$A$2:$A$5000,0)),INDEX(Ventas!$H$2:$H$5000,MATCH($A439,Ventas!$A$2:$A$5000,0)),INDEX(Ventas!$I$2:$I$5000,MATCH($A439,Ventas!$A$2:$A$5000,0)),INDEX(Ventas!$J$2:$J$5000,MATCH($A439,Ventas!$A$2:$A$5000,0)))/(AF439*4),"0%")&amp;" de 4 meses",""))</f>
        <v/>
      </c>
      <c r="AD439" s="62" t="str">
        <f t="shared" si="7"/>
        <v/>
      </c>
      <c r="AE439" s="62" t="str">
        <f t="array" ref="AE439">IF(X439="","",IF(AND(E439=0,AVERAGE(INDEX(Ventas!$C$2:$I$5000,MATCH($A439,Ventas!$A$2:$A$5000,0),0))&gt;0,INDEX(Ventas!$J$2:$J$5000,MATCH($A439,Ventas!$A$2:$A$5000,0))&lt;0.5*AVERAGE(INDEX(Ventas!$C$2:$I$5000,MATCH($A439,Ventas!$A$2:$A$5000,0),0))),"SÍ — stock 0 y Sep cayó (prom Feb-Ago "&amp;TEXT(AVERAGE(INDEX(Ventas!$C$2:$I$5000,MATCH($A439,Ventas!$A$2:$A$5000,0),0)),"#,##0")&amp;")",""))</f>
        <v/>
      </c>
      <c r="AF439" s="60" t="str">
        <f t="array" ref="AF439">IF(X439="","",IF(AE439&lt;&gt;"",MAX(X439,AVERAGE(INDEX(Ventas!$C$2:$I$5000,MATCH($A439,Ventas!$A$2:$A$5000,0),0))),X439))</f>
        <v/>
      </c>
      <c r="AG439" s="60" t="str">
        <f t="shared" si="8"/>
        <v/>
      </c>
      <c r="AH439" s="63" t="str">
        <f t="shared" si="9"/>
        <v/>
      </c>
    </row>
    <row r="440" ht="13.5" customHeight="1">
      <c r="A440" s="64"/>
      <c r="B440" s="65"/>
      <c r="C440" s="65" t="s">
        <v>3848</v>
      </c>
      <c r="D440" s="65"/>
      <c r="E440" s="51"/>
      <c r="F440" s="66"/>
      <c r="G440" s="53"/>
      <c r="H440" s="69">
        <v>110.0</v>
      </c>
      <c r="I440" s="91"/>
      <c r="J440" s="53"/>
      <c r="K440" s="53"/>
      <c r="L440" s="55"/>
      <c r="M440" s="53"/>
      <c r="N440" s="73"/>
      <c r="O440" s="57" t="str">
        <f t="shared" si="1"/>
        <v>SIN SKU — cargar código para calcular</v>
      </c>
      <c r="P440" s="58">
        <f t="shared" si="2"/>
        <v>110</v>
      </c>
      <c r="Q440" s="1"/>
      <c r="R440" s="1"/>
      <c r="S440" s="1"/>
      <c r="T440" s="1"/>
      <c r="U440" s="1"/>
      <c r="V440" s="1"/>
      <c r="W440" s="1"/>
      <c r="X440" s="60" t="str">
        <f>IFERROR(VLOOKUP($A440,Ventas!$A$2:$L$5000,12,FALSE()),"")</f>
        <v/>
      </c>
      <c r="Y440" s="60" t="str">
        <f t="shared" si="3"/>
        <v/>
      </c>
      <c r="Z440" s="61" t="str">
        <f t="shared" si="4"/>
        <v/>
      </c>
      <c r="AA440" s="60" t="str">
        <f t="shared" si="5"/>
        <v/>
      </c>
      <c r="AB440" s="62" t="str">
        <f t="shared" si="6"/>
        <v/>
      </c>
      <c r="AC440" s="62" t="str">
        <f t="array" ref="AC440">IF(AH440&lt;&gt;"COMPRAR","",IF(MAX(INDEX(Ventas!$G$2:$G$5000,MATCH($A440,Ventas!$A$2:$A$5000,0)),INDEX(Ventas!$H$2:$H$5000,MATCH($A440,Ventas!$A$2:$A$5000,0)),INDEX(Ventas!$I$2:$I$5000,MATCH($A440,Ventas!$A$2:$A$5000,0)),INDEX(Ventas!$J$2:$J$5000,MATCH($A440,Ventas!$A$2:$A$5000,0)))&gt;0.5*AF440*4,"1 mes = "&amp;TEXT(MAX(INDEX(Ventas!$G$2:$G$5000,MATCH($A440,Ventas!$A$2:$A$5000,0)),INDEX(Ventas!$H$2:$H$5000,MATCH($A440,Ventas!$A$2:$A$5000,0)),INDEX(Ventas!$I$2:$I$5000,MATCH($A440,Ventas!$A$2:$A$5000,0)),INDEX(Ventas!$J$2:$J$5000,MATCH($A440,Ventas!$A$2:$A$5000,0)))/(AF440*4),"0%")&amp;" de 4 meses",""))</f>
        <v/>
      </c>
      <c r="AD440" s="62" t="str">
        <f t="shared" si="7"/>
        <v/>
      </c>
      <c r="AE440" s="62" t="str">
        <f t="array" ref="AE440">IF(X440="","",IF(AND(E440=0,AVERAGE(INDEX(Ventas!$C$2:$I$5000,MATCH($A440,Ventas!$A$2:$A$5000,0),0))&gt;0,INDEX(Ventas!$J$2:$J$5000,MATCH($A440,Ventas!$A$2:$A$5000,0))&lt;0.5*AVERAGE(INDEX(Ventas!$C$2:$I$5000,MATCH($A440,Ventas!$A$2:$A$5000,0),0))),"SÍ — stock 0 y Sep cayó (prom Feb-Ago "&amp;TEXT(AVERAGE(INDEX(Ventas!$C$2:$I$5000,MATCH($A440,Ventas!$A$2:$A$5000,0),0)),"#,##0")&amp;")",""))</f>
        <v/>
      </c>
      <c r="AF440" s="60" t="str">
        <f t="array" ref="AF440">IF(X440="","",IF(AE440&lt;&gt;"",MAX(X440,AVERAGE(INDEX(Ventas!$C$2:$I$5000,MATCH($A440,Ventas!$A$2:$A$5000,0),0))),X440))</f>
        <v/>
      </c>
      <c r="AG440" s="60" t="str">
        <f t="shared" si="8"/>
        <v/>
      </c>
      <c r="AH440" s="63" t="str">
        <f t="shared" si="9"/>
        <v/>
      </c>
    </row>
    <row r="441" ht="13.5" customHeight="1">
      <c r="A441" s="64"/>
      <c r="B441" s="65"/>
      <c r="C441" s="65" t="s">
        <v>3849</v>
      </c>
      <c r="D441" s="65"/>
      <c r="E441" s="51"/>
      <c r="F441" s="66"/>
      <c r="G441" s="53"/>
      <c r="H441" s="69">
        <v>110.0</v>
      </c>
      <c r="I441" s="91"/>
      <c r="J441" s="53"/>
      <c r="K441" s="53"/>
      <c r="L441" s="55"/>
      <c r="M441" s="53"/>
      <c r="N441" s="73"/>
      <c r="O441" s="57" t="str">
        <f t="shared" si="1"/>
        <v>SIN SKU — cargar código para calcular</v>
      </c>
      <c r="P441" s="58">
        <f t="shared" si="2"/>
        <v>110</v>
      </c>
      <c r="Q441" s="1"/>
      <c r="R441" s="1"/>
      <c r="S441" s="1"/>
      <c r="T441" s="1"/>
      <c r="U441" s="1"/>
      <c r="V441" s="1"/>
      <c r="W441" s="1"/>
      <c r="X441" s="60" t="str">
        <f>IFERROR(VLOOKUP($A441,Ventas!$A$2:$L$5000,12,FALSE()),"")</f>
        <v/>
      </c>
      <c r="Y441" s="60" t="str">
        <f t="shared" si="3"/>
        <v/>
      </c>
      <c r="Z441" s="61" t="str">
        <f t="shared" si="4"/>
        <v/>
      </c>
      <c r="AA441" s="60" t="str">
        <f t="shared" si="5"/>
        <v/>
      </c>
      <c r="AB441" s="62" t="str">
        <f t="shared" si="6"/>
        <v/>
      </c>
      <c r="AC441" s="62" t="str">
        <f t="array" ref="AC441">IF(AH441&lt;&gt;"COMPRAR","",IF(MAX(INDEX(Ventas!$G$2:$G$5000,MATCH($A441,Ventas!$A$2:$A$5000,0)),INDEX(Ventas!$H$2:$H$5000,MATCH($A441,Ventas!$A$2:$A$5000,0)),INDEX(Ventas!$I$2:$I$5000,MATCH($A441,Ventas!$A$2:$A$5000,0)),INDEX(Ventas!$J$2:$J$5000,MATCH($A441,Ventas!$A$2:$A$5000,0)))&gt;0.5*AF441*4,"1 mes = "&amp;TEXT(MAX(INDEX(Ventas!$G$2:$G$5000,MATCH($A441,Ventas!$A$2:$A$5000,0)),INDEX(Ventas!$H$2:$H$5000,MATCH($A441,Ventas!$A$2:$A$5000,0)),INDEX(Ventas!$I$2:$I$5000,MATCH($A441,Ventas!$A$2:$A$5000,0)),INDEX(Ventas!$J$2:$J$5000,MATCH($A441,Ventas!$A$2:$A$5000,0)))/(AF441*4),"0%")&amp;" de 4 meses",""))</f>
        <v/>
      </c>
      <c r="AD441" s="62" t="str">
        <f t="shared" si="7"/>
        <v/>
      </c>
      <c r="AE441" s="62" t="str">
        <f t="array" ref="AE441">IF(X441="","",IF(AND(E441=0,AVERAGE(INDEX(Ventas!$C$2:$I$5000,MATCH($A441,Ventas!$A$2:$A$5000,0),0))&gt;0,INDEX(Ventas!$J$2:$J$5000,MATCH($A441,Ventas!$A$2:$A$5000,0))&lt;0.5*AVERAGE(INDEX(Ventas!$C$2:$I$5000,MATCH($A441,Ventas!$A$2:$A$5000,0),0))),"SÍ — stock 0 y Sep cayó (prom Feb-Ago "&amp;TEXT(AVERAGE(INDEX(Ventas!$C$2:$I$5000,MATCH($A441,Ventas!$A$2:$A$5000,0),0)),"#,##0")&amp;")",""))</f>
        <v/>
      </c>
      <c r="AF441" s="60" t="str">
        <f t="array" ref="AF441">IF(X441="","",IF(AE441&lt;&gt;"",MAX(X441,AVERAGE(INDEX(Ventas!$C$2:$I$5000,MATCH($A441,Ventas!$A$2:$A$5000,0),0))),X441))</f>
        <v/>
      </c>
      <c r="AG441" s="60" t="str">
        <f t="shared" si="8"/>
        <v/>
      </c>
      <c r="AH441" s="63" t="str">
        <f t="shared" si="9"/>
        <v/>
      </c>
    </row>
    <row r="442" ht="13.5" customHeight="1">
      <c r="A442" s="64"/>
      <c r="B442" s="65"/>
      <c r="C442" s="65" t="s">
        <v>3850</v>
      </c>
      <c r="D442" s="65"/>
      <c r="E442" s="51"/>
      <c r="F442" s="66"/>
      <c r="G442" s="53"/>
      <c r="H442" s="69">
        <v>110.0</v>
      </c>
      <c r="I442" s="91"/>
      <c r="J442" s="53"/>
      <c r="K442" s="53"/>
      <c r="L442" s="55"/>
      <c r="M442" s="53"/>
      <c r="N442" s="73"/>
      <c r="O442" s="57" t="str">
        <f t="shared" si="1"/>
        <v>SIN SKU — cargar código para calcular</v>
      </c>
      <c r="P442" s="58">
        <f t="shared" si="2"/>
        <v>110</v>
      </c>
      <c r="Q442" s="1"/>
      <c r="R442" s="1"/>
      <c r="S442" s="1"/>
      <c r="T442" s="1"/>
      <c r="U442" s="1"/>
      <c r="V442" s="1"/>
      <c r="W442" s="1"/>
      <c r="X442" s="60" t="str">
        <f>IFERROR(VLOOKUP($A442,Ventas!$A$2:$L$5000,12,FALSE()),"")</f>
        <v/>
      </c>
      <c r="Y442" s="60" t="str">
        <f t="shared" si="3"/>
        <v/>
      </c>
      <c r="Z442" s="61" t="str">
        <f t="shared" si="4"/>
        <v/>
      </c>
      <c r="AA442" s="60" t="str">
        <f t="shared" si="5"/>
        <v/>
      </c>
      <c r="AB442" s="62" t="str">
        <f t="shared" si="6"/>
        <v/>
      </c>
      <c r="AC442" s="62" t="str">
        <f t="array" ref="AC442">IF(AH442&lt;&gt;"COMPRAR","",IF(MAX(INDEX(Ventas!$G$2:$G$5000,MATCH($A442,Ventas!$A$2:$A$5000,0)),INDEX(Ventas!$H$2:$H$5000,MATCH($A442,Ventas!$A$2:$A$5000,0)),INDEX(Ventas!$I$2:$I$5000,MATCH($A442,Ventas!$A$2:$A$5000,0)),INDEX(Ventas!$J$2:$J$5000,MATCH($A442,Ventas!$A$2:$A$5000,0)))&gt;0.5*AF442*4,"1 mes = "&amp;TEXT(MAX(INDEX(Ventas!$G$2:$G$5000,MATCH($A442,Ventas!$A$2:$A$5000,0)),INDEX(Ventas!$H$2:$H$5000,MATCH($A442,Ventas!$A$2:$A$5000,0)),INDEX(Ventas!$I$2:$I$5000,MATCH($A442,Ventas!$A$2:$A$5000,0)),INDEX(Ventas!$J$2:$J$5000,MATCH($A442,Ventas!$A$2:$A$5000,0)))/(AF442*4),"0%")&amp;" de 4 meses",""))</f>
        <v/>
      </c>
      <c r="AD442" s="62" t="str">
        <f t="shared" si="7"/>
        <v/>
      </c>
      <c r="AE442" s="62" t="str">
        <f t="array" ref="AE442">IF(X442="","",IF(AND(E442=0,AVERAGE(INDEX(Ventas!$C$2:$I$5000,MATCH($A442,Ventas!$A$2:$A$5000,0),0))&gt;0,INDEX(Ventas!$J$2:$J$5000,MATCH($A442,Ventas!$A$2:$A$5000,0))&lt;0.5*AVERAGE(INDEX(Ventas!$C$2:$I$5000,MATCH($A442,Ventas!$A$2:$A$5000,0),0))),"SÍ — stock 0 y Sep cayó (prom Feb-Ago "&amp;TEXT(AVERAGE(INDEX(Ventas!$C$2:$I$5000,MATCH($A442,Ventas!$A$2:$A$5000,0),0)),"#,##0")&amp;")",""))</f>
        <v/>
      </c>
      <c r="AF442" s="60" t="str">
        <f t="array" ref="AF442">IF(X442="","",IF(AE442&lt;&gt;"",MAX(X442,AVERAGE(INDEX(Ventas!$C$2:$I$5000,MATCH($A442,Ventas!$A$2:$A$5000,0),0))),X442))</f>
        <v/>
      </c>
      <c r="AG442" s="60" t="str">
        <f t="shared" si="8"/>
        <v/>
      </c>
      <c r="AH442" s="63" t="str">
        <f t="shared" si="9"/>
        <v/>
      </c>
    </row>
    <row r="443" ht="13.5" customHeight="1">
      <c r="A443" s="64"/>
      <c r="B443" s="65"/>
      <c r="C443" s="65" t="s">
        <v>3851</v>
      </c>
      <c r="D443" s="65"/>
      <c r="E443" s="51"/>
      <c r="F443" s="66"/>
      <c r="G443" s="53"/>
      <c r="H443" s="69">
        <v>110.0</v>
      </c>
      <c r="I443" s="91"/>
      <c r="J443" s="53"/>
      <c r="K443" s="53"/>
      <c r="L443" s="55"/>
      <c r="M443" s="53"/>
      <c r="N443" s="73"/>
      <c r="O443" s="57" t="str">
        <f t="shared" si="1"/>
        <v>SIN SKU — cargar código para calcular</v>
      </c>
      <c r="P443" s="58">
        <f t="shared" si="2"/>
        <v>110</v>
      </c>
      <c r="Q443" s="1"/>
      <c r="R443" s="1"/>
      <c r="S443" s="1"/>
      <c r="T443" s="1"/>
      <c r="U443" s="1"/>
      <c r="V443" s="1"/>
      <c r="W443" s="1"/>
      <c r="X443" s="60" t="str">
        <f>IFERROR(VLOOKUP($A443,Ventas!$A$2:$L$5000,12,FALSE()),"")</f>
        <v/>
      </c>
      <c r="Y443" s="60" t="str">
        <f t="shared" si="3"/>
        <v/>
      </c>
      <c r="Z443" s="61" t="str">
        <f t="shared" si="4"/>
        <v/>
      </c>
      <c r="AA443" s="60" t="str">
        <f t="shared" si="5"/>
        <v/>
      </c>
      <c r="AB443" s="62" t="str">
        <f t="shared" si="6"/>
        <v/>
      </c>
      <c r="AC443" s="62" t="str">
        <f t="array" ref="AC443">IF(AH443&lt;&gt;"COMPRAR","",IF(MAX(INDEX(Ventas!$G$2:$G$5000,MATCH($A443,Ventas!$A$2:$A$5000,0)),INDEX(Ventas!$H$2:$H$5000,MATCH($A443,Ventas!$A$2:$A$5000,0)),INDEX(Ventas!$I$2:$I$5000,MATCH($A443,Ventas!$A$2:$A$5000,0)),INDEX(Ventas!$J$2:$J$5000,MATCH($A443,Ventas!$A$2:$A$5000,0)))&gt;0.5*AF443*4,"1 mes = "&amp;TEXT(MAX(INDEX(Ventas!$G$2:$G$5000,MATCH($A443,Ventas!$A$2:$A$5000,0)),INDEX(Ventas!$H$2:$H$5000,MATCH($A443,Ventas!$A$2:$A$5000,0)),INDEX(Ventas!$I$2:$I$5000,MATCH($A443,Ventas!$A$2:$A$5000,0)),INDEX(Ventas!$J$2:$J$5000,MATCH($A443,Ventas!$A$2:$A$5000,0)))/(AF443*4),"0%")&amp;" de 4 meses",""))</f>
        <v/>
      </c>
      <c r="AD443" s="62" t="str">
        <f t="shared" si="7"/>
        <v/>
      </c>
      <c r="AE443" s="62" t="str">
        <f t="array" ref="AE443">IF(X443="","",IF(AND(E443=0,AVERAGE(INDEX(Ventas!$C$2:$I$5000,MATCH($A443,Ventas!$A$2:$A$5000,0),0))&gt;0,INDEX(Ventas!$J$2:$J$5000,MATCH($A443,Ventas!$A$2:$A$5000,0))&lt;0.5*AVERAGE(INDEX(Ventas!$C$2:$I$5000,MATCH($A443,Ventas!$A$2:$A$5000,0),0))),"SÍ — stock 0 y Sep cayó (prom Feb-Ago "&amp;TEXT(AVERAGE(INDEX(Ventas!$C$2:$I$5000,MATCH($A443,Ventas!$A$2:$A$5000,0),0)),"#,##0")&amp;")",""))</f>
        <v/>
      </c>
      <c r="AF443" s="60" t="str">
        <f t="array" ref="AF443">IF(X443="","",IF(AE443&lt;&gt;"",MAX(X443,AVERAGE(INDEX(Ventas!$C$2:$I$5000,MATCH($A443,Ventas!$A$2:$A$5000,0),0))),X443))</f>
        <v/>
      </c>
      <c r="AG443" s="60" t="str">
        <f t="shared" si="8"/>
        <v/>
      </c>
      <c r="AH443" s="63" t="str">
        <f t="shared" si="9"/>
        <v/>
      </c>
    </row>
    <row r="444" ht="13.5" customHeight="1">
      <c r="A444" s="64" t="s">
        <v>1320</v>
      </c>
      <c r="B444" s="65" t="s">
        <v>3852</v>
      </c>
      <c r="C444" s="65" t="s">
        <v>3853</v>
      </c>
      <c r="D444" s="65" t="s">
        <v>3854</v>
      </c>
      <c r="E444" s="51">
        <v>50.0</v>
      </c>
      <c r="F444" s="66"/>
      <c r="G444" s="53"/>
      <c r="H444" s="55"/>
      <c r="I444" s="55"/>
      <c r="J444" s="53"/>
      <c r="K444" s="53"/>
      <c r="L444" s="55"/>
      <c r="M444" s="53"/>
      <c r="N444" s="73"/>
      <c r="O444" s="57" t="str">
        <f t="shared" si="1"/>
        <v>COMPRAR — faltan 1,300 m para 4 meses</v>
      </c>
      <c r="P444" s="58">
        <f t="shared" si="2"/>
        <v>50</v>
      </c>
      <c r="Q444" s="1"/>
      <c r="R444" s="1"/>
      <c r="S444" s="1"/>
      <c r="T444" s="1"/>
      <c r="U444" s="1"/>
      <c r="V444" s="1"/>
      <c r="W444" s="1"/>
      <c r="X444" s="60">
        <f>IFERROR(VLOOKUP($A444,Ventas!$A$2:$L$5000,12,FALSE()),"")</f>
        <v>337.5</v>
      </c>
      <c r="Y444" s="60">
        <f t="shared" si="3"/>
        <v>1350</v>
      </c>
      <c r="Z444" s="61">
        <f t="shared" si="4"/>
        <v>0.1</v>
      </c>
      <c r="AA444" s="60">
        <f t="shared" si="5"/>
        <v>1300</v>
      </c>
      <c r="AB444" s="62" t="str">
        <f t="shared" si="6"/>
        <v/>
      </c>
      <c r="AC444" s="62" t="str">
        <f t="array" ref="AC444">IF(AH444&lt;&gt;"COMPRAR","",IF(MAX(INDEX(Ventas!$G$2:$G$5000,MATCH($A444,Ventas!$A$2:$A$5000,0)),INDEX(Ventas!$H$2:$H$5000,MATCH($A444,Ventas!$A$2:$A$5000,0)),INDEX(Ventas!$I$2:$I$5000,MATCH($A444,Ventas!$A$2:$A$5000,0)),INDEX(Ventas!$J$2:$J$5000,MATCH($A444,Ventas!$A$2:$A$5000,0)))&gt;0.5*AF444*4,"1 mes = "&amp;TEXT(MAX(INDEX(Ventas!$G$2:$G$5000,MATCH($A444,Ventas!$A$2:$A$5000,0)),INDEX(Ventas!$H$2:$H$5000,MATCH($A444,Ventas!$A$2:$A$5000,0)),INDEX(Ventas!$I$2:$I$5000,MATCH($A444,Ventas!$A$2:$A$5000,0)),INDEX(Ventas!$J$2:$J$5000,MATCH($A444,Ventas!$A$2:$A$5000,0)))/(AF444*4),"0%")&amp;" de 4 meses",""))</f>
        <v/>
      </c>
      <c r="AD444" s="62" t="str">
        <f t="shared" si="7"/>
        <v>SÍ — 50 m vs 179 m</v>
      </c>
      <c r="AE444" s="62" t="str">
        <f t="array" ref="AE444">IF(X444="","",IF(AND(E444=0,AVERAGE(INDEX(Ventas!$C$2:$I$5000,MATCH($A444,Ventas!$A$2:$A$5000,0),0))&gt;0,INDEX(Ventas!$J$2:$J$5000,MATCH($A444,Ventas!$A$2:$A$5000,0))&lt;0.5*AVERAGE(INDEX(Ventas!$C$2:$I$5000,MATCH($A444,Ventas!$A$2:$A$5000,0),0))),"SÍ — stock 0 y Sep cayó (prom Feb-Ago "&amp;TEXT(AVERAGE(INDEX(Ventas!$C$2:$I$5000,MATCH($A444,Ventas!$A$2:$A$5000,0),0)),"#,##0")&amp;")",""))</f>
        <v/>
      </c>
      <c r="AF444" s="60">
        <f t="array" ref="AF444">IF(X444="","",IF(AE444&lt;&gt;"",MAX(X444,AVERAGE(INDEX(Ventas!$C$2:$I$5000,MATCH($A444,Ventas!$A$2:$A$5000,0),0))),X444))</f>
        <v>337.5</v>
      </c>
      <c r="AG444" s="60">
        <f t="shared" si="8"/>
        <v>1300</v>
      </c>
      <c r="AH444" s="63" t="str">
        <f t="shared" si="9"/>
        <v>COMPRAR</v>
      </c>
    </row>
    <row r="445" ht="13.5" customHeight="1">
      <c r="A445" s="49" t="s">
        <v>1322</v>
      </c>
      <c r="B445" s="50" t="s">
        <v>3855</v>
      </c>
      <c r="C445" s="50" t="s">
        <v>3853</v>
      </c>
      <c r="D445" s="50" t="s">
        <v>2572</v>
      </c>
      <c r="E445" s="51">
        <v>533.0</v>
      </c>
      <c r="F445" s="52"/>
      <c r="G445" s="53"/>
      <c r="H445" s="55"/>
      <c r="I445" s="55"/>
      <c r="J445" s="53"/>
      <c r="K445" s="53"/>
      <c r="L445" s="55"/>
      <c r="M445" s="53"/>
      <c r="N445" s="74"/>
      <c r="O445" s="57" t="str">
        <f t="shared" si="1"/>
        <v>SOBRESTOCK — 42.6 meses de cobertura</v>
      </c>
      <c r="P445" s="58">
        <f t="shared" si="2"/>
        <v>533</v>
      </c>
      <c r="Q445" s="1"/>
      <c r="R445" s="1"/>
      <c r="S445" s="1"/>
      <c r="T445" s="1"/>
      <c r="U445" s="1"/>
      <c r="V445" s="1"/>
      <c r="W445" s="1"/>
      <c r="X445" s="60">
        <f>IFERROR(VLOOKUP($A445,Ventas!$A$2:$L$5000,12,FALSE()),"")</f>
        <v>12.5</v>
      </c>
      <c r="Y445" s="60">
        <f t="shared" si="3"/>
        <v>50</v>
      </c>
      <c r="Z445" s="61">
        <f t="shared" si="4"/>
        <v>42.6</v>
      </c>
      <c r="AA445" s="60">
        <f t="shared" si="5"/>
        <v>-483</v>
      </c>
      <c r="AB445" s="62" t="str">
        <f t="shared" si="6"/>
        <v/>
      </c>
      <c r="AC445" s="62" t="str">
        <f t="array" ref="AC445">IF(AH445&lt;&gt;"COMPRAR","",IF(MAX(INDEX(Ventas!$G$2:$G$5000,MATCH($A445,Ventas!$A$2:$A$5000,0)),INDEX(Ventas!$H$2:$H$5000,MATCH($A445,Ventas!$A$2:$A$5000,0)),INDEX(Ventas!$I$2:$I$5000,MATCH($A445,Ventas!$A$2:$A$5000,0)),INDEX(Ventas!$J$2:$J$5000,MATCH($A445,Ventas!$A$2:$A$5000,0)))&gt;0.5*AF445*4,"1 mes = "&amp;TEXT(MAX(INDEX(Ventas!$G$2:$G$5000,MATCH($A445,Ventas!$A$2:$A$5000,0)),INDEX(Ventas!$H$2:$H$5000,MATCH($A445,Ventas!$A$2:$A$5000,0)),INDEX(Ventas!$I$2:$I$5000,MATCH($A445,Ventas!$A$2:$A$5000,0)),INDEX(Ventas!$J$2:$J$5000,MATCH($A445,Ventas!$A$2:$A$5000,0)))/(AF445*4),"0%")&amp;" de 4 meses",""))</f>
        <v/>
      </c>
      <c r="AD445" s="62" t="str">
        <f t="shared" si="7"/>
        <v/>
      </c>
      <c r="AE445" s="62" t="str">
        <f t="array" ref="AE445">IF(X445="","",IF(AND(E445=0,AVERAGE(INDEX(Ventas!$C$2:$I$5000,MATCH($A445,Ventas!$A$2:$A$5000,0),0))&gt;0,INDEX(Ventas!$J$2:$J$5000,MATCH($A445,Ventas!$A$2:$A$5000,0))&lt;0.5*AVERAGE(INDEX(Ventas!$C$2:$I$5000,MATCH($A445,Ventas!$A$2:$A$5000,0),0))),"SÍ — stock 0 y Sep cayó (prom Feb-Ago "&amp;TEXT(AVERAGE(INDEX(Ventas!$C$2:$I$5000,MATCH($A445,Ventas!$A$2:$A$5000,0),0)),"#,##0")&amp;")",""))</f>
        <v/>
      </c>
      <c r="AF445" s="60">
        <f t="array" ref="AF445">IF(X445="","",IF(AE445&lt;&gt;"",MAX(X445,AVERAGE(INDEX(Ventas!$C$2:$I$5000,MATCH($A445,Ventas!$A$2:$A$5000,0),0))),X445))</f>
        <v>12.5</v>
      </c>
      <c r="AG445" s="60">
        <f t="shared" si="8"/>
        <v>-483</v>
      </c>
      <c r="AH445" s="63" t="str">
        <f t="shared" si="9"/>
        <v>SOBRESTOCK</v>
      </c>
    </row>
    <row r="446" ht="13.5" customHeight="1">
      <c r="A446" s="64" t="s">
        <v>2777</v>
      </c>
      <c r="B446" s="65"/>
      <c r="C446" s="65" t="s">
        <v>3856</v>
      </c>
      <c r="D446" s="65" t="s">
        <v>3857</v>
      </c>
      <c r="E446" s="51">
        <v>830.0</v>
      </c>
      <c r="F446" s="66"/>
      <c r="G446" s="53"/>
      <c r="H446" s="55"/>
      <c r="I446" s="55"/>
      <c r="J446" s="53"/>
      <c r="K446" s="53"/>
      <c r="L446" s="55"/>
      <c r="M446" s="53"/>
      <c r="N446" s="73"/>
      <c r="O446" s="57" t="str">
        <f t="shared" si="1"/>
        <v>COMPRAR — faltan 839 m para 4 meses</v>
      </c>
      <c r="P446" s="58">
        <f t="shared" si="2"/>
        <v>830</v>
      </c>
      <c r="Q446" s="1"/>
      <c r="R446" s="1"/>
      <c r="S446" s="1"/>
      <c r="T446" s="1"/>
      <c r="U446" s="1"/>
      <c r="V446" s="1"/>
      <c r="W446" s="1"/>
      <c r="X446" s="60">
        <f>IFERROR(VLOOKUP($A446,Ventas!$A$2:$L$5000,12,FALSE()),"")</f>
        <v>417.25</v>
      </c>
      <c r="Y446" s="60">
        <f t="shared" si="3"/>
        <v>1669</v>
      </c>
      <c r="Z446" s="61">
        <f t="shared" si="4"/>
        <v>2</v>
      </c>
      <c r="AA446" s="60">
        <f t="shared" si="5"/>
        <v>839</v>
      </c>
      <c r="AB446" s="62" t="str">
        <f t="shared" si="6"/>
        <v/>
      </c>
      <c r="AC446" s="62" t="str">
        <f t="array" ref="AC446">IF(AH446&lt;&gt;"COMPRAR","",IF(MAX(INDEX(Ventas!$G$2:$G$5000,MATCH($A446,Ventas!$A$2:$A$5000,0)),INDEX(Ventas!$H$2:$H$5000,MATCH($A446,Ventas!$A$2:$A$5000,0)),INDEX(Ventas!$I$2:$I$5000,MATCH($A446,Ventas!$A$2:$A$5000,0)),INDEX(Ventas!$J$2:$J$5000,MATCH($A446,Ventas!$A$2:$A$5000,0)))&gt;0.5*AF446*4,"1 mes = "&amp;TEXT(MAX(INDEX(Ventas!$G$2:$G$5000,MATCH($A446,Ventas!$A$2:$A$5000,0)),INDEX(Ventas!$H$2:$H$5000,MATCH($A446,Ventas!$A$2:$A$5000,0)),INDEX(Ventas!$I$2:$I$5000,MATCH($A446,Ventas!$A$2:$A$5000,0)),INDEX(Ventas!$J$2:$J$5000,MATCH($A446,Ventas!$A$2:$A$5000,0)))/(AF446*4),"0%")&amp;" de 4 meses",""))</f>
        <v/>
      </c>
      <c r="AD446" s="62" t="str">
        <f t="shared" si="7"/>
        <v/>
      </c>
      <c r="AE446" s="62" t="str">
        <f t="array" ref="AE446">IF(X446="","",IF(AND(E446=0,AVERAGE(INDEX(Ventas!$C$2:$I$5000,MATCH($A446,Ventas!$A$2:$A$5000,0),0))&gt;0,INDEX(Ventas!$J$2:$J$5000,MATCH($A446,Ventas!$A$2:$A$5000,0))&lt;0.5*AVERAGE(INDEX(Ventas!$C$2:$I$5000,MATCH($A446,Ventas!$A$2:$A$5000,0),0))),"SÍ — stock 0 y Sep cayó (prom Feb-Ago "&amp;TEXT(AVERAGE(INDEX(Ventas!$C$2:$I$5000,MATCH($A446,Ventas!$A$2:$A$5000,0),0)),"#,##0")&amp;")",""))</f>
        <v/>
      </c>
      <c r="AF446" s="60">
        <f t="array" ref="AF446">IF(X446="","",IF(AE446&lt;&gt;"",MAX(X446,AVERAGE(INDEX(Ventas!$C$2:$I$5000,MATCH($A446,Ventas!$A$2:$A$5000,0),0))),X446))</f>
        <v>417.25</v>
      </c>
      <c r="AG446" s="60">
        <f t="shared" si="8"/>
        <v>839</v>
      </c>
      <c r="AH446" s="63" t="str">
        <f t="shared" si="9"/>
        <v>COMPRAR</v>
      </c>
    </row>
    <row r="447" ht="13.5" customHeight="1">
      <c r="A447" s="49" t="s">
        <v>2767</v>
      </c>
      <c r="B447" s="50"/>
      <c r="C447" s="50" t="s">
        <v>3856</v>
      </c>
      <c r="D447" s="50" t="s">
        <v>2949</v>
      </c>
      <c r="E447" s="51">
        <v>1690.0</v>
      </c>
      <c r="F447" s="52"/>
      <c r="G447" s="53"/>
      <c r="H447" s="55"/>
      <c r="I447" s="55"/>
      <c r="J447" s="53"/>
      <c r="K447" s="53"/>
      <c r="L447" s="55"/>
      <c r="M447" s="53"/>
      <c r="N447" s="74"/>
      <c r="O447" s="57" t="str">
        <f t="shared" si="1"/>
        <v>SOBRESTOCK — 25.2 meses de cobertura</v>
      </c>
      <c r="P447" s="58">
        <f t="shared" si="2"/>
        <v>1690</v>
      </c>
      <c r="Q447" s="1"/>
      <c r="R447" s="1"/>
      <c r="S447" s="1"/>
      <c r="T447" s="1"/>
      <c r="U447" s="1"/>
      <c r="V447" s="1"/>
      <c r="W447" s="1"/>
      <c r="X447" s="60">
        <f>IFERROR(VLOOKUP($A447,Ventas!$A$2:$L$5000,12,FALSE()),"")</f>
        <v>67</v>
      </c>
      <c r="Y447" s="60">
        <f t="shared" si="3"/>
        <v>268</v>
      </c>
      <c r="Z447" s="61">
        <f t="shared" si="4"/>
        <v>25.2</v>
      </c>
      <c r="AA447" s="60">
        <f t="shared" si="5"/>
        <v>-1422</v>
      </c>
      <c r="AB447" s="62" t="str">
        <f t="shared" si="6"/>
        <v/>
      </c>
      <c r="AC447" s="62" t="str">
        <f t="array" ref="AC447">IF(AH447&lt;&gt;"COMPRAR","",IF(MAX(INDEX(Ventas!$G$2:$G$5000,MATCH($A447,Ventas!$A$2:$A$5000,0)),INDEX(Ventas!$H$2:$H$5000,MATCH($A447,Ventas!$A$2:$A$5000,0)),INDEX(Ventas!$I$2:$I$5000,MATCH($A447,Ventas!$A$2:$A$5000,0)),INDEX(Ventas!$J$2:$J$5000,MATCH($A447,Ventas!$A$2:$A$5000,0)))&gt;0.5*AF447*4,"1 mes = "&amp;TEXT(MAX(INDEX(Ventas!$G$2:$G$5000,MATCH($A447,Ventas!$A$2:$A$5000,0)),INDEX(Ventas!$H$2:$H$5000,MATCH($A447,Ventas!$A$2:$A$5000,0)),INDEX(Ventas!$I$2:$I$5000,MATCH($A447,Ventas!$A$2:$A$5000,0)),INDEX(Ventas!$J$2:$J$5000,MATCH($A447,Ventas!$A$2:$A$5000,0)))/(AF447*4),"0%")&amp;" de 4 meses",""))</f>
        <v/>
      </c>
      <c r="AD447" s="62" t="str">
        <f t="shared" si="7"/>
        <v/>
      </c>
      <c r="AE447" s="62" t="str">
        <f t="array" ref="AE447">IF(X447="","",IF(AND(E447=0,AVERAGE(INDEX(Ventas!$C$2:$I$5000,MATCH($A447,Ventas!$A$2:$A$5000,0),0))&gt;0,INDEX(Ventas!$J$2:$J$5000,MATCH($A447,Ventas!$A$2:$A$5000,0))&lt;0.5*AVERAGE(INDEX(Ventas!$C$2:$I$5000,MATCH($A447,Ventas!$A$2:$A$5000,0),0))),"SÍ — stock 0 y Sep cayó (prom Feb-Ago "&amp;TEXT(AVERAGE(INDEX(Ventas!$C$2:$I$5000,MATCH($A447,Ventas!$A$2:$A$5000,0),0)),"#,##0")&amp;")",""))</f>
        <v/>
      </c>
      <c r="AF447" s="60">
        <f t="array" ref="AF447">IF(X447="","",IF(AE447&lt;&gt;"",MAX(X447,AVERAGE(INDEX(Ventas!$C$2:$I$5000,MATCH($A447,Ventas!$A$2:$A$5000,0),0))),X447))</f>
        <v>67</v>
      </c>
      <c r="AG447" s="60">
        <f t="shared" si="8"/>
        <v>-1422</v>
      </c>
      <c r="AH447" s="63" t="str">
        <f t="shared" si="9"/>
        <v>SOBRESTOCK</v>
      </c>
    </row>
    <row r="448" ht="13.5" customHeight="1">
      <c r="A448" s="64" t="s">
        <v>2771</v>
      </c>
      <c r="B448" s="65"/>
      <c r="C448" s="65" t="s">
        <v>3856</v>
      </c>
      <c r="D448" s="65" t="s">
        <v>3828</v>
      </c>
      <c r="E448" s="51">
        <v>698.0</v>
      </c>
      <c r="F448" s="66"/>
      <c r="G448" s="53"/>
      <c r="H448" s="55"/>
      <c r="I448" s="55"/>
      <c r="J448" s="53"/>
      <c r="K448" s="53"/>
      <c r="L448" s="55"/>
      <c r="M448" s="53"/>
      <c r="N448" s="73"/>
      <c r="O448" s="57" t="str">
        <f t="shared" si="1"/>
        <v>SOBRESTOCK — 11.5 meses de cobertura</v>
      </c>
      <c r="P448" s="58">
        <f t="shared" si="2"/>
        <v>698</v>
      </c>
      <c r="Q448" s="1"/>
      <c r="R448" s="1"/>
      <c r="S448" s="1"/>
      <c r="T448" s="1"/>
      <c r="U448" s="1"/>
      <c r="V448" s="1"/>
      <c r="W448" s="1"/>
      <c r="X448" s="60">
        <f>IFERROR(VLOOKUP($A448,Ventas!$A$2:$L$5000,12,FALSE()),"")</f>
        <v>60.5</v>
      </c>
      <c r="Y448" s="60">
        <f t="shared" si="3"/>
        <v>242</v>
      </c>
      <c r="Z448" s="61">
        <f t="shared" si="4"/>
        <v>11.5</v>
      </c>
      <c r="AA448" s="60">
        <f t="shared" si="5"/>
        <v>-456</v>
      </c>
      <c r="AB448" s="62" t="str">
        <f t="shared" si="6"/>
        <v/>
      </c>
      <c r="AC448" s="62" t="str">
        <f t="array" ref="AC448">IF(AH448&lt;&gt;"COMPRAR","",IF(MAX(INDEX(Ventas!$G$2:$G$5000,MATCH($A448,Ventas!$A$2:$A$5000,0)),INDEX(Ventas!$H$2:$H$5000,MATCH($A448,Ventas!$A$2:$A$5000,0)),INDEX(Ventas!$I$2:$I$5000,MATCH($A448,Ventas!$A$2:$A$5000,0)),INDEX(Ventas!$J$2:$J$5000,MATCH($A448,Ventas!$A$2:$A$5000,0)))&gt;0.5*AF448*4,"1 mes = "&amp;TEXT(MAX(INDEX(Ventas!$G$2:$G$5000,MATCH($A448,Ventas!$A$2:$A$5000,0)),INDEX(Ventas!$H$2:$H$5000,MATCH($A448,Ventas!$A$2:$A$5000,0)),INDEX(Ventas!$I$2:$I$5000,MATCH($A448,Ventas!$A$2:$A$5000,0)),INDEX(Ventas!$J$2:$J$5000,MATCH($A448,Ventas!$A$2:$A$5000,0)))/(AF448*4),"0%")&amp;" de 4 meses",""))</f>
        <v/>
      </c>
      <c r="AD448" s="62" t="str">
        <f t="shared" si="7"/>
        <v/>
      </c>
      <c r="AE448" s="62" t="str">
        <f t="array" ref="AE448">IF(X448="","",IF(AND(E448=0,AVERAGE(INDEX(Ventas!$C$2:$I$5000,MATCH($A448,Ventas!$A$2:$A$5000,0),0))&gt;0,INDEX(Ventas!$J$2:$J$5000,MATCH($A448,Ventas!$A$2:$A$5000,0))&lt;0.5*AVERAGE(INDEX(Ventas!$C$2:$I$5000,MATCH($A448,Ventas!$A$2:$A$5000,0),0))),"SÍ — stock 0 y Sep cayó (prom Feb-Ago "&amp;TEXT(AVERAGE(INDEX(Ventas!$C$2:$I$5000,MATCH($A448,Ventas!$A$2:$A$5000,0),0)),"#,##0")&amp;")",""))</f>
        <v/>
      </c>
      <c r="AF448" s="60">
        <f t="array" ref="AF448">IF(X448="","",IF(AE448&lt;&gt;"",MAX(X448,AVERAGE(INDEX(Ventas!$C$2:$I$5000,MATCH($A448,Ventas!$A$2:$A$5000,0),0))),X448))</f>
        <v>60.5</v>
      </c>
      <c r="AG448" s="60">
        <f t="shared" si="8"/>
        <v>-456</v>
      </c>
      <c r="AH448" s="63" t="str">
        <f t="shared" si="9"/>
        <v>SOBRESTOCK</v>
      </c>
    </row>
    <row r="449" ht="13.5" customHeight="1">
      <c r="A449" s="49" t="s">
        <v>2773</v>
      </c>
      <c r="B449" s="50"/>
      <c r="C449" s="50" t="s">
        <v>3856</v>
      </c>
      <c r="D449" s="50" t="s">
        <v>1329</v>
      </c>
      <c r="E449" s="51">
        <v>196.0</v>
      </c>
      <c r="F449" s="52"/>
      <c r="G449" s="53"/>
      <c r="H449" s="55"/>
      <c r="I449" s="55"/>
      <c r="J449" s="53"/>
      <c r="K449" s="53"/>
      <c r="L449" s="55"/>
      <c r="M449" s="53"/>
      <c r="N449" s="74"/>
      <c r="O449" s="57" t="str">
        <f t="shared" si="1"/>
        <v>COMPRAR — faltan 636 m para 4 meses</v>
      </c>
      <c r="P449" s="58">
        <f t="shared" si="2"/>
        <v>196</v>
      </c>
      <c r="Q449" s="1"/>
      <c r="R449" s="1"/>
      <c r="S449" s="1"/>
      <c r="T449" s="1"/>
      <c r="U449" s="1"/>
      <c r="V449" s="1"/>
      <c r="W449" s="1"/>
      <c r="X449" s="60">
        <f>IFERROR(VLOOKUP($A449,Ventas!$A$2:$L$5000,12,FALSE()),"")</f>
        <v>208</v>
      </c>
      <c r="Y449" s="60">
        <f t="shared" si="3"/>
        <v>832</v>
      </c>
      <c r="Z449" s="61">
        <f t="shared" si="4"/>
        <v>0.9</v>
      </c>
      <c r="AA449" s="60">
        <f t="shared" si="5"/>
        <v>636</v>
      </c>
      <c r="AB449" s="62" t="str">
        <f t="shared" si="6"/>
        <v/>
      </c>
      <c r="AC449" s="62" t="str">
        <f t="array" ref="AC449">IF(AH449&lt;&gt;"COMPRAR","",IF(MAX(INDEX(Ventas!$G$2:$G$5000,MATCH($A449,Ventas!$A$2:$A$5000,0)),INDEX(Ventas!$H$2:$H$5000,MATCH($A449,Ventas!$A$2:$A$5000,0)),INDEX(Ventas!$I$2:$I$5000,MATCH($A449,Ventas!$A$2:$A$5000,0)),INDEX(Ventas!$J$2:$J$5000,MATCH($A449,Ventas!$A$2:$A$5000,0)))&gt;0.5*AF449*4,"1 mes = "&amp;TEXT(MAX(INDEX(Ventas!$G$2:$G$5000,MATCH($A449,Ventas!$A$2:$A$5000,0)),INDEX(Ventas!$H$2:$H$5000,MATCH($A449,Ventas!$A$2:$A$5000,0)),INDEX(Ventas!$I$2:$I$5000,MATCH($A449,Ventas!$A$2:$A$5000,0)),INDEX(Ventas!$J$2:$J$5000,MATCH($A449,Ventas!$A$2:$A$5000,0)))/(AF449*4),"0%")&amp;" de 4 meses",""))</f>
        <v/>
      </c>
      <c r="AD449" s="62" t="str">
        <f t="shared" si="7"/>
        <v/>
      </c>
      <c r="AE449" s="62" t="str">
        <f t="array" ref="AE449">IF(X449="","",IF(AND(E449=0,AVERAGE(INDEX(Ventas!$C$2:$I$5000,MATCH($A449,Ventas!$A$2:$A$5000,0),0))&gt;0,INDEX(Ventas!$J$2:$J$5000,MATCH($A449,Ventas!$A$2:$A$5000,0))&lt;0.5*AVERAGE(INDEX(Ventas!$C$2:$I$5000,MATCH($A449,Ventas!$A$2:$A$5000,0),0))),"SÍ — stock 0 y Sep cayó (prom Feb-Ago "&amp;TEXT(AVERAGE(INDEX(Ventas!$C$2:$I$5000,MATCH($A449,Ventas!$A$2:$A$5000,0),0)),"#,##0")&amp;")",""))</f>
        <v/>
      </c>
      <c r="AF449" s="60">
        <f t="array" ref="AF449">IF(X449="","",IF(AE449&lt;&gt;"",MAX(X449,AVERAGE(INDEX(Ventas!$C$2:$I$5000,MATCH($A449,Ventas!$A$2:$A$5000,0),0))),X449))</f>
        <v>208</v>
      </c>
      <c r="AG449" s="60">
        <f t="shared" si="8"/>
        <v>636</v>
      </c>
      <c r="AH449" s="63" t="str">
        <f t="shared" si="9"/>
        <v>COMPRAR</v>
      </c>
    </row>
    <row r="450" ht="13.5" customHeight="1">
      <c r="A450" s="64" t="s">
        <v>2781</v>
      </c>
      <c r="B450" s="65"/>
      <c r="C450" s="65" t="s">
        <v>3856</v>
      </c>
      <c r="D450" s="65" t="s">
        <v>3858</v>
      </c>
      <c r="E450" s="51">
        <v>1762.0</v>
      </c>
      <c r="F450" s="66"/>
      <c r="G450" s="53"/>
      <c r="H450" s="55"/>
      <c r="I450" s="55"/>
      <c r="J450" s="53"/>
      <c r="K450" s="53"/>
      <c r="L450" s="55"/>
      <c r="M450" s="53"/>
      <c r="N450" s="73"/>
      <c r="O450" s="57" t="str">
        <f t="shared" si="1"/>
        <v>SOBRESTOCK — 35.2 meses de cobertura</v>
      </c>
      <c r="P450" s="58">
        <f t="shared" si="2"/>
        <v>1762</v>
      </c>
      <c r="Q450" s="1"/>
      <c r="R450" s="1"/>
      <c r="S450" s="1"/>
      <c r="T450" s="1"/>
      <c r="U450" s="1"/>
      <c r="V450" s="1"/>
      <c r="W450" s="1"/>
      <c r="X450" s="60">
        <f>IFERROR(VLOOKUP($A450,Ventas!$A$2:$L$5000,12,FALSE()),"")</f>
        <v>50</v>
      </c>
      <c r="Y450" s="60">
        <f t="shared" si="3"/>
        <v>200</v>
      </c>
      <c r="Z450" s="61">
        <f t="shared" si="4"/>
        <v>35.2</v>
      </c>
      <c r="AA450" s="60">
        <f t="shared" si="5"/>
        <v>-1562</v>
      </c>
      <c r="AB450" s="62" t="str">
        <f t="shared" si="6"/>
        <v/>
      </c>
      <c r="AC450" s="62" t="str">
        <f t="array" ref="AC450">IF(AH450&lt;&gt;"COMPRAR","",IF(MAX(INDEX(Ventas!$G$2:$G$5000,MATCH($A450,Ventas!$A$2:$A$5000,0)),INDEX(Ventas!$H$2:$H$5000,MATCH($A450,Ventas!$A$2:$A$5000,0)),INDEX(Ventas!$I$2:$I$5000,MATCH($A450,Ventas!$A$2:$A$5000,0)),INDEX(Ventas!$J$2:$J$5000,MATCH($A450,Ventas!$A$2:$A$5000,0)))&gt;0.5*AF450*4,"1 mes = "&amp;TEXT(MAX(INDEX(Ventas!$G$2:$G$5000,MATCH($A450,Ventas!$A$2:$A$5000,0)),INDEX(Ventas!$H$2:$H$5000,MATCH($A450,Ventas!$A$2:$A$5000,0)),INDEX(Ventas!$I$2:$I$5000,MATCH($A450,Ventas!$A$2:$A$5000,0)),INDEX(Ventas!$J$2:$J$5000,MATCH($A450,Ventas!$A$2:$A$5000,0)))/(AF450*4),"0%")&amp;" de 4 meses",""))</f>
        <v/>
      </c>
      <c r="AD450" s="62" t="str">
        <f t="shared" si="7"/>
        <v/>
      </c>
      <c r="AE450" s="62" t="str">
        <f t="array" ref="AE450">IF(X450="","",IF(AND(E450=0,AVERAGE(INDEX(Ventas!$C$2:$I$5000,MATCH($A450,Ventas!$A$2:$A$5000,0),0))&gt;0,INDEX(Ventas!$J$2:$J$5000,MATCH($A450,Ventas!$A$2:$A$5000,0))&lt;0.5*AVERAGE(INDEX(Ventas!$C$2:$I$5000,MATCH($A450,Ventas!$A$2:$A$5000,0),0))),"SÍ — stock 0 y Sep cayó (prom Feb-Ago "&amp;TEXT(AVERAGE(INDEX(Ventas!$C$2:$I$5000,MATCH($A450,Ventas!$A$2:$A$5000,0),0)),"#,##0")&amp;")",""))</f>
        <v/>
      </c>
      <c r="AF450" s="60">
        <f t="array" ref="AF450">IF(X450="","",IF(AE450&lt;&gt;"",MAX(X450,AVERAGE(INDEX(Ventas!$C$2:$I$5000,MATCH($A450,Ventas!$A$2:$A$5000,0),0))),X450))</f>
        <v>50</v>
      </c>
      <c r="AG450" s="60">
        <f t="shared" si="8"/>
        <v>-1562</v>
      </c>
      <c r="AH450" s="63" t="str">
        <f t="shared" si="9"/>
        <v>SOBRESTOCK</v>
      </c>
    </row>
    <row r="451" ht="13.5" customHeight="1">
      <c r="A451" s="49" t="s">
        <v>2775</v>
      </c>
      <c r="B451" s="50"/>
      <c r="C451" s="50" t="s">
        <v>3856</v>
      </c>
      <c r="D451" s="50" t="s">
        <v>3859</v>
      </c>
      <c r="E451" s="51">
        <v>150.0</v>
      </c>
      <c r="F451" s="52"/>
      <c r="G451" s="53"/>
      <c r="H451" s="55"/>
      <c r="I451" s="89">
        <v>1000.0</v>
      </c>
      <c r="J451" s="53"/>
      <c r="K451" s="53"/>
      <c r="L451" s="55"/>
      <c r="M451" s="53"/>
      <c r="N451" s="74"/>
      <c r="O451" s="57" t="str">
        <f t="shared" si="1"/>
        <v>COMPRAR — faltan 273 m para 4 meses (ya contando pedidos)</v>
      </c>
      <c r="P451" s="58">
        <f t="shared" si="2"/>
        <v>1150</v>
      </c>
      <c r="Q451" s="1"/>
      <c r="R451" s="1"/>
      <c r="S451" s="1"/>
      <c r="T451" s="1"/>
      <c r="U451" s="1"/>
      <c r="V451" s="1"/>
      <c r="W451" s="1"/>
      <c r="X451" s="60">
        <f>IFERROR(VLOOKUP($A451,Ventas!$A$2:$L$5000,12,FALSE()),"")</f>
        <v>355.85</v>
      </c>
      <c r="Y451" s="60">
        <f t="shared" si="3"/>
        <v>1423</v>
      </c>
      <c r="Z451" s="61">
        <f t="shared" si="4"/>
        <v>3.2</v>
      </c>
      <c r="AA451" s="60">
        <f t="shared" si="5"/>
        <v>273</v>
      </c>
      <c r="AB451" s="62" t="str">
        <f t="shared" si="6"/>
        <v/>
      </c>
      <c r="AC451" s="62" t="str">
        <f t="array" ref="AC451">IF(AH451&lt;&gt;"COMPRAR","",IF(MAX(INDEX(Ventas!$G$2:$G$5000,MATCH($A451,Ventas!$A$2:$A$5000,0)),INDEX(Ventas!$H$2:$H$5000,MATCH($A451,Ventas!$A$2:$A$5000,0)),INDEX(Ventas!$I$2:$I$5000,MATCH($A451,Ventas!$A$2:$A$5000,0)),INDEX(Ventas!$J$2:$J$5000,MATCH($A451,Ventas!$A$2:$A$5000,0)))&gt;0.5*AF451*4,"1 mes = "&amp;TEXT(MAX(INDEX(Ventas!$G$2:$G$5000,MATCH($A451,Ventas!$A$2:$A$5000,0)),INDEX(Ventas!$H$2:$H$5000,MATCH($A451,Ventas!$A$2:$A$5000,0)),INDEX(Ventas!$I$2:$I$5000,MATCH($A451,Ventas!$A$2:$A$5000,0)),INDEX(Ventas!$J$2:$J$5000,MATCH($A451,Ventas!$A$2:$A$5000,0)))/(AF451*4),"0%")&amp;" de 4 meses",""))</f>
        <v/>
      </c>
      <c r="AD451" s="62" t="str">
        <f t="shared" si="7"/>
        <v>SÍ — 150 m vs 189 m</v>
      </c>
      <c r="AE451" s="62" t="str">
        <f t="array" ref="AE451">IF(X451="","",IF(AND(E451=0,AVERAGE(INDEX(Ventas!$C$2:$I$5000,MATCH($A451,Ventas!$A$2:$A$5000,0),0))&gt;0,INDEX(Ventas!$J$2:$J$5000,MATCH($A451,Ventas!$A$2:$A$5000,0))&lt;0.5*AVERAGE(INDEX(Ventas!$C$2:$I$5000,MATCH($A451,Ventas!$A$2:$A$5000,0),0))),"SÍ — stock 0 y Sep cayó (prom Feb-Ago "&amp;TEXT(AVERAGE(INDEX(Ventas!$C$2:$I$5000,MATCH($A451,Ventas!$A$2:$A$5000,0),0)),"#,##0")&amp;")",""))</f>
        <v/>
      </c>
      <c r="AF451" s="60">
        <f t="array" ref="AF451">IF(X451="","",IF(AE451&lt;&gt;"",MAX(X451,AVERAGE(INDEX(Ventas!$C$2:$I$5000,MATCH($A451,Ventas!$A$2:$A$5000,0),0))),X451))</f>
        <v>355.85</v>
      </c>
      <c r="AG451" s="60">
        <f t="shared" si="8"/>
        <v>273</v>
      </c>
      <c r="AH451" s="63" t="str">
        <f t="shared" si="9"/>
        <v>COMPRAR</v>
      </c>
    </row>
    <row r="452" ht="13.5" customHeight="1">
      <c r="A452" s="64" t="s">
        <v>2769</v>
      </c>
      <c r="B452" s="65"/>
      <c r="C452" s="65" t="s">
        <v>3856</v>
      </c>
      <c r="D452" s="65" t="s">
        <v>3860</v>
      </c>
      <c r="E452" s="51">
        <v>212.0</v>
      </c>
      <c r="F452" s="66"/>
      <c r="G452" s="53"/>
      <c r="H452" s="55"/>
      <c r="I452" s="89"/>
      <c r="J452" s="53"/>
      <c r="K452" s="53"/>
      <c r="L452" s="55"/>
      <c r="M452" s="53"/>
      <c r="N452" s="73"/>
      <c r="O452" s="57" t="str">
        <f t="shared" si="1"/>
        <v>COMPRAR — faltan 208 m para 4 meses</v>
      </c>
      <c r="P452" s="58">
        <f t="shared" si="2"/>
        <v>212</v>
      </c>
      <c r="Q452" s="1"/>
      <c r="R452" s="1"/>
      <c r="S452" s="1"/>
      <c r="T452" s="1"/>
      <c r="U452" s="1"/>
      <c r="V452" s="1"/>
      <c r="W452" s="1"/>
      <c r="X452" s="60">
        <f>IFERROR(VLOOKUP($A452,Ventas!$A$2:$L$5000,12,FALSE()),"")</f>
        <v>105</v>
      </c>
      <c r="Y452" s="60">
        <f t="shared" si="3"/>
        <v>420</v>
      </c>
      <c r="Z452" s="61">
        <f t="shared" si="4"/>
        <v>2</v>
      </c>
      <c r="AA452" s="60">
        <f t="shared" si="5"/>
        <v>208</v>
      </c>
      <c r="AB452" s="62" t="str">
        <f t="shared" si="6"/>
        <v/>
      </c>
      <c r="AC452" s="62" t="str">
        <f t="array" ref="AC452">IF(AH452&lt;&gt;"COMPRAR","",IF(MAX(INDEX(Ventas!$G$2:$G$5000,MATCH($A452,Ventas!$A$2:$A$5000,0)),INDEX(Ventas!$H$2:$H$5000,MATCH($A452,Ventas!$A$2:$A$5000,0)),INDEX(Ventas!$I$2:$I$5000,MATCH($A452,Ventas!$A$2:$A$5000,0)),INDEX(Ventas!$J$2:$J$5000,MATCH($A452,Ventas!$A$2:$A$5000,0)))&gt;0.5*AF452*4,"1 mes = "&amp;TEXT(MAX(INDEX(Ventas!$G$2:$G$5000,MATCH($A452,Ventas!$A$2:$A$5000,0)),INDEX(Ventas!$H$2:$H$5000,MATCH($A452,Ventas!$A$2:$A$5000,0)),INDEX(Ventas!$I$2:$I$5000,MATCH($A452,Ventas!$A$2:$A$5000,0)),INDEX(Ventas!$J$2:$J$5000,MATCH($A452,Ventas!$A$2:$A$5000,0)))/(AF452*4),"0%")&amp;" de 4 meses",""))</f>
        <v/>
      </c>
      <c r="AD452" s="62" t="str">
        <f t="shared" si="7"/>
        <v/>
      </c>
      <c r="AE452" s="62" t="str">
        <f t="array" ref="AE452">IF(X452="","",IF(AND(E452=0,AVERAGE(INDEX(Ventas!$C$2:$I$5000,MATCH($A452,Ventas!$A$2:$A$5000,0),0))&gt;0,INDEX(Ventas!$J$2:$J$5000,MATCH($A452,Ventas!$A$2:$A$5000,0))&lt;0.5*AVERAGE(INDEX(Ventas!$C$2:$I$5000,MATCH($A452,Ventas!$A$2:$A$5000,0),0))),"SÍ — stock 0 y Sep cayó (prom Feb-Ago "&amp;TEXT(AVERAGE(INDEX(Ventas!$C$2:$I$5000,MATCH($A452,Ventas!$A$2:$A$5000,0),0)),"#,##0")&amp;")",""))</f>
        <v/>
      </c>
      <c r="AF452" s="60">
        <f t="array" ref="AF452">IF(X452="","",IF(AE452&lt;&gt;"",MAX(X452,AVERAGE(INDEX(Ventas!$C$2:$I$5000,MATCH($A452,Ventas!$A$2:$A$5000,0),0))),X452))</f>
        <v>105</v>
      </c>
      <c r="AG452" s="60">
        <f t="shared" si="8"/>
        <v>208</v>
      </c>
      <c r="AH452" s="63" t="str">
        <f t="shared" si="9"/>
        <v>COMPRAR</v>
      </c>
    </row>
    <row r="453" ht="13.5" customHeight="1">
      <c r="A453" s="49" t="s">
        <v>2779</v>
      </c>
      <c r="B453" s="50"/>
      <c r="C453" s="50" t="s">
        <v>3856</v>
      </c>
      <c r="D453" s="50" t="s">
        <v>3861</v>
      </c>
      <c r="E453" s="51">
        <v>441.0</v>
      </c>
      <c r="F453" s="52"/>
      <c r="G453" s="53"/>
      <c r="H453" s="55"/>
      <c r="I453" s="89">
        <v>500.0</v>
      </c>
      <c r="J453" s="53"/>
      <c r="K453" s="53"/>
      <c r="L453" s="55"/>
      <c r="M453" s="53"/>
      <c r="N453" s="74"/>
      <c r="O453" s="57" t="str">
        <f t="shared" si="1"/>
        <v>PEDIR MENOS — sobran 641 m; revisar pedidos sin facturar (500 m)</v>
      </c>
      <c r="P453" s="58">
        <f t="shared" si="2"/>
        <v>941</v>
      </c>
      <c r="Q453" s="1"/>
      <c r="R453" s="1"/>
      <c r="S453" s="1"/>
      <c r="T453" s="1"/>
      <c r="U453" s="1"/>
      <c r="V453" s="1"/>
      <c r="W453" s="1"/>
      <c r="X453" s="60">
        <f>IFERROR(VLOOKUP($A453,Ventas!$A$2:$L$5000,12,FALSE()),"")</f>
        <v>75</v>
      </c>
      <c r="Y453" s="60">
        <f t="shared" si="3"/>
        <v>300</v>
      </c>
      <c r="Z453" s="61">
        <f t="shared" si="4"/>
        <v>12.5</v>
      </c>
      <c r="AA453" s="60">
        <f t="shared" si="5"/>
        <v>-641</v>
      </c>
      <c r="AB453" s="62" t="str">
        <f t="shared" si="6"/>
        <v/>
      </c>
      <c r="AC453" s="62" t="str">
        <f t="array" ref="AC453">IF(AH453&lt;&gt;"COMPRAR","",IF(MAX(INDEX(Ventas!$G$2:$G$5000,MATCH($A453,Ventas!$A$2:$A$5000,0)),INDEX(Ventas!$H$2:$H$5000,MATCH($A453,Ventas!$A$2:$A$5000,0)),INDEX(Ventas!$I$2:$I$5000,MATCH($A453,Ventas!$A$2:$A$5000,0)),INDEX(Ventas!$J$2:$J$5000,MATCH($A453,Ventas!$A$2:$A$5000,0)))&gt;0.5*AF453*4,"1 mes = "&amp;TEXT(MAX(INDEX(Ventas!$G$2:$G$5000,MATCH($A453,Ventas!$A$2:$A$5000,0)),INDEX(Ventas!$H$2:$H$5000,MATCH($A453,Ventas!$A$2:$A$5000,0)),INDEX(Ventas!$I$2:$I$5000,MATCH($A453,Ventas!$A$2:$A$5000,0)),INDEX(Ventas!$J$2:$J$5000,MATCH($A453,Ventas!$A$2:$A$5000,0)))/(AF453*4),"0%")&amp;" de 4 meses",""))</f>
        <v/>
      </c>
      <c r="AD453" s="62" t="str">
        <f t="shared" si="7"/>
        <v/>
      </c>
      <c r="AE453" s="62" t="str">
        <f t="array" ref="AE453">IF(X453="","",IF(AND(E453=0,AVERAGE(INDEX(Ventas!$C$2:$I$5000,MATCH($A453,Ventas!$A$2:$A$5000,0),0))&gt;0,INDEX(Ventas!$J$2:$J$5000,MATCH($A453,Ventas!$A$2:$A$5000,0))&lt;0.5*AVERAGE(INDEX(Ventas!$C$2:$I$5000,MATCH($A453,Ventas!$A$2:$A$5000,0),0))),"SÍ — stock 0 y Sep cayó (prom Feb-Ago "&amp;TEXT(AVERAGE(INDEX(Ventas!$C$2:$I$5000,MATCH($A453,Ventas!$A$2:$A$5000,0),0)),"#,##0")&amp;")",""))</f>
        <v/>
      </c>
      <c r="AF453" s="60">
        <f t="array" ref="AF453">IF(X453="","",IF(AE453&lt;&gt;"",MAX(X453,AVERAGE(INDEX(Ventas!$C$2:$I$5000,MATCH($A453,Ventas!$A$2:$A$5000,0),0))),X453))</f>
        <v>75</v>
      </c>
      <c r="AG453" s="60">
        <f t="shared" si="8"/>
        <v>-641</v>
      </c>
      <c r="AH453" s="63" t="str">
        <f t="shared" si="9"/>
        <v>PEDIR MENOS</v>
      </c>
    </row>
    <row r="454" ht="13.5" customHeight="1">
      <c r="A454" s="64" t="s">
        <v>1406</v>
      </c>
      <c r="B454" s="65"/>
      <c r="C454" s="65" t="s">
        <v>3862</v>
      </c>
      <c r="D454" s="65" t="s">
        <v>1329</v>
      </c>
      <c r="E454" s="51">
        <v>1940.0</v>
      </c>
      <c r="F454" s="66"/>
      <c r="G454" s="53"/>
      <c r="H454" s="55"/>
      <c r="I454" s="89">
        <v>3000.0</v>
      </c>
      <c r="J454" s="53"/>
      <c r="K454" s="53"/>
      <c r="L454" s="55"/>
      <c r="M454" s="53"/>
      <c r="N454" s="73"/>
      <c r="O454" s="57" t="str">
        <f t="shared" si="1"/>
        <v>PEDIR MENOS — sobran 2,288 m; revisar pedidos sin facturar (3,000 m)</v>
      </c>
      <c r="P454" s="58">
        <f t="shared" si="2"/>
        <v>4940</v>
      </c>
      <c r="Q454" s="1"/>
      <c r="R454" s="1"/>
      <c r="S454" s="1"/>
      <c r="T454" s="1"/>
      <c r="U454" s="1"/>
      <c r="V454" s="1"/>
      <c r="W454" s="1"/>
      <c r="X454" s="60">
        <f>IFERROR(VLOOKUP($A454,Ventas!$A$2:$L$5000,12,FALSE()),"")</f>
        <v>663</v>
      </c>
      <c r="Y454" s="60">
        <f t="shared" si="3"/>
        <v>2652</v>
      </c>
      <c r="Z454" s="61">
        <f t="shared" si="4"/>
        <v>7.5</v>
      </c>
      <c r="AA454" s="60">
        <f t="shared" si="5"/>
        <v>-2288</v>
      </c>
      <c r="AB454" s="62" t="str">
        <f t="shared" si="6"/>
        <v/>
      </c>
      <c r="AC454" s="62" t="str">
        <f t="array" ref="AC454">IF(AH454&lt;&gt;"COMPRAR","",IF(MAX(INDEX(Ventas!$G$2:$G$5000,MATCH($A454,Ventas!$A$2:$A$5000,0)),INDEX(Ventas!$H$2:$H$5000,MATCH($A454,Ventas!$A$2:$A$5000,0)),INDEX(Ventas!$I$2:$I$5000,MATCH($A454,Ventas!$A$2:$A$5000,0)),INDEX(Ventas!$J$2:$J$5000,MATCH($A454,Ventas!$A$2:$A$5000,0)))&gt;0.5*AF454*4,"1 mes = "&amp;TEXT(MAX(INDEX(Ventas!$G$2:$G$5000,MATCH($A454,Ventas!$A$2:$A$5000,0)),INDEX(Ventas!$H$2:$H$5000,MATCH($A454,Ventas!$A$2:$A$5000,0)),INDEX(Ventas!$I$2:$I$5000,MATCH($A454,Ventas!$A$2:$A$5000,0)),INDEX(Ventas!$J$2:$J$5000,MATCH($A454,Ventas!$A$2:$A$5000,0)))/(AF454*4),"0%")&amp;" de 4 meses",""))</f>
        <v/>
      </c>
      <c r="AD454" s="62" t="str">
        <f t="shared" si="7"/>
        <v/>
      </c>
      <c r="AE454" s="62" t="str">
        <f t="array" ref="AE454">IF(X454="","",IF(AND(E454=0,AVERAGE(INDEX(Ventas!$C$2:$I$5000,MATCH($A454,Ventas!$A$2:$A$5000,0),0))&gt;0,INDEX(Ventas!$J$2:$J$5000,MATCH($A454,Ventas!$A$2:$A$5000,0))&lt;0.5*AVERAGE(INDEX(Ventas!$C$2:$I$5000,MATCH($A454,Ventas!$A$2:$A$5000,0),0))),"SÍ — stock 0 y Sep cayó (prom Feb-Ago "&amp;TEXT(AVERAGE(INDEX(Ventas!$C$2:$I$5000,MATCH($A454,Ventas!$A$2:$A$5000,0),0)),"#,##0")&amp;")",""))</f>
        <v/>
      </c>
      <c r="AF454" s="60">
        <f t="array" ref="AF454">IF(X454="","",IF(AE454&lt;&gt;"",MAX(X454,AVERAGE(INDEX(Ventas!$C$2:$I$5000,MATCH($A454,Ventas!$A$2:$A$5000,0),0))),X454))</f>
        <v>663</v>
      </c>
      <c r="AG454" s="60">
        <f t="shared" si="8"/>
        <v>-2288</v>
      </c>
      <c r="AH454" s="63" t="str">
        <f t="shared" si="9"/>
        <v>PEDIR MENOS</v>
      </c>
    </row>
    <row r="455" ht="13.5" customHeight="1">
      <c r="A455" s="49" t="s">
        <v>1402</v>
      </c>
      <c r="B455" s="50"/>
      <c r="C455" s="50" t="s">
        <v>3862</v>
      </c>
      <c r="D455" s="50" t="s">
        <v>336</v>
      </c>
      <c r="E455" s="51">
        <v>510.0</v>
      </c>
      <c r="F455" s="52"/>
      <c r="G455" s="53"/>
      <c r="H455" s="55"/>
      <c r="I455" s="55"/>
      <c r="J455" s="53"/>
      <c r="K455" s="53"/>
      <c r="L455" s="55"/>
      <c r="M455" s="53"/>
      <c r="N455" s="74"/>
      <c r="O455" s="57" t="str">
        <f t="shared" si="1"/>
        <v>OK — cubierto (4.8 meses)</v>
      </c>
      <c r="P455" s="58">
        <f t="shared" si="2"/>
        <v>510</v>
      </c>
      <c r="Q455" s="1"/>
      <c r="R455" s="1"/>
      <c r="S455" s="1"/>
      <c r="T455" s="1"/>
      <c r="U455" s="1"/>
      <c r="V455" s="1"/>
      <c r="W455" s="1"/>
      <c r="X455" s="60">
        <f>IFERROR(VLOOKUP($A455,Ventas!$A$2:$L$5000,12,FALSE()),"")</f>
        <v>106.125</v>
      </c>
      <c r="Y455" s="60">
        <f t="shared" si="3"/>
        <v>425</v>
      </c>
      <c r="Z455" s="61">
        <f t="shared" si="4"/>
        <v>4.8</v>
      </c>
      <c r="AA455" s="60">
        <f t="shared" si="5"/>
        <v>-85</v>
      </c>
      <c r="AB455" s="62" t="str">
        <f t="shared" si="6"/>
        <v/>
      </c>
      <c r="AC455" s="62" t="str">
        <f t="array" ref="AC455">IF(AH455&lt;&gt;"COMPRAR","",IF(MAX(INDEX(Ventas!$G$2:$G$5000,MATCH($A455,Ventas!$A$2:$A$5000,0)),INDEX(Ventas!$H$2:$H$5000,MATCH($A455,Ventas!$A$2:$A$5000,0)),INDEX(Ventas!$I$2:$I$5000,MATCH($A455,Ventas!$A$2:$A$5000,0)),INDEX(Ventas!$J$2:$J$5000,MATCH($A455,Ventas!$A$2:$A$5000,0)))&gt;0.5*AF455*4,"1 mes = "&amp;TEXT(MAX(INDEX(Ventas!$G$2:$G$5000,MATCH($A455,Ventas!$A$2:$A$5000,0)),INDEX(Ventas!$H$2:$H$5000,MATCH($A455,Ventas!$A$2:$A$5000,0)),INDEX(Ventas!$I$2:$I$5000,MATCH($A455,Ventas!$A$2:$A$5000,0)),INDEX(Ventas!$J$2:$J$5000,MATCH($A455,Ventas!$A$2:$A$5000,0)))/(AF455*4),"0%")&amp;" de 4 meses",""))</f>
        <v/>
      </c>
      <c r="AD455" s="62" t="str">
        <f t="shared" si="7"/>
        <v/>
      </c>
      <c r="AE455" s="62" t="str">
        <f t="array" ref="AE455">IF(X455="","",IF(AND(E455=0,AVERAGE(INDEX(Ventas!$C$2:$I$5000,MATCH($A455,Ventas!$A$2:$A$5000,0),0))&gt;0,INDEX(Ventas!$J$2:$J$5000,MATCH($A455,Ventas!$A$2:$A$5000,0))&lt;0.5*AVERAGE(INDEX(Ventas!$C$2:$I$5000,MATCH($A455,Ventas!$A$2:$A$5000,0),0))),"SÍ — stock 0 y Sep cayó (prom Feb-Ago "&amp;TEXT(AVERAGE(INDEX(Ventas!$C$2:$I$5000,MATCH($A455,Ventas!$A$2:$A$5000,0),0)),"#,##0")&amp;")",""))</f>
        <v/>
      </c>
      <c r="AF455" s="60">
        <f t="array" ref="AF455">IF(X455="","",IF(AE455&lt;&gt;"",MAX(X455,AVERAGE(INDEX(Ventas!$C$2:$I$5000,MATCH($A455,Ventas!$A$2:$A$5000,0),0))),X455))</f>
        <v>106.125</v>
      </c>
      <c r="AG455" s="60">
        <f t="shared" si="8"/>
        <v>-85</v>
      </c>
      <c r="AH455" s="63" t="str">
        <f t="shared" si="9"/>
        <v>OK</v>
      </c>
    </row>
    <row r="456" ht="13.5" customHeight="1">
      <c r="A456" s="64" t="s">
        <v>1404</v>
      </c>
      <c r="B456" s="65"/>
      <c r="C456" s="65" t="s">
        <v>3862</v>
      </c>
      <c r="D456" s="65" t="s">
        <v>3014</v>
      </c>
      <c r="E456" s="51">
        <v>150.0</v>
      </c>
      <c r="F456" s="66"/>
      <c r="G456" s="53"/>
      <c r="H456" s="55"/>
      <c r="I456" s="55"/>
      <c r="J456" s="53"/>
      <c r="K456" s="53"/>
      <c r="L456" s="55"/>
      <c r="M456" s="53"/>
      <c r="N456" s="73"/>
      <c r="O456" s="57" t="str">
        <f t="shared" si="1"/>
        <v>COMPRAR — faltan 50 m para 4 meses</v>
      </c>
      <c r="P456" s="58">
        <f t="shared" si="2"/>
        <v>150</v>
      </c>
      <c r="Q456" s="1"/>
      <c r="R456" s="1"/>
      <c r="S456" s="1"/>
      <c r="T456" s="1"/>
      <c r="U456" s="1"/>
      <c r="V456" s="1"/>
      <c r="W456" s="1"/>
      <c r="X456" s="60">
        <f>IFERROR(VLOOKUP($A456,Ventas!$A$2:$L$5000,12,FALSE()),"")</f>
        <v>50</v>
      </c>
      <c r="Y456" s="60">
        <f t="shared" si="3"/>
        <v>200</v>
      </c>
      <c r="Z456" s="61">
        <f t="shared" si="4"/>
        <v>3</v>
      </c>
      <c r="AA456" s="60">
        <f t="shared" si="5"/>
        <v>50</v>
      </c>
      <c r="AB456" s="62" t="str">
        <f t="shared" si="6"/>
        <v/>
      </c>
      <c r="AC456" s="62" t="str">
        <f t="array" ref="AC456">IF(AH456&lt;&gt;"COMPRAR","",IF(MAX(INDEX(Ventas!$G$2:$G$5000,MATCH($A456,Ventas!$A$2:$A$5000,0)),INDEX(Ventas!$H$2:$H$5000,MATCH($A456,Ventas!$A$2:$A$5000,0)),INDEX(Ventas!$I$2:$I$5000,MATCH($A456,Ventas!$A$2:$A$5000,0)),INDEX(Ventas!$J$2:$J$5000,MATCH($A456,Ventas!$A$2:$A$5000,0)))&gt;0.5*AF456*4,"1 mes = "&amp;TEXT(MAX(INDEX(Ventas!$G$2:$G$5000,MATCH($A456,Ventas!$A$2:$A$5000,0)),INDEX(Ventas!$H$2:$H$5000,MATCH($A456,Ventas!$A$2:$A$5000,0)),INDEX(Ventas!$I$2:$I$5000,MATCH($A456,Ventas!$A$2:$A$5000,0)),INDEX(Ventas!$J$2:$J$5000,MATCH($A456,Ventas!$A$2:$A$5000,0)))/(AF456*4),"0%")&amp;" de 4 meses",""))</f>
        <v/>
      </c>
      <c r="AD456" s="62" t="str">
        <f t="shared" si="7"/>
        <v/>
      </c>
      <c r="AE456" s="62" t="str">
        <f t="array" ref="AE456">IF(X456="","",IF(AND(E456=0,AVERAGE(INDEX(Ventas!$C$2:$I$5000,MATCH($A456,Ventas!$A$2:$A$5000,0),0))&gt;0,INDEX(Ventas!$J$2:$J$5000,MATCH($A456,Ventas!$A$2:$A$5000,0))&lt;0.5*AVERAGE(INDEX(Ventas!$C$2:$I$5000,MATCH($A456,Ventas!$A$2:$A$5000,0),0))),"SÍ — stock 0 y Sep cayó (prom Feb-Ago "&amp;TEXT(AVERAGE(INDEX(Ventas!$C$2:$I$5000,MATCH($A456,Ventas!$A$2:$A$5000,0),0)),"#,##0")&amp;")",""))</f>
        <v/>
      </c>
      <c r="AF456" s="60">
        <f t="array" ref="AF456">IF(X456="","",IF(AE456&lt;&gt;"",MAX(X456,AVERAGE(INDEX(Ventas!$C$2:$I$5000,MATCH($A456,Ventas!$A$2:$A$5000,0),0))),X456))</f>
        <v>50</v>
      </c>
      <c r="AG456" s="60">
        <f t="shared" si="8"/>
        <v>50</v>
      </c>
      <c r="AH456" s="63" t="str">
        <f t="shared" si="9"/>
        <v>COMPRAR</v>
      </c>
    </row>
    <row r="457" ht="13.5" customHeight="1">
      <c r="A457" s="49" t="s">
        <v>1408</v>
      </c>
      <c r="B457" s="50"/>
      <c r="C457" s="50" t="s">
        <v>3862</v>
      </c>
      <c r="D457" s="50" t="s">
        <v>3667</v>
      </c>
      <c r="E457" s="51">
        <v>342.0</v>
      </c>
      <c r="F457" s="52"/>
      <c r="G457" s="53"/>
      <c r="H457" s="55"/>
      <c r="I457" s="55"/>
      <c r="J457" s="53"/>
      <c r="K457" s="53"/>
      <c r="L457" s="55"/>
      <c r="M457" s="53"/>
      <c r="N457" s="74"/>
      <c r="O457" s="57" t="str">
        <f t="shared" si="1"/>
        <v>OK — cubierto (5.1 meses)</v>
      </c>
      <c r="P457" s="58">
        <f t="shared" si="2"/>
        <v>342</v>
      </c>
      <c r="Q457" s="1"/>
      <c r="R457" s="1"/>
      <c r="S457" s="1"/>
      <c r="T457" s="1"/>
      <c r="U457" s="1"/>
      <c r="V457" s="1"/>
      <c r="W457" s="1"/>
      <c r="X457" s="60">
        <f>IFERROR(VLOOKUP($A457,Ventas!$A$2:$L$5000,12,FALSE()),"")</f>
        <v>67.5</v>
      </c>
      <c r="Y457" s="60">
        <f t="shared" si="3"/>
        <v>270</v>
      </c>
      <c r="Z457" s="61">
        <f t="shared" si="4"/>
        <v>5.1</v>
      </c>
      <c r="AA457" s="60">
        <f t="shared" si="5"/>
        <v>-72</v>
      </c>
      <c r="AB457" s="62" t="str">
        <f t="shared" si="6"/>
        <v/>
      </c>
      <c r="AC457" s="62" t="str">
        <f t="array" ref="AC457">IF(AH457&lt;&gt;"COMPRAR","",IF(MAX(INDEX(Ventas!$G$2:$G$5000,MATCH($A457,Ventas!$A$2:$A$5000,0)),INDEX(Ventas!$H$2:$H$5000,MATCH($A457,Ventas!$A$2:$A$5000,0)),INDEX(Ventas!$I$2:$I$5000,MATCH($A457,Ventas!$A$2:$A$5000,0)),INDEX(Ventas!$J$2:$J$5000,MATCH($A457,Ventas!$A$2:$A$5000,0)))&gt;0.5*AF457*4,"1 mes = "&amp;TEXT(MAX(INDEX(Ventas!$G$2:$G$5000,MATCH($A457,Ventas!$A$2:$A$5000,0)),INDEX(Ventas!$H$2:$H$5000,MATCH($A457,Ventas!$A$2:$A$5000,0)),INDEX(Ventas!$I$2:$I$5000,MATCH($A457,Ventas!$A$2:$A$5000,0)),INDEX(Ventas!$J$2:$J$5000,MATCH($A457,Ventas!$A$2:$A$5000,0)))/(AF457*4),"0%")&amp;" de 4 meses",""))</f>
        <v/>
      </c>
      <c r="AD457" s="62" t="str">
        <f t="shared" si="7"/>
        <v/>
      </c>
      <c r="AE457" s="62" t="str">
        <f t="array" ref="AE457">IF(X457="","",IF(AND(E457=0,AVERAGE(INDEX(Ventas!$C$2:$I$5000,MATCH($A457,Ventas!$A$2:$A$5000,0),0))&gt;0,INDEX(Ventas!$J$2:$J$5000,MATCH($A457,Ventas!$A$2:$A$5000,0))&lt;0.5*AVERAGE(INDEX(Ventas!$C$2:$I$5000,MATCH($A457,Ventas!$A$2:$A$5000,0),0))),"SÍ — stock 0 y Sep cayó (prom Feb-Ago "&amp;TEXT(AVERAGE(INDEX(Ventas!$C$2:$I$5000,MATCH($A457,Ventas!$A$2:$A$5000,0),0)),"#,##0")&amp;")",""))</f>
        <v/>
      </c>
      <c r="AF457" s="60">
        <f t="array" ref="AF457">IF(X457="","",IF(AE457&lt;&gt;"",MAX(X457,AVERAGE(INDEX(Ventas!$C$2:$I$5000,MATCH($A457,Ventas!$A$2:$A$5000,0),0))),X457))</f>
        <v>67.5</v>
      </c>
      <c r="AG457" s="60">
        <f t="shared" si="8"/>
        <v>-72</v>
      </c>
      <c r="AH457" s="63" t="str">
        <f t="shared" si="9"/>
        <v>OK</v>
      </c>
    </row>
    <row r="458" ht="13.5" customHeight="1">
      <c r="A458" s="64" t="s">
        <v>1400</v>
      </c>
      <c r="B458" s="65"/>
      <c r="C458" s="65" t="s">
        <v>3862</v>
      </c>
      <c r="D458" s="65" t="s">
        <v>2949</v>
      </c>
      <c r="E458" s="51">
        <v>2603.0</v>
      </c>
      <c r="F458" s="66"/>
      <c r="G458" s="53"/>
      <c r="H458" s="55"/>
      <c r="I458" s="55"/>
      <c r="J458" s="53"/>
      <c r="K458" s="53"/>
      <c r="L458" s="55"/>
      <c r="M458" s="53"/>
      <c r="N458" s="73"/>
      <c r="O458" s="57" t="str">
        <f t="shared" si="1"/>
        <v>SOBRESTOCK — 22.8 meses de cobertura</v>
      </c>
      <c r="P458" s="58">
        <f t="shared" si="2"/>
        <v>2603</v>
      </c>
      <c r="Q458" s="1"/>
      <c r="R458" s="1"/>
      <c r="S458" s="1"/>
      <c r="T458" s="1"/>
      <c r="U458" s="1"/>
      <c r="V458" s="1"/>
      <c r="W458" s="1"/>
      <c r="X458" s="60">
        <f>IFERROR(VLOOKUP($A458,Ventas!$A$2:$L$5000,12,FALSE()),"")</f>
        <v>114.2</v>
      </c>
      <c r="Y458" s="60">
        <f t="shared" si="3"/>
        <v>457</v>
      </c>
      <c r="Z458" s="61">
        <f t="shared" si="4"/>
        <v>22.8</v>
      </c>
      <c r="AA458" s="60">
        <f t="shared" si="5"/>
        <v>-2146</v>
      </c>
      <c r="AB458" s="62" t="str">
        <f t="shared" si="6"/>
        <v/>
      </c>
      <c r="AC458" s="62" t="str">
        <f t="array" ref="AC458">IF(AH458&lt;&gt;"COMPRAR","",IF(MAX(INDEX(Ventas!$G$2:$G$5000,MATCH($A458,Ventas!$A$2:$A$5000,0)),INDEX(Ventas!$H$2:$H$5000,MATCH($A458,Ventas!$A$2:$A$5000,0)),INDEX(Ventas!$I$2:$I$5000,MATCH($A458,Ventas!$A$2:$A$5000,0)),INDEX(Ventas!$J$2:$J$5000,MATCH($A458,Ventas!$A$2:$A$5000,0)))&gt;0.5*AF458*4,"1 mes = "&amp;TEXT(MAX(INDEX(Ventas!$G$2:$G$5000,MATCH($A458,Ventas!$A$2:$A$5000,0)),INDEX(Ventas!$H$2:$H$5000,MATCH($A458,Ventas!$A$2:$A$5000,0)),INDEX(Ventas!$I$2:$I$5000,MATCH($A458,Ventas!$A$2:$A$5000,0)),INDEX(Ventas!$J$2:$J$5000,MATCH($A458,Ventas!$A$2:$A$5000,0)))/(AF458*4),"0%")&amp;" de 4 meses",""))</f>
        <v/>
      </c>
      <c r="AD458" s="62" t="str">
        <f t="shared" si="7"/>
        <v/>
      </c>
      <c r="AE458" s="62" t="str">
        <f t="array" ref="AE458">IF(X458="","",IF(AND(E458=0,AVERAGE(INDEX(Ventas!$C$2:$I$5000,MATCH($A458,Ventas!$A$2:$A$5000,0),0))&gt;0,INDEX(Ventas!$J$2:$J$5000,MATCH($A458,Ventas!$A$2:$A$5000,0))&lt;0.5*AVERAGE(INDEX(Ventas!$C$2:$I$5000,MATCH($A458,Ventas!$A$2:$A$5000,0),0))),"SÍ — stock 0 y Sep cayó (prom Feb-Ago "&amp;TEXT(AVERAGE(INDEX(Ventas!$C$2:$I$5000,MATCH($A458,Ventas!$A$2:$A$5000,0),0)),"#,##0")&amp;")",""))</f>
        <v/>
      </c>
      <c r="AF458" s="60">
        <f t="array" ref="AF458">IF(X458="","",IF(AE458&lt;&gt;"",MAX(X458,AVERAGE(INDEX(Ventas!$C$2:$I$5000,MATCH($A458,Ventas!$A$2:$A$5000,0),0))),X458))</f>
        <v>114.2</v>
      </c>
      <c r="AG458" s="60">
        <f t="shared" si="8"/>
        <v>-2146</v>
      </c>
      <c r="AH458" s="63" t="str">
        <f t="shared" si="9"/>
        <v>SOBRESTOCK</v>
      </c>
    </row>
    <row r="459" ht="13.5" customHeight="1">
      <c r="A459" s="49" t="s">
        <v>1412</v>
      </c>
      <c r="B459" s="50"/>
      <c r="C459" s="50" t="s">
        <v>3862</v>
      </c>
      <c r="D459" s="50" t="s">
        <v>3640</v>
      </c>
      <c r="E459" s="51">
        <v>431.0</v>
      </c>
      <c r="F459" s="52"/>
      <c r="G459" s="53"/>
      <c r="H459" s="55"/>
      <c r="I459" s="55"/>
      <c r="J459" s="53"/>
      <c r="K459" s="53"/>
      <c r="L459" s="55"/>
      <c r="M459" s="53"/>
      <c r="N459" s="74"/>
      <c r="O459" s="57" t="str">
        <f t="shared" si="1"/>
        <v>SOBRESTOCK — 17.2 meses de cobertura</v>
      </c>
      <c r="P459" s="58">
        <f t="shared" si="2"/>
        <v>431</v>
      </c>
      <c r="Q459" s="1"/>
      <c r="R459" s="1"/>
      <c r="S459" s="1"/>
      <c r="T459" s="1"/>
      <c r="U459" s="1"/>
      <c r="V459" s="1"/>
      <c r="W459" s="1"/>
      <c r="X459" s="60">
        <f>IFERROR(VLOOKUP($A459,Ventas!$A$2:$L$5000,12,FALSE()),"")</f>
        <v>25</v>
      </c>
      <c r="Y459" s="60">
        <f t="shared" si="3"/>
        <v>100</v>
      </c>
      <c r="Z459" s="61">
        <f t="shared" si="4"/>
        <v>17.2</v>
      </c>
      <c r="AA459" s="60">
        <f t="shared" si="5"/>
        <v>-331</v>
      </c>
      <c r="AB459" s="62" t="str">
        <f t="shared" si="6"/>
        <v/>
      </c>
      <c r="AC459" s="62" t="str">
        <f t="array" ref="AC459">IF(AH459&lt;&gt;"COMPRAR","",IF(MAX(INDEX(Ventas!$G$2:$G$5000,MATCH($A459,Ventas!$A$2:$A$5000,0)),INDEX(Ventas!$H$2:$H$5000,MATCH($A459,Ventas!$A$2:$A$5000,0)),INDEX(Ventas!$I$2:$I$5000,MATCH($A459,Ventas!$A$2:$A$5000,0)),INDEX(Ventas!$J$2:$J$5000,MATCH($A459,Ventas!$A$2:$A$5000,0)))&gt;0.5*AF459*4,"1 mes = "&amp;TEXT(MAX(INDEX(Ventas!$G$2:$G$5000,MATCH($A459,Ventas!$A$2:$A$5000,0)),INDEX(Ventas!$H$2:$H$5000,MATCH($A459,Ventas!$A$2:$A$5000,0)),INDEX(Ventas!$I$2:$I$5000,MATCH($A459,Ventas!$A$2:$A$5000,0)),INDEX(Ventas!$J$2:$J$5000,MATCH($A459,Ventas!$A$2:$A$5000,0)))/(AF459*4),"0%")&amp;" de 4 meses",""))</f>
        <v/>
      </c>
      <c r="AD459" s="62" t="str">
        <f t="shared" si="7"/>
        <v/>
      </c>
      <c r="AE459" s="62" t="str">
        <f t="array" ref="AE459">IF(X459="","",IF(AND(E459=0,AVERAGE(INDEX(Ventas!$C$2:$I$5000,MATCH($A459,Ventas!$A$2:$A$5000,0),0))&gt;0,INDEX(Ventas!$J$2:$J$5000,MATCH($A459,Ventas!$A$2:$A$5000,0))&lt;0.5*AVERAGE(INDEX(Ventas!$C$2:$I$5000,MATCH($A459,Ventas!$A$2:$A$5000,0),0))),"SÍ — stock 0 y Sep cayó (prom Feb-Ago "&amp;TEXT(AVERAGE(INDEX(Ventas!$C$2:$I$5000,MATCH($A459,Ventas!$A$2:$A$5000,0),0)),"#,##0")&amp;")",""))</f>
        <v/>
      </c>
      <c r="AF459" s="60">
        <f t="array" ref="AF459">IF(X459="","",IF(AE459&lt;&gt;"",MAX(X459,AVERAGE(INDEX(Ventas!$C$2:$I$5000,MATCH($A459,Ventas!$A$2:$A$5000,0),0))),X459))</f>
        <v>25</v>
      </c>
      <c r="AG459" s="60">
        <f t="shared" si="8"/>
        <v>-331</v>
      </c>
      <c r="AH459" s="63" t="str">
        <f t="shared" si="9"/>
        <v>SOBRESTOCK</v>
      </c>
    </row>
    <row r="460" ht="13.5" customHeight="1">
      <c r="A460" s="64" t="s">
        <v>1398</v>
      </c>
      <c r="B460" s="65"/>
      <c r="C460" s="65" t="s">
        <v>3862</v>
      </c>
      <c r="D460" s="65" t="s">
        <v>3641</v>
      </c>
      <c r="E460" s="51">
        <v>354.0</v>
      </c>
      <c r="F460" s="66"/>
      <c r="G460" s="53"/>
      <c r="H460" s="55"/>
      <c r="I460" s="55"/>
      <c r="J460" s="53"/>
      <c r="K460" s="53"/>
      <c r="L460" s="55"/>
      <c r="M460" s="53"/>
      <c r="N460" s="73"/>
      <c r="O460" s="57" t="str">
        <f t="shared" si="1"/>
        <v>SOBRESTOCK — 14.2 meses de cobertura</v>
      </c>
      <c r="P460" s="58">
        <f t="shared" si="2"/>
        <v>354</v>
      </c>
      <c r="Q460" s="1"/>
      <c r="R460" s="1"/>
      <c r="S460" s="1"/>
      <c r="T460" s="1"/>
      <c r="U460" s="1"/>
      <c r="V460" s="1"/>
      <c r="W460" s="1"/>
      <c r="X460" s="60">
        <f>IFERROR(VLOOKUP($A460,Ventas!$A$2:$L$5000,12,FALSE()),"")</f>
        <v>25</v>
      </c>
      <c r="Y460" s="60">
        <f t="shared" si="3"/>
        <v>100</v>
      </c>
      <c r="Z460" s="61">
        <f t="shared" si="4"/>
        <v>14.2</v>
      </c>
      <c r="AA460" s="60">
        <f t="shared" si="5"/>
        <v>-254</v>
      </c>
      <c r="AB460" s="62" t="str">
        <f t="shared" si="6"/>
        <v/>
      </c>
      <c r="AC460" s="62" t="str">
        <f t="array" ref="AC460">IF(AH460&lt;&gt;"COMPRAR","",IF(MAX(INDEX(Ventas!$G$2:$G$5000,MATCH($A460,Ventas!$A$2:$A$5000,0)),INDEX(Ventas!$H$2:$H$5000,MATCH($A460,Ventas!$A$2:$A$5000,0)),INDEX(Ventas!$I$2:$I$5000,MATCH($A460,Ventas!$A$2:$A$5000,0)),INDEX(Ventas!$J$2:$J$5000,MATCH($A460,Ventas!$A$2:$A$5000,0)))&gt;0.5*AF460*4,"1 mes = "&amp;TEXT(MAX(INDEX(Ventas!$G$2:$G$5000,MATCH($A460,Ventas!$A$2:$A$5000,0)),INDEX(Ventas!$H$2:$H$5000,MATCH($A460,Ventas!$A$2:$A$5000,0)),INDEX(Ventas!$I$2:$I$5000,MATCH($A460,Ventas!$A$2:$A$5000,0)),INDEX(Ventas!$J$2:$J$5000,MATCH($A460,Ventas!$A$2:$A$5000,0)))/(AF460*4),"0%")&amp;" de 4 meses",""))</f>
        <v/>
      </c>
      <c r="AD460" s="62" t="str">
        <f t="shared" si="7"/>
        <v/>
      </c>
      <c r="AE460" s="62" t="str">
        <f t="array" ref="AE460">IF(X460="","",IF(AND(E460=0,AVERAGE(INDEX(Ventas!$C$2:$I$5000,MATCH($A460,Ventas!$A$2:$A$5000,0),0))&gt;0,INDEX(Ventas!$J$2:$J$5000,MATCH($A460,Ventas!$A$2:$A$5000,0))&lt;0.5*AVERAGE(INDEX(Ventas!$C$2:$I$5000,MATCH($A460,Ventas!$A$2:$A$5000,0),0))),"SÍ — stock 0 y Sep cayó (prom Feb-Ago "&amp;TEXT(AVERAGE(INDEX(Ventas!$C$2:$I$5000,MATCH($A460,Ventas!$A$2:$A$5000,0),0)),"#,##0")&amp;")",""))</f>
        <v/>
      </c>
      <c r="AF460" s="60">
        <f t="array" ref="AF460">IF(X460="","",IF(AE460&lt;&gt;"",MAX(X460,AVERAGE(INDEX(Ventas!$C$2:$I$5000,MATCH($A460,Ventas!$A$2:$A$5000,0),0))),X460))</f>
        <v>25</v>
      </c>
      <c r="AG460" s="60">
        <f t="shared" si="8"/>
        <v>-254</v>
      </c>
      <c r="AH460" s="63" t="str">
        <f t="shared" si="9"/>
        <v>SOBRESTOCK</v>
      </c>
    </row>
    <row r="461" ht="13.5" customHeight="1">
      <c r="A461" s="49" t="s">
        <v>1410</v>
      </c>
      <c r="B461" s="50"/>
      <c r="C461" s="50" t="s">
        <v>3862</v>
      </c>
      <c r="D461" s="50" t="s">
        <v>2572</v>
      </c>
      <c r="E461" s="51">
        <v>321.0</v>
      </c>
      <c r="F461" s="52"/>
      <c r="G461" s="53"/>
      <c r="H461" s="55"/>
      <c r="I461" s="55"/>
      <c r="J461" s="53"/>
      <c r="K461" s="53"/>
      <c r="L461" s="55"/>
      <c r="M461" s="53"/>
      <c r="N461" s="74"/>
      <c r="O461" s="57" t="str">
        <f t="shared" si="1"/>
        <v>SOBRESTOCK — 26.8 meses de cobertura</v>
      </c>
      <c r="P461" s="58">
        <f t="shared" si="2"/>
        <v>321</v>
      </c>
      <c r="Q461" s="1"/>
      <c r="R461" s="1"/>
      <c r="S461" s="1"/>
      <c r="T461" s="1"/>
      <c r="U461" s="1"/>
      <c r="V461" s="1"/>
      <c r="W461" s="1"/>
      <c r="X461" s="60">
        <f>IFERROR(VLOOKUP($A461,Ventas!$A$2:$L$5000,12,FALSE()),"")</f>
        <v>12</v>
      </c>
      <c r="Y461" s="60">
        <f t="shared" si="3"/>
        <v>48</v>
      </c>
      <c r="Z461" s="61">
        <f t="shared" si="4"/>
        <v>26.8</v>
      </c>
      <c r="AA461" s="60">
        <f t="shared" si="5"/>
        <v>-273</v>
      </c>
      <c r="AB461" s="62" t="str">
        <f t="shared" si="6"/>
        <v/>
      </c>
      <c r="AC461" s="62" t="str">
        <f t="array" ref="AC461">IF(AH461&lt;&gt;"COMPRAR","",IF(MAX(INDEX(Ventas!$G$2:$G$5000,MATCH($A461,Ventas!$A$2:$A$5000,0)),INDEX(Ventas!$H$2:$H$5000,MATCH($A461,Ventas!$A$2:$A$5000,0)),INDEX(Ventas!$I$2:$I$5000,MATCH($A461,Ventas!$A$2:$A$5000,0)),INDEX(Ventas!$J$2:$J$5000,MATCH($A461,Ventas!$A$2:$A$5000,0)))&gt;0.5*AF461*4,"1 mes = "&amp;TEXT(MAX(INDEX(Ventas!$G$2:$G$5000,MATCH($A461,Ventas!$A$2:$A$5000,0)),INDEX(Ventas!$H$2:$H$5000,MATCH($A461,Ventas!$A$2:$A$5000,0)),INDEX(Ventas!$I$2:$I$5000,MATCH($A461,Ventas!$A$2:$A$5000,0)),INDEX(Ventas!$J$2:$J$5000,MATCH($A461,Ventas!$A$2:$A$5000,0)))/(AF461*4),"0%")&amp;" de 4 meses",""))</f>
        <v/>
      </c>
      <c r="AD461" s="62" t="str">
        <f t="shared" si="7"/>
        <v/>
      </c>
      <c r="AE461" s="62" t="str">
        <f t="array" ref="AE461">IF(X461="","",IF(AND(E461=0,AVERAGE(INDEX(Ventas!$C$2:$I$5000,MATCH($A461,Ventas!$A$2:$A$5000,0),0))&gt;0,INDEX(Ventas!$J$2:$J$5000,MATCH($A461,Ventas!$A$2:$A$5000,0))&lt;0.5*AVERAGE(INDEX(Ventas!$C$2:$I$5000,MATCH($A461,Ventas!$A$2:$A$5000,0),0))),"SÍ — stock 0 y Sep cayó (prom Feb-Ago "&amp;TEXT(AVERAGE(INDEX(Ventas!$C$2:$I$5000,MATCH($A461,Ventas!$A$2:$A$5000,0),0)),"#,##0")&amp;")",""))</f>
        <v/>
      </c>
      <c r="AF461" s="60">
        <f t="array" ref="AF461">IF(X461="","",IF(AE461&lt;&gt;"",MAX(X461,AVERAGE(INDEX(Ventas!$C$2:$I$5000,MATCH($A461,Ventas!$A$2:$A$5000,0),0))),X461))</f>
        <v>12</v>
      </c>
      <c r="AG461" s="60">
        <f t="shared" si="8"/>
        <v>-273</v>
      </c>
      <c r="AH461" s="63" t="str">
        <f t="shared" si="9"/>
        <v>SOBRESTOCK</v>
      </c>
    </row>
    <row r="462" ht="13.5" customHeight="1">
      <c r="A462" s="64" t="s">
        <v>2279</v>
      </c>
      <c r="B462" s="65" t="s">
        <v>3863</v>
      </c>
      <c r="C462" s="65" t="s">
        <v>3864</v>
      </c>
      <c r="D462" s="65" t="s">
        <v>1329</v>
      </c>
      <c r="E462" s="51">
        <v>50.0</v>
      </c>
      <c r="F462" s="66"/>
      <c r="G462" s="53"/>
      <c r="H462" s="55"/>
      <c r="I462" s="55"/>
      <c r="J462" s="53"/>
      <c r="K462" s="53"/>
      <c r="L462" s="55"/>
      <c r="M462" s="53"/>
      <c r="N462" s="73"/>
      <c r="O462" s="57" t="str">
        <f t="shared" si="1"/>
        <v>COMPRAR — faltan 223 m para 4 meses</v>
      </c>
      <c r="P462" s="58">
        <f t="shared" si="2"/>
        <v>50</v>
      </c>
      <c r="Q462" s="1"/>
      <c r="R462" s="1"/>
      <c r="S462" s="1"/>
      <c r="T462" s="1"/>
      <c r="U462" s="1"/>
      <c r="V462" s="1"/>
      <c r="W462" s="1"/>
      <c r="X462" s="60">
        <f>IFERROR(VLOOKUP($A462,Ventas!$A$2:$L$5000,12,FALSE()),"")</f>
        <v>68.25</v>
      </c>
      <c r="Y462" s="60">
        <f t="shared" si="3"/>
        <v>273</v>
      </c>
      <c r="Z462" s="61">
        <f t="shared" si="4"/>
        <v>0.7</v>
      </c>
      <c r="AA462" s="60">
        <f t="shared" si="5"/>
        <v>223</v>
      </c>
      <c r="AB462" s="62" t="str">
        <f t="shared" si="6"/>
        <v/>
      </c>
      <c r="AC462" s="62" t="str">
        <f t="array" ref="AC462">IF(AH462&lt;&gt;"COMPRAR","",IF(MAX(INDEX(Ventas!$G$2:$G$5000,MATCH($A462,Ventas!$A$2:$A$5000,0)),INDEX(Ventas!$H$2:$H$5000,MATCH($A462,Ventas!$A$2:$A$5000,0)),INDEX(Ventas!$I$2:$I$5000,MATCH($A462,Ventas!$A$2:$A$5000,0)),INDEX(Ventas!$J$2:$J$5000,MATCH($A462,Ventas!$A$2:$A$5000,0)))&gt;0.5*AF462*4,"1 mes = "&amp;TEXT(MAX(INDEX(Ventas!$G$2:$G$5000,MATCH($A462,Ventas!$A$2:$A$5000,0)),INDEX(Ventas!$H$2:$H$5000,MATCH($A462,Ventas!$A$2:$A$5000,0)),INDEX(Ventas!$I$2:$I$5000,MATCH($A462,Ventas!$A$2:$A$5000,0)),INDEX(Ventas!$J$2:$J$5000,MATCH($A462,Ventas!$A$2:$A$5000,0)))/(AF462*4),"0%")&amp;" de 4 meses",""))</f>
        <v/>
      </c>
      <c r="AD462" s="62" t="str">
        <f t="shared" si="7"/>
        <v/>
      </c>
      <c r="AE462" s="62" t="str">
        <f t="array" ref="AE462">IF(X462="","",IF(AND(E462=0,AVERAGE(INDEX(Ventas!$C$2:$I$5000,MATCH($A462,Ventas!$A$2:$A$5000,0),0))&gt;0,INDEX(Ventas!$J$2:$J$5000,MATCH($A462,Ventas!$A$2:$A$5000,0))&lt;0.5*AVERAGE(INDEX(Ventas!$C$2:$I$5000,MATCH($A462,Ventas!$A$2:$A$5000,0),0))),"SÍ — stock 0 y Sep cayó (prom Feb-Ago "&amp;TEXT(AVERAGE(INDEX(Ventas!$C$2:$I$5000,MATCH($A462,Ventas!$A$2:$A$5000,0),0)),"#,##0")&amp;")",""))</f>
        <v/>
      </c>
      <c r="AF462" s="60">
        <f t="array" ref="AF462">IF(X462="","",IF(AE462&lt;&gt;"",MAX(X462,AVERAGE(INDEX(Ventas!$C$2:$I$5000,MATCH($A462,Ventas!$A$2:$A$5000,0),0))),X462))</f>
        <v>68.25</v>
      </c>
      <c r="AG462" s="60">
        <f t="shared" si="8"/>
        <v>223</v>
      </c>
      <c r="AH462" s="63" t="str">
        <f t="shared" si="9"/>
        <v>COMPRAR</v>
      </c>
    </row>
    <row r="463" ht="13.5" customHeight="1">
      <c r="A463" s="49" t="s">
        <v>2273</v>
      </c>
      <c r="B463" s="50" t="s">
        <v>3863</v>
      </c>
      <c r="C463" s="50" t="s">
        <v>3864</v>
      </c>
      <c r="D463" s="50" t="s">
        <v>2949</v>
      </c>
      <c r="E463" s="51">
        <v>0.0</v>
      </c>
      <c r="F463" s="52"/>
      <c r="G463" s="53"/>
      <c r="H463" s="55"/>
      <c r="I463" s="55"/>
      <c r="J463" s="53"/>
      <c r="K463" s="53"/>
      <c r="L463" s="55"/>
      <c r="M463" s="53"/>
      <c r="N463" s="74"/>
      <c r="O463" s="57" t="str">
        <f t="shared" si="1"/>
        <v>SIN VENTAS Jun-Sep — no comprar</v>
      </c>
      <c r="P463" s="58">
        <f t="shared" si="2"/>
        <v>0</v>
      </c>
      <c r="Q463" s="1"/>
      <c r="R463" s="1"/>
      <c r="S463" s="1"/>
      <c r="T463" s="1"/>
      <c r="U463" s="1"/>
      <c r="V463" s="1"/>
      <c r="W463" s="1"/>
      <c r="X463" s="60">
        <f>IFERROR(VLOOKUP($A463,Ventas!$A$2:$L$5000,12,FALSE()),"")</f>
        <v>0</v>
      </c>
      <c r="Y463" s="60">
        <f t="shared" si="3"/>
        <v>0</v>
      </c>
      <c r="Z463" s="61" t="str">
        <f t="shared" si="4"/>
        <v/>
      </c>
      <c r="AA463" s="60">
        <f t="shared" si="5"/>
        <v>0</v>
      </c>
      <c r="AB463" s="62" t="str">
        <f t="shared" si="6"/>
        <v/>
      </c>
      <c r="AC463" s="62" t="str">
        <f t="array" ref="AC463">IF(AH463&lt;&gt;"COMPRAR","",IF(MAX(INDEX(Ventas!$G$2:$G$5000,MATCH($A463,Ventas!$A$2:$A$5000,0)),INDEX(Ventas!$H$2:$H$5000,MATCH($A463,Ventas!$A$2:$A$5000,0)),INDEX(Ventas!$I$2:$I$5000,MATCH($A463,Ventas!$A$2:$A$5000,0)),INDEX(Ventas!$J$2:$J$5000,MATCH($A463,Ventas!$A$2:$A$5000,0)))&gt;0.5*AF463*4,"1 mes = "&amp;TEXT(MAX(INDEX(Ventas!$G$2:$G$5000,MATCH($A463,Ventas!$A$2:$A$5000,0)),INDEX(Ventas!$H$2:$H$5000,MATCH($A463,Ventas!$A$2:$A$5000,0)),INDEX(Ventas!$I$2:$I$5000,MATCH($A463,Ventas!$A$2:$A$5000,0)),INDEX(Ventas!$J$2:$J$5000,MATCH($A463,Ventas!$A$2:$A$5000,0)))/(AF463*4),"0%")&amp;" de 4 meses",""))</f>
        <v/>
      </c>
      <c r="AD463" s="62" t="str">
        <f t="shared" si="7"/>
        <v/>
      </c>
      <c r="AE463" s="62" t="str">
        <f t="array" ref="AE463">IF(X463="","",IF(AND(E463=0,AVERAGE(INDEX(Ventas!$C$2:$I$5000,MATCH($A463,Ventas!$A$2:$A$5000,0),0))&gt;0,INDEX(Ventas!$J$2:$J$5000,MATCH($A463,Ventas!$A$2:$A$5000,0))&lt;0.5*AVERAGE(INDEX(Ventas!$C$2:$I$5000,MATCH($A463,Ventas!$A$2:$A$5000,0),0))),"SÍ — stock 0 y Sep cayó (prom Feb-Ago "&amp;TEXT(AVERAGE(INDEX(Ventas!$C$2:$I$5000,MATCH($A463,Ventas!$A$2:$A$5000,0),0)),"#,##0")&amp;")",""))</f>
        <v>SÍ — stock 0 y Sep cayó (prom Feb-Ago 7)</v>
      </c>
      <c r="AF463" s="60">
        <f t="array" ref="AF463">IF(X463="","",IF(AE463&lt;&gt;"",MAX(X463,AVERAGE(INDEX(Ventas!$C$2:$I$5000,MATCH($A463,Ventas!$A$2:$A$5000,0),0))),X463))</f>
        <v>7.142857143</v>
      </c>
      <c r="AG463" s="60">
        <f t="shared" si="8"/>
        <v>29</v>
      </c>
      <c r="AH463" s="63" t="str">
        <f t="shared" si="9"/>
        <v>COMPRAR</v>
      </c>
    </row>
    <row r="464" ht="13.5" customHeight="1">
      <c r="A464" s="64" t="s">
        <v>2277</v>
      </c>
      <c r="B464" s="65" t="s">
        <v>3863</v>
      </c>
      <c r="C464" s="65" t="s">
        <v>3864</v>
      </c>
      <c r="D464" s="65" t="s">
        <v>3828</v>
      </c>
      <c r="E464" s="51">
        <v>117.0</v>
      </c>
      <c r="F464" s="66"/>
      <c r="G464" s="53"/>
      <c r="H464" s="55"/>
      <c r="I464" s="55"/>
      <c r="J464" s="53"/>
      <c r="K464" s="53"/>
      <c r="L464" s="55"/>
      <c r="M464" s="53"/>
      <c r="N464" s="73"/>
      <c r="O464" s="57" t="str">
        <f t="shared" si="1"/>
        <v>SOBRESTOCK — 9.8 meses de cobertura</v>
      </c>
      <c r="P464" s="58">
        <f t="shared" si="2"/>
        <v>117</v>
      </c>
      <c r="Q464" s="1"/>
      <c r="R464" s="1"/>
      <c r="S464" s="1"/>
      <c r="T464" s="1"/>
      <c r="U464" s="1"/>
      <c r="V464" s="1"/>
      <c r="W464" s="1"/>
      <c r="X464" s="60">
        <f>IFERROR(VLOOKUP($A464,Ventas!$A$2:$L$5000,12,FALSE()),"")</f>
        <v>12</v>
      </c>
      <c r="Y464" s="60">
        <f t="shared" si="3"/>
        <v>48</v>
      </c>
      <c r="Z464" s="61">
        <f t="shared" si="4"/>
        <v>9.8</v>
      </c>
      <c r="AA464" s="60">
        <f t="shared" si="5"/>
        <v>-69</v>
      </c>
      <c r="AB464" s="62" t="str">
        <f t="shared" si="6"/>
        <v/>
      </c>
      <c r="AC464" s="62" t="str">
        <f t="array" ref="AC464">IF(AH464&lt;&gt;"COMPRAR","",IF(MAX(INDEX(Ventas!$G$2:$G$5000,MATCH($A464,Ventas!$A$2:$A$5000,0)),INDEX(Ventas!$H$2:$H$5000,MATCH($A464,Ventas!$A$2:$A$5000,0)),INDEX(Ventas!$I$2:$I$5000,MATCH($A464,Ventas!$A$2:$A$5000,0)),INDEX(Ventas!$J$2:$J$5000,MATCH($A464,Ventas!$A$2:$A$5000,0)))&gt;0.5*AF464*4,"1 mes = "&amp;TEXT(MAX(INDEX(Ventas!$G$2:$G$5000,MATCH($A464,Ventas!$A$2:$A$5000,0)),INDEX(Ventas!$H$2:$H$5000,MATCH($A464,Ventas!$A$2:$A$5000,0)),INDEX(Ventas!$I$2:$I$5000,MATCH($A464,Ventas!$A$2:$A$5000,0)),INDEX(Ventas!$J$2:$J$5000,MATCH($A464,Ventas!$A$2:$A$5000,0)))/(AF464*4),"0%")&amp;" de 4 meses",""))</f>
        <v/>
      </c>
      <c r="AD464" s="62" t="str">
        <f t="shared" si="7"/>
        <v/>
      </c>
      <c r="AE464" s="62" t="str">
        <f t="array" ref="AE464">IF(X464="","",IF(AND(E464=0,AVERAGE(INDEX(Ventas!$C$2:$I$5000,MATCH($A464,Ventas!$A$2:$A$5000,0),0))&gt;0,INDEX(Ventas!$J$2:$J$5000,MATCH($A464,Ventas!$A$2:$A$5000,0))&lt;0.5*AVERAGE(INDEX(Ventas!$C$2:$I$5000,MATCH($A464,Ventas!$A$2:$A$5000,0),0))),"SÍ — stock 0 y Sep cayó (prom Feb-Ago "&amp;TEXT(AVERAGE(INDEX(Ventas!$C$2:$I$5000,MATCH($A464,Ventas!$A$2:$A$5000,0),0)),"#,##0")&amp;")",""))</f>
        <v/>
      </c>
      <c r="AF464" s="60">
        <f t="array" ref="AF464">IF(X464="","",IF(AE464&lt;&gt;"",MAX(X464,AVERAGE(INDEX(Ventas!$C$2:$I$5000,MATCH($A464,Ventas!$A$2:$A$5000,0),0))),X464))</f>
        <v>12</v>
      </c>
      <c r="AG464" s="60">
        <f t="shared" si="8"/>
        <v>-69</v>
      </c>
      <c r="AH464" s="63" t="str">
        <f t="shared" si="9"/>
        <v>SOBRESTOCK</v>
      </c>
    </row>
    <row r="465" ht="13.5" customHeight="1">
      <c r="A465" s="49" t="s">
        <v>2275</v>
      </c>
      <c r="B465" s="50" t="s">
        <v>3863</v>
      </c>
      <c r="C465" s="50" t="s">
        <v>3864</v>
      </c>
      <c r="D465" s="50" t="s">
        <v>3014</v>
      </c>
      <c r="E465" s="51">
        <v>400.0</v>
      </c>
      <c r="F465" s="52"/>
      <c r="G465" s="53"/>
      <c r="H465" s="55"/>
      <c r="I465" s="55"/>
      <c r="J465" s="53"/>
      <c r="K465" s="53"/>
      <c r="L465" s="55"/>
      <c r="M465" s="53"/>
      <c r="N465" s="74"/>
      <c r="O465" s="57" t="str">
        <f t="shared" si="1"/>
        <v>SOBRESTOCK — 32.0 meses de cobertura</v>
      </c>
      <c r="P465" s="58">
        <f t="shared" si="2"/>
        <v>400</v>
      </c>
      <c r="Q465" s="1"/>
      <c r="R465" s="1"/>
      <c r="S465" s="1"/>
      <c r="T465" s="1"/>
      <c r="U465" s="1"/>
      <c r="V465" s="1"/>
      <c r="W465" s="1"/>
      <c r="X465" s="60">
        <f>IFERROR(VLOOKUP($A465,Ventas!$A$2:$L$5000,12,FALSE()),"")</f>
        <v>12.5</v>
      </c>
      <c r="Y465" s="60">
        <f t="shared" si="3"/>
        <v>50</v>
      </c>
      <c r="Z465" s="61">
        <f t="shared" si="4"/>
        <v>32</v>
      </c>
      <c r="AA465" s="60">
        <f t="shared" si="5"/>
        <v>-350</v>
      </c>
      <c r="AB465" s="62" t="str">
        <f t="shared" si="6"/>
        <v/>
      </c>
      <c r="AC465" s="62" t="str">
        <f t="array" ref="AC465">IF(AH465&lt;&gt;"COMPRAR","",IF(MAX(INDEX(Ventas!$G$2:$G$5000,MATCH($A465,Ventas!$A$2:$A$5000,0)),INDEX(Ventas!$H$2:$H$5000,MATCH($A465,Ventas!$A$2:$A$5000,0)),INDEX(Ventas!$I$2:$I$5000,MATCH($A465,Ventas!$A$2:$A$5000,0)),INDEX(Ventas!$J$2:$J$5000,MATCH($A465,Ventas!$A$2:$A$5000,0)))&gt;0.5*AF465*4,"1 mes = "&amp;TEXT(MAX(INDEX(Ventas!$G$2:$G$5000,MATCH($A465,Ventas!$A$2:$A$5000,0)),INDEX(Ventas!$H$2:$H$5000,MATCH($A465,Ventas!$A$2:$A$5000,0)),INDEX(Ventas!$I$2:$I$5000,MATCH($A465,Ventas!$A$2:$A$5000,0)),INDEX(Ventas!$J$2:$J$5000,MATCH($A465,Ventas!$A$2:$A$5000,0)))/(AF465*4),"0%")&amp;" de 4 meses",""))</f>
        <v/>
      </c>
      <c r="AD465" s="62" t="str">
        <f t="shared" si="7"/>
        <v/>
      </c>
      <c r="AE465" s="62" t="str">
        <f t="array" ref="AE465">IF(X465="","",IF(AND(E465=0,AVERAGE(INDEX(Ventas!$C$2:$I$5000,MATCH($A465,Ventas!$A$2:$A$5000,0),0))&gt;0,INDEX(Ventas!$J$2:$J$5000,MATCH($A465,Ventas!$A$2:$A$5000,0))&lt;0.5*AVERAGE(INDEX(Ventas!$C$2:$I$5000,MATCH($A465,Ventas!$A$2:$A$5000,0),0))),"SÍ — stock 0 y Sep cayó (prom Feb-Ago "&amp;TEXT(AVERAGE(INDEX(Ventas!$C$2:$I$5000,MATCH($A465,Ventas!$A$2:$A$5000,0),0)),"#,##0")&amp;")",""))</f>
        <v/>
      </c>
      <c r="AF465" s="60">
        <f t="array" ref="AF465">IF(X465="","",IF(AE465&lt;&gt;"",MAX(X465,AVERAGE(INDEX(Ventas!$C$2:$I$5000,MATCH($A465,Ventas!$A$2:$A$5000,0),0))),X465))</f>
        <v>12.5</v>
      </c>
      <c r="AG465" s="60">
        <f t="shared" si="8"/>
        <v>-350</v>
      </c>
      <c r="AH465" s="63" t="str">
        <f t="shared" si="9"/>
        <v>SOBRESTOCK</v>
      </c>
    </row>
    <row r="466" ht="13.5" customHeight="1">
      <c r="A466" s="64" t="s">
        <v>234</v>
      </c>
      <c r="B466" s="65" t="s">
        <v>3865</v>
      </c>
      <c r="C466" s="65" t="s">
        <v>3866</v>
      </c>
      <c r="D466" s="65" t="s">
        <v>1329</v>
      </c>
      <c r="E466" s="51">
        <v>300.0</v>
      </c>
      <c r="F466" s="66">
        <v>6142.0</v>
      </c>
      <c r="G466" s="53"/>
      <c r="H466" s="55"/>
      <c r="I466" s="55"/>
      <c r="J466" s="53">
        <v>12000.0</v>
      </c>
      <c r="K466" s="53"/>
      <c r="L466" s="55"/>
      <c r="M466" s="53">
        <v>12000.0</v>
      </c>
      <c r="N466" s="73"/>
      <c r="O466" s="57" t="str">
        <f t="shared" si="1"/>
        <v>PEDIR MENOS — sobran 5,930 m; revisar pedidos sin facturar (24,000 m)</v>
      </c>
      <c r="P466" s="58">
        <f t="shared" si="2"/>
        <v>30442</v>
      </c>
      <c r="Q466" s="92"/>
      <c r="R466" s="1"/>
      <c r="S466" s="1"/>
      <c r="T466" s="1"/>
      <c r="U466" s="1"/>
      <c r="V466" s="1"/>
      <c r="W466" s="1"/>
      <c r="X466" s="60">
        <f>IFERROR(VLOOKUP($A466,Ventas!$A$2:$L$5000,12,FALSE()),"")</f>
        <v>6128</v>
      </c>
      <c r="Y466" s="60">
        <f t="shared" si="3"/>
        <v>24512</v>
      </c>
      <c r="Z466" s="61">
        <f t="shared" si="4"/>
        <v>5</v>
      </c>
      <c r="AA466" s="60">
        <f t="shared" si="5"/>
        <v>-5930</v>
      </c>
      <c r="AB466" s="62" t="str">
        <f t="shared" si="6"/>
        <v/>
      </c>
      <c r="AC466" s="62" t="str">
        <f t="array" ref="AC466">IF(AH466&lt;&gt;"COMPRAR","",IF(MAX(INDEX(Ventas!$G$2:$G$5000,MATCH($A466,Ventas!$A$2:$A$5000,0)),INDEX(Ventas!$H$2:$H$5000,MATCH($A466,Ventas!$A$2:$A$5000,0)),INDEX(Ventas!$I$2:$I$5000,MATCH($A466,Ventas!$A$2:$A$5000,0)),INDEX(Ventas!$J$2:$J$5000,MATCH($A466,Ventas!$A$2:$A$5000,0)))&gt;0.5*AF466*4,"1 mes = "&amp;TEXT(MAX(INDEX(Ventas!$G$2:$G$5000,MATCH($A466,Ventas!$A$2:$A$5000,0)),INDEX(Ventas!$H$2:$H$5000,MATCH($A466,Ventas!$A$2:$A$5000,0)),INDEX(Ventas!$I$2:$I$5000,MATCH($A466,Ventas!$A$2:$A$5000,0)),INDEX(Ventas!$J$2:$J$5000,MATCH($A466,Ventas!$A$2:$A$5000,0)))/(AF466*4),"0%")&amp;" de 4 meses",""))</f>
        <v/>
      </c>
      <c r="AD466" s="62" t="str">
        <f t="shared" si="7"/>
        <v/>
      </c>
      <c r="AE466" s="62" t="str">
        <f t="array" ref="AE466">IF(X466="","",IF(AND(E466=0,AVERAGE(INDEX(Ventas!$C$2:$I$5000,MATCH($A466,Ventas!$A$2:$A$5000,0),0))&gt;0,INDEX(Ventas!$J$2:$J$5000,MATCH($A466,Ventas!$A$2:$A$5000,0))&lt;0.5*AVERAGE(INDEX(Ventas!$C$2:$I$5000,MATCH($A466,Ventas!$A$2:$A$5000,0),0))),"SÍ — stock 0 y Sep cayó (prom Feb-Ago "&amp;TEXT(AVERAGE(INDEX(Ventas!$C$2:$I$5000,MATCH($A466,Ventas!$A$2:$A$5000,0),0)),"#,##0")&amp;")",""))</f>
        <v/>
      </c>
      <c r="AF466" s="60">
        <f t="array" ref="AF466">IF(X466="","",IF(AE466&lt;&gt;"",MAX(X466,AVERAGE(INDEX(Ventas!$C$2:$I$5000,MATCH($A466,Ventas!$A$2:$A$5000,0),0))),X466))</f>
        <v>6128</v>
      </c>
      <c r="AG466" s="60">
        <f t="shared" si="8"/>
        <v>-5930</v>
      </c>
      <c r="AH466" s="63" t="str">
        <f t="shared" si="9"/>
        <v>PEDIR MENOS</v>
      </c>
    </row>
    <row r="467" ht="13.5" customHeight="1">
      <c r="A467" s="49" t="s">
        <v>236</v>
      </c>
      <c r="B467" s="50" t="s">
        <v>3865</v>
      </c>
      <c r="C467" s="50" t="s">
        <v>3866</v>
      </c>
      <c r="D467" s="50" t="s">
        <v>646</v>
      </c>
      <c r="E467" s="51">
        <v>0.0</v>
      </c>
      <c r="F467" s="52">
        <v>2159.0</v>
      </c>
      <c r="G467" s="53"/>
      <c r="H467" s="55"/>
      <c r="I467" s="55"/>
      <c r="J467" s="53">
        <v>3985.0</v>
      </c>
      <c r="K467" s="53"/>
      <c r="L467" s="55"/>
      <c r="M467" s="53"/>
      <c r="N467" s="74"/>
      <c r="O467" s="57" t="str">
        <f t="shared" si="1"/>
        <v>PEDIR MENOS — sobran 3,872 m; revisar pedidos sin facturar (3,985 m)</v>
      </c>
      <c r="P467" s="58">
        <f t="shared" si="2"/>
        <v>6144</v>
      </c>
      <c r="Q467" s="1"/>
      <c r="R467" s="1"/>
      <c r="S467" s="1"/>
      <c r="T467" s="1"/>
      <c r="U467" s="1"/>
      <c r="V467" s="1"/>
      <c r="W467" s="1"/>
      <c r="X467" s="60">
        <f>IFERROR(VLOOKUP($A467,Ventas!$A$2:$L$5000,12,FALSE()),"")</f>
        <v>568</v>
      </c>
      <c r="Y467" s="60">
        <f t="shared" si="3"/>
        <v>2272</v>
      </c>
      <c r="Z467" s="61">
        <f t="shared" si="4"/>
        <v>10.8</v>
      </c>
      <c r="AA467" s="60">
        <f t="shared" si="5"/>
        <v>-3872</v>
      </c>
      <c r="AB467" s="62" t="str">
        <f t="shared" si="6"/>
        <v/>
      </c>
      <c r="AC467" s="62" t="str">
        <f t="array" ref="AC467">IF(AH467&lt;&gt;"COMPRAR","",IF(MAX(INDEX(Ventas!$G$2:$G$5000,MATCH($A467,Ventas!$A$2:$A$5000,0)),INDEX(Ventas!$H$2:$H$5000,MATCH($A467,Ventas!$A$2:$A$5000,0)),INDEX(Ventas!$I$2:$I$5000,MATCH($A467,Ventas!$A$2:$A$5000,0)),INDEX(Ventas!$J$2:$J$5000,MATCH($A467,Ventas!$A$2:$A$5000,0)))&gt;0.5*AF467*4,"1 mes = "&amp;TEXT(MAX(INDEX(Ventas!$G$2:$G$5000,MATCH($A467,Ventas!$A$2:$A$5000,0)),INDEX(Ventas!$H$2:$H$5000,MATCH($A467,Ventas!$A$2:$A$5000,0)),INDEX(Ventas!$I$2:$I$5000,MATCH($A467,Ventas!$A$2:$A$5000,0)),INDEX(Ventas!$J$2:$J$5000,MATCH($A467,Ventas!$A$2:$A$5000,0)))/(AF467*4),"0%")&amp;" de 4 meses",""))</f>
        <v/>
      </c>
      <c r="AD467" s="62" t="str">
        <f t="shared" si="7"/>
        <v/>
      </c>
      <c r="AE467" s="62" t="str">
        <f t="array" ref="AE467">IF(X467="","",IF(AND(E467=0,AVERAGE(INDEX(Ventas!$C$2:$I$5000,MATCH($A467,Ventas!$A$2:$A$5000,0),0))&gt;0,INDEX(Ventas!$J$2:$J$5000,MATCH($A467,Ventas!$A$2:$A$5000,0))&lt;0.5*AVERAGE(INDEX(Ventas!$C$2:$I$5000,MATCH($A467,Ventas!$A$2:$A$5000,0),0))),"SÍ — stock 0 y Sep cayó (prom Feb-Ago "&amp;TEXT(AVERAGE(INDEX(Ventas!$C$2:$I$5000,MATCH($A467,Ventas!$A$2:$A$5000,0),0)),"#,##0")&amp;")",""))</f>
        <v>SÍ — stock 0 y Sep cayó (prom Feb-Ago 410)</v>
      </c>
      <c r="AF467" s="60">
        <f t="array" ref="AF467">IF(X467="","",IF(AE467&lt;&gt;"",MAX(X467,AVERAGE(INDEX(Ventas!$C$2:$I$5000,MATCH($A467,Ventas!$A$2:$A$5000,0),0))),X467))</f>
        <v>568</v>
      </c>
      <c r="AG467" s="60">
        <f t="shared" si="8"/>
        <v>-3872</v>
      </c>
      <c r="AH467" s="63" t="str">
        <f t="shared" si="9"/>
        <v>PEDIR MENOS</v>
      </c>
    </row>
    <row r="468" ht="13.5" customHeight="1">
      <c r="A468" s="64" t="s">
        <v>230</v>
      </c>
      <c r="B468" s="65" t="s">
        <v>3865</v>
      </c>
      <c r="C468" s="65" t="s">
        <v>3866</v>
      </c>
      <c r="D468" s="65" t="s">
        <v>794</v>
      </c>
      <c r="E468" s="51">
        <v>0.0</v>
      </c>
      <c r="F468" s="66"/>
      <c r="G468" s="53"/>
      <c r="H468" s="55"/>
      <c r="I468" s="55"/>
      <c r="J468" s="53"/>
      <c r="K468" s="53"/>
      <c r="L468" s="55"/>
      <c r="M468" s="53">
        <v>2500.0</v>
      </c>
      <c r="N468" s="73"/>
      <c r="O468" s="57" t="str">
        <f t="shared" si="1"/>
        <v>OK — cubierto (3.7 meses)</v>
      </c>
      <c r="P468" s="58">
        <f t="shared" si="2"/>
        <v>2500</v>
      </c>
      <c r="Q468" s="1"/>
      <c r="R468" s="1"/>
      <c r="S468" s="1"/>
      <c r="T468" s="1"/>
      <c r="U468" s="1"/>
      <c r="V468" s="1"/>
      <c r="W468" s="1"/>
      <c r="X468" s="60">
        <f>IFERROR(VLOOKUP($A468,Ventas!$A$2:$L$5000,12,FALSE()),"")</f>
        <v>674.5</v>
      </c>
      <c r="Y468" s="60">
        <f t="shared" si="3"/>
        <v>2698</v>
      </c>
      <c r="Z468" s="61">
        <f t="shared" si="4"/>
        <v>3.7</v>
      </c>
      <c r="AA468" s="60">
        <f t="shared" si="5"/>
        <v>198</v>
      </c>
      <c r="AB468" s="62" t="str">
        <f t="shared" si="6"/>
        <v/>
      </c>
      <c r="AC468" s="62" t="str">
        <f t="array" ref="AC468">IF(AH468&lt;&gt;"COMPRAR","",IF(MAX(INDEX(Ventas!$G$2:$G$5000,MATCH($A468,Ventas!$A$2:$A$5000,0)),INDEX(Ventas!$H$2:$H$5000,MATCH($A468,Ventas!$A$2:$A$5000,0)),INDEX(Ventas!$I$2:$I$5000,MATCH($A468,Ventas!$A$2:$A$5000,0)),INDEX(Ventas!$J$2:$J$5000,MATCH($A468,Ventas!$A$2:$A$5000,0)))&gt;0.5*AF468*4,"1 mes = "&amp;TEXT(MAX(INDEX(Ventas!$G$2:$G$5000,MATCH($A468,Ventas!$A$2:$A$5000,0)),INDEX(Ventas!$H$2:$H$5000,MATCH($A468,Ventas!$A$2:$A$5000,0)),INDEX(Ventas!$I$2:$I$5000,MATCH($A468,Ventas!$A$2:$A$5000,0)),INDEX(Ventas!$J$2:$J$5000,MATCH($A468,Ventas!$A$2:$A$5000,0)))/(AF468*4),"0%")&amp;" de 4 meses",""))</f>
        <v/>
      </c>
      <c r="AD468" s="62" t="str">
        <f t="shared" si="7"/>
        <v>SÍ — 0 m vs 357 m</v>
      </c>
      <c r="AE468" s="62" t="str">
        <f t="array" ref="AE468">IF(X468="","",IF(AND(E468=0,AVERAGE(INDEX(Ventas!$C$2:$I$5000,MATCH($A468,Ventas!$A$2:$A$5000,0),0))&gt;0,INDEX(Ventas!$J$2:$J$5000,MATCH($A468,Ventas!$A$2:$A$5000,0))&lt;0.5*AVERAGE(INDEX(Ventas!$C$2:$I$5000,MATCH($A468,Ventas!$A$2:$A$5000,0),0))),"SÍ — stock 0 y Sep cayó (prom Feb-Ago "&amp;TEXT(AVERAGE(INDEX(Ventas!$C$2:$I$5000,MATCH($A468,Ventas!$A$2:$A$5000,0),0)),"#,##0")&amp;")",""))</f>
        <v/>
      </c>
      <c r="AF468" s="60">
        <f t="array" ref="AF468">IF(X468="","",IF(AE468&lt;&gt;"",MAX(X468,AVERAGE(INDEX(Ventas!$C$2:$I$5000,MATCH($A468,Ventas!$A$2:$A$5000,0),0))),X468))</f>
        <v>674.5</v>
      </c>
      <c r="AG468" s="60">
        <f t="shared" si="8"/>
        <v>198</v>
      </c>
      <c r="AH468" s="63" t="str">
        <f t="shared" si="9"/>
        <v>OK</v>
      </c>
    </row>
    <row r="469" ht="13.5" customHeight="1">
      <c r="A469" s="49" t="s">
        <v>232</v>
      </c>
      <c r="B469" s="50" t="s">
        <v>3865</v>
      </c>
      <c r="C469" s="50" t="s">
        <v>3866</v>
      </c>
      <c r="D469" s="50" t="s">
        <v>3828</v>
      </c>
      <c r="E469" s="51">
        <v>5350.0</v>
      </c>
      <c r="F469" s="52"/>
      <c r="G469" s="53"/>
      <c r="H469" s="55"/>
      <c r="I469" s="55"/>
      <c r="J469" s="53"/>
      <c r="K469" s="53"/>
      <c r="L469" s="55"/>
      <c r="M469" s="53"/>
      <c r="N469" s="74"/>
      <c r="O469" s="57" t="str">
        <f t="shared" si="1"/>
        <v>SOBRESTOCK — 20.4 meses de cobertura</v>
      </c>
      <c r="P469" s="58">
        <f t="shared" si="2"/>
        <v>5350</v>
      </c>
      <c r="Q469" s="1"/>
      <c r="R469" s="1"/>
      <c r="S469" s="1"/>
      <c r="T469" s="1"/>
      <c r="U469" s="1"/>
      <c r="V469" s="1"/>
      <c r="W469" s="1"/>
      <c r="X469" s="60">
        <f>IFERROR(VLOOKUP($A469,Ventas!$A$2:$L$5000,12,FALSE()),"")</f>
        <v>262.5</v>
      </c>
      <c r="Y469" s="60">
        <f t="shared" si="3"/>
        <v>1050</v>
      </c>
      <c r="Z469" s="61">
        <f t="shared" si="4"/>
        <v>20.4</v>
      </c>
      <c r="AA469" s="60">
        <f t="shared" si="5"/>
        <v>-4300</v>
      </c>
      <c r="AB469" s="62" t="str">
        <f t="shared" si="6"/>
        <v/>
      </c>
      <c r="AC469" s="62" t="str">
        <f t="array" ref="AC469">IF(AH469&lt;&gt;"COMPRAR","",IF(MAX(INDEX(Ventas!$G$2:$G$5000,MATCH($A469,Ventas!$A$2:$A$5000,0)),INDEX(Ventas!$H$2:$H$5000,MATCH($A469,Ventas!$A$2:$A$5000,0)),INDEX(Ventas!$I$2:$I$5000,MATCH($A469,Ventas!$A$2:$A$5000,0)),INDEX(Ventas!$J$2:$J$5000,MATCH($A469,Ventas!$A$2:$A$5000,0)))&gt;0.5*AF469*4,"1 mes = "&amp;TEXT(MAX(INDEX(Ventas!$G$2:$G$5000,MATCH($A469,Ventas!$A$2:$A$5000,0)),INDEX(Ventas!$H$2:$H$5000,MATCH($A469,Ventas!$A$2:$A$5000,0)),INDEX(Ventas!$I$2:$I$5000,MATCH($A469,Ventas!$A$2:$A$5000,0)),INDEX(Ventas!$J$2:$J$5000,MATCH($A469,Ventas!$A$2:$A$5000,0)))/(AF469*4),"0%")&amp;" de 4 meses",""))</f>
        <v/>
      </c>
      <c r="AD469" s="62" t="str">
        <f t="shared" si="7"/>
        <v/>
      </c>
      <c r="AE469" s="62" t="str">
        <f t="array" ref="AE469">IF(X469="","",IF(AND(E469=0,AVERAGE(INDEX(Ventas!$C$2:$I$5000,MATCH($A469,Ventas!$A$2:$A$5000,0),0))&gt;0,INDEX(Ventas!$J$2:$J$5000,MATCH($A469,Ventas!$A$2:$A$5000,0))&lt;0.5*AVERAGE(INDEX(Ventas!$C$2:$I$5000,MATCH($A469,Ventas!$A$2:$A$5000,0),0))),"SÍ — stock 0 y Sep cayó (prom Feb-Ago "&amp;TEXT(AVERAGE(INDEX(Ventas!$C$2:$I$5000,MATCH($A469,Ventas!$A$2:$A$5000,0),0)),"#,##0")&amp;")",""))</f>
        <v/>
      </c>
      <c r="AF469" s="60">
        <f t="array" ref="AF469">IF(X469="","",IF(AE469&lt;&gt;"",MAX(X469,AVERAGE(INDEX(Ventas!$C$2:$I$5000,MATCH($A469,Ventas!$A$2:$A$5000,0),0))),X469))</f>
        <v>262.5</v>
      </c>
      <c r="AG469" s="60">
        <f t="shared" si="8"/>
        <v>-4300</v>
      </c>
      <c r="AH469" s="63" t="str">
        <f t="shared" si="9"/>
        <v>SOBRESTOCK</v>
      </c>
    </row>
    <row r="470" ht="13.5" customHeight="1">
      <c r="A470" s="64" t="s">
        <v>220</v>
      </c>
      <c r="B470" s="65" t="s">
        <v>3865</v>
      </c>
      <c r="C470" s="65" t="s">
        <v>3866</v>
      </c>
      <c r="D470" s="65" t="s">
        <v>336</v>
      </c>
      <c r="E470" s="51">
        <v>0.0</v>
      </c>
      <c r="F470" s="66">
        <v>995.0</v>
      </c>
      <c r="G470" s="53"/>
      <c r="H470" s="55"/>
      <c r="I470" s="55"/>
      <c r="J470" s="53"/>
      <c r="K470" s="53"/>
      <c r="L470" s="55"/>
      <c r="M470" s="53"/>
      <c r="N470" s="73"/>
      <c r="O470" s="57" t="str">
        <f t="shared" si="1"/>
        <v>OK — cubierto (7.5 meses)</v>
      </c>
      <c r="P470" s="58">
        <f t="shared" si="2"/>
        <v>995</v>
      </c>
      <c r="Q470" s="1"/>
      <c r="R470" s="1"/>
      <c r="S470" s="1"/>
      <c r="T470" s="1"/>
      <c r="U470" s="1"/>
      <c r="V470" s="1"/>
      <c r="W470" s="1"/>
      <c r="X470" s="60">
        <f>IFERROR(VLOOKUP($A470,Ventas!$A$2:$L$5000,12,FALSE()),"")</f>
        <v>133.5</v>
      </c>
      <c r="Y470" s="60">
        <f t="shared" si="3"/>
        <v>534</v>
      </c>
      <c r="Z470" s="61">
        <f t="shared" si="4"/>
        <v>7.5</v>
      </c>
      <c r="AA470" s="60">
        <f t="shared" si="5"/>
        <v>-461</v>
      </c>
      <c r="AB470" s="62" t="str">
        <f t="shared" si="6"/>
        <v/>
      </c>
      <c r="AC470" s="62" t="str">
        <f t="array" ref="AC470">IF(AH470&lt;&gt;"COMPRAR","",IF(MAX(INDEX(Ventas!$G$2:$G$5000,MATCH($A470,Ventas!$A$2:$A$5000,0)),INDEX(Ventas!$H$2:$H$5000,MATCH($A470,Ventas!$A$2:$A$5000,0)),INDEX(Ventas!$I$2:$I$5000,MATCH($A470,Ventas!$A$2:$A$5000,0)),INDEX(Ventas!$J$2:$J$5000,MATCH($A470,Ventas!$A$2:$A$5000,0)))&gt;0.5*AF470*4,"1 mes = "&amp;TEXT(MAX(INDEX(Ventas!$G$2:$G$5000,MATCH($A470,Ventas!$A$2:$A$5000,0)),INDEX(Ventas!$H$2:$H$5000,MATCH($A470,Ventas!$A$2:$A$5000,0)),INDEX(Ventas!$I$2:$I$5000,MATCH($A470,Ventas!$A$2:$A$5000,0)),INDEX(Ventas!$J$2:$J$5000,MATCH($A470,Ventas!$A$2:$A$5000,0)))/(AF470*4),"0%")&amp;" de 4 meses",""))</f>
        <v/>
      </c>
      <c r="AD470" s="62" t="str">
        <f t="shared" si="7"/>
        <v/>
      </c>
      <c r="AE470" s="62" t="str">
        <f t="array" ref="AE470">IF(X470="","",IF(AND(E470=0,AVERAGE(INDEX(Ventas!$C$2:$I$5000,MATCH($A470,Ventas!$A$2:$A$5000,0),0))&gt;0,INDEX(Ventas!$J$2:$J$5000,MATCH($A470,Ventas!$A$2:$A$5000,0))&lt;0.5*AVERAGE(INDEX(Ventas!$C$2:$I$5000,MATCH($A470,Ventas!$A$2:$A$5000,0),0))),"SÍ — stock 0 y Sep cayó (prom Feb-Ago "&amp;TEXT(AVERAGE(INDEX(Ventas!$C$2:$I$5000,MATCH($A470,Ventas!$A$2:$A$5000,0),0)),"#,##0")&amp;")",""))</f>
        <v>SÍ — stock 0 y Sep cayó (prom Feb-Ago 133)</v>
      </c>
      <c r="AF470" s="60">
        <f t="array" ref="AF470">IF(X470="","",IF(AE470&lt;&gt;"",MAX(X470,AVERAGE(INDEX(Ventas!$C$2:$I$5000,MATCH($A470,Ventas!$A$2:$A$5000,0),0))),X470))</f>
        <v>133.5</v>
      </c>
      <c r="AG470" s="60">
        <f t="shared" si="8"/>
        <v>-461</v>
      </c>
      <c r="AH470" s="63" t="str">
        <f t="shared" si="9"/>
        <v>OK</v>
      </c>
    </row>
    <row r="471" ht="13.5" customHeight="1">
      <c r="A471" s="49" t="s">
        <v>218</v>
      </c>
      <c r="B471" s="50" t="s">
        <v>3865</v>
      </c>
      <c r="C471" s="50" t="s">
        <v>3866</v>
      </c>
      <c r="D471" s="50" t="s">
        <v>3696</v>
      </c>
      <c r="E471" s="51">
        <v>50.0</v>
      </c>
      <c r="F471" s="52">
        <v>1588.0</v>
      </c>
      <c r="G471" s="53"/>
      <c r="H471" s="55"/>
      <c r="I471" s="55"/>
      <c r="J471" s="53">
        <v>3000.0</v>
      </c>
      <c r="K471" s="53"/>
      <c r="L471" s="55"/>
      <c r="M471" s="53">
        <v>2500.0</v>
      </c>
      <c r="N471" s="74"/>
      <c r="O471" s="57" t="str">
        <f t="shared" si="1"/>
        <v>PEDIR MENOS — sobran 2,478 m; revisar pedidos sin facturar (5,500 m)</v>
      </c>
      <c r="P471" s="58">
        <f t="shared" si="2"/>
        <v>7138</v>
      </c>
      <c r="Q471" s="1"/>
      <c r="R471" s="1"/>
      <c r="S471" s="1"/>
      <c r="T471" s="1"/>
      <c r="U471" s="1"/>
      <c r="V471" s="1"/>
      <c r="W471" s="1"/>
      <c r="X471" s="60">
        <f>IFERROR(VLOOKUP($A471,Ventas!$A$2:$L$5000,12,FALSE()),"")</f>
        <v>1165</v>
      </c>
      <c r="Y471" s="60">
        <f t="shared" si="3"/>
        <v>4660</v>
      </c>
      <c r="Z471" s="61">
        <f t="shared" si="4"/>
        <v>6.1</v>
      </c>
      <c r="AA471" s="60">
        <f t="shared" si="5"/>
        <v>-2478</v>
      </c>
      <c r="AB471" s="62" t="str">
        <f t="shared" si="6"/>
        <v/>
      </c>
      <c r="AC471" s="62" t="str">
        <f t="array" ref="AC471">IF(AH471&lt;&gt;"COMPRAR","",IF(MAX(INDEX(Ventas!$G$2:$G$5000,MATCH($A471,Ventas!$A$2:$A$5000,0)),INDEX(Ventas!$H$2:$H$5000,MATCH($A471,Ventas!$A$2:$A$5000,0)),INDEX(Ventas!$I$2:$I$5000,MATCH($A471,Ventas!$A$2:$A$5000,0)),INDEX(Ventas!$J$2:$J$5000,MATCH($A471,Ventas!$A$2:$A$5000,0)))&gt;0.5*AF471*4,"1 mes = "&amp;TEXT(MAX(INDEX(Ventas!$G$2:$G$5000,MATCH($A471,Ventas!$A$2:$A$5000,0)),INDEX(Ventas!$H$2:$H$5000,MATCH($A471,Ventas!$A$2:$A$5000,0)),INDEX(Ventas!$I$2:$I$5000,MATCH($A471,Ventas!$A$2:$A$5000,0)),INDEX(Ventas!$J$2:$J$5000,MATCH($A471,Ventas!$A$2:$A$5000,0)))/(AF471*4),"0%")&amp;" de 4 meses",""))</f>
        <v/>
      </c>
      <c r="AD471" s="62" t="str">
        <f t="shared" si="7"/>
        <v/>
      </c>
      <c r="AE471" s="62" t="str">
        <f t="array" ref="AE471">IF(X471="","",IF(AND(E471=0,AVERAGE(INDEX(Ventas!$C$2:$I$5000,MATCH($A471,Ventas!$A$2:$A$5000,0),0))&gt;0,INDEX(Ventas!$J$2:$J$5000,MATCH($A471,Ventas!$A$2:$A$5000,0))&lt;0.5*AVERAGE(INDEX(Ventas!$C$2:$I$5000,MATCH($A471,Ventas!$A$2:$A$5000,0),0))),"SÍ — stock 0 y Sep cayó (prom Feb-Ago "&amp;TEXT(AVERAGE(INDEX(Ventas!$C$2:$I$5000,MATCH($A471,Ventas!$A$2:$A$5000,0),0)),"#,##0")&amp;")",""))</f>
        <v/>
      </c>
      <c r="AF471" s="60">
        <f t="array" ref="AF471">IF(X471="","",IF(AE471&lt;&gt;"",MAX(X471,AVERAGE(INDEX(Ventas!$C$2:$I$5000,MATCH($A471,Ventas!$A$2:$A$5000,0),0))),X471))</f>
        <v>1165</v>
      </c>
      <c r="AG471" s="60">
        <f t="shared" si="8"/>
        <v>-2478</v>
      </c>
      <c r="AH471" s="63" t="str">
        <f t="shared" si="9"/>
        <v>PEDIR MENOS</v>
      </c>
    </row>
    <row r="472" ht="13.5" customHeight="1">
      <c r="A472" s="64" t="s">
        <v>222</v>
      </c>
      <c r="B472" s="65" t="s">
        <v>3865</v>
      </c>
      <c r="C472" s="65" t="s">
        <v>3866</v>
      </c>
      <c r="D472" s="65" t="s">
        <v>1009</v>
      </c>
      <c r="E472" s="51">
        <v>0.0</v>
      </c>
      <c r="F472" s="66">
        <v>3621.0</v>
      </c>
      <c r="G472" s="53"/>
      <c r="H472" s="55"/>
      <c r="I472" s="55"/>
      <c r="J472" s="53">
        <v>4985.0</v>
      </c>
      <c r="K472" s="53"/>
      <c r="L472" s="55"/>
      <c r="M472" s="53">
        <v>4000.0</v>
      </c>
      <c r="N472" s="73"/>
      <c r="O472" s="57" t="str">
        <f t="shared" si="1"/>
        <v>PEDIR MENOS — sobran 10,056 m; revisar pedidos sin facturar (8,985 m)</v>
      </c>
      <c r="P472" s="58">
        <f t="shared" si="2"/>
        <v>12606</v>
      </c>
      <c r="Q472" s="1"/>
      <c r="R472" s="1"/>
      <c r="S472" s="1"/>
      <c r="T472" s="1"/>
      <c r="U472" s="1"/>
      <c r="V472" s="1"/>
      <c r="W472" s="1"/>
      <c r="X472" s="60">
        <f>IFERROR(VLOOKUP($A472,Ventas!$A$2:$L$5000,12,FALSE()),"")</f>
        <v>637.5</v>
      </c>
      <c r="Y472" s="60">
        <f t="shared" si="3"/>
        <v>2550</v>
      </c>
      <c r="Z472" s="61">
        <f t="shared" si="4"/>
        <v>19.8</v>
      </c>
      <c r="AA472" s="60">
        <f t="shared" si="5"/>
        <v>-10056</v>
      </c>
      <c r="AB472" s="62" t="str">
        <f t="shared" si="6"/>
        <v/>
      </c>
      <c r="AC472" s="62" t="str">
        <f t="array" ref="AC472">IF(AH472&lt;&gt;"COMPRAR","",IF(MAX(INDEX(Ventas!$G$2:$G$5000,MATCH($A472,Ventas!$A$2:$A$5000,0)),INDEX(Ventas!$H$2:$H$5000,MATCH($A472,Ventas!$A$2:$A$5000,0)),INDEX(Ventas!$I$2:$I$5000,MATCH($A472,Ventas!$A$2:$A$5000,0)),INDEX(Ventas!$J$2:$J$5000,MATCH($A472,Ventas!$A$2:$A$5000,0)))&gt;0.5*AF472*4,"1 mes = "&amp;TEXT(MAX(INDEX(Ventas!$G$2:$G$5000,MATCH($A472,Ventas!$A$2:$A$5000,0)),INDEX(Ventas!$H$2:$H$5000,MATCH($A472,Ventas!$A$2:$A$5000,0)),INDEX(Ventas!$I$2:$I$5000,MATCH($A472,Ventas!$A$2:$A$5000,0)),INDEX(Ventas!$J$2:$J$5000,MATCH($A472,Ventas!$A$2:$A$5000,0)))/(AF472*4),"0%")&amp;" de 4 meses",""))</f>
        <v/>
      </c>
      <c r="AD472" s="62" t="str">
        <f t="shared" si="7"/>
        <v/>
      </c>
      <c r="AE472" s="62" t="str">
        <f t="array" ref="AE472">IF(X472="","",IF(AND(E472=0,AVERAGE(INDEX(Ventas!$C$2:$I$5000,MATCH($A472,Ventas!$A$2:$A$5000,0),0))&gt;0,INDEX(Ventas!$J$2:$J$5000,MATCH($A472,Ventas!$A$2:$A$5000,0))&lt;0.5*AVERAGE(INDEX(Ventas!$C$2:$I$5000,MATCH($A472,Ventas!$A$2:$A$5000,0),0))),"SÍ — stock 0 y Sep cayó (prom Feb-Ago "&amp;TEXT(AVERAGE(INDEX(Ventas!$C$2:$I$5000,MATCH($A472,Ventas!$A$2:$A$5000,0),0)),"#,##0")&amp;")",""))</f>
        <v>SÍ — stock 0 y Sep cayó (prom Feb-Ago 822)</v>
      </c>
      <c r="AF472" s="60">
        <f t="array" ref="AF472">IF(X472="","",IF(AE472&lt;&gt;"",MAX(X472,AVERAGE(INDEX(Ventas!$C$2:$I$5000,MATCH($A472,Ventas!$A$2:$A$5000,0),0))),X472))</f>
        <v>821.7142857</v>
      </c>
      <c r="AG472" s="60">
        <f t="shared" si="8"/>
        <v>-9319</v>
      </c>
      <c r="AH472" s="63" t="str">
        <f t="shared" si="9"/>
        <v>PEDIR MENOS</v>
      </c>
    </row>
    <row r="473" ht="13.5" customHeight="1">
      <c r="A473" s="49" t="s">
        <v>835</v>
      </c>
      <c r="B473" s="50" t="s">
        <v>3865</v>
      </c>
      <c r="C473" s="50" t="s">
        <v>3867</v>
      </c>
      <c r="D473" s="50" t="s">
        <v>336</v>
      </c>
      <c r="E473" s="51">
        <v>200.0</v>
      </c>
      <c r="F473" s="52"/>
      <c r="G473" s="53"/>
      <c r="H473" s="55"/>
      <c r="I473" s="55"/>
      <c r="J473" s="53"/>
      <c r="K473" s="53"/>
      <c r="L473" s="55"/>
      <c r="M473" s="53"/>
      <c r="N473" s="74"/>
      <c r="O473" s="57" t="str">
        <f t="shared" si="1"/>
        <v>OK — cubierto (3.8 meses)</v>
      </c>
      <c r="P473" s="58">
        <f t="shared" si="2"/>
        <v>200</v>
      </c>
      <c r="Q473" s="1"/>
      <c r="R473" s="1"/>
      <c r="S473" s="1"/>
      <c r="T473" s="1"/>
      <c r="U473" s="1"/>
      <c r="V473" s="1"/>
      <c r="W473" s="1"/>
      <c r="X473" s="60">
        <f>IFERROR(VLOOKUP($A473,Ventas!$A$2:$L$5000,12,FALSE()),"")</f>
        <v>52.5</v>
      </c>
      <c r="Y473" s="60">
        <f t="shared" si="3"/>
        <v>210</v>
      </c>
      <c r="Z473" s="61">
        <f t="shared" si="4"/>
        <v>3.8</v>
      </c>
      <c r="AA473" s="60">
        <f t="shared" si="5"/>
        <v>10</v>
      </c>
      <c r="AB473" s="62" t="str">
        <f t="shared" si="6"/>
        <v/>
      </c>
      <c r="AC473" s="62" t="str">
        <f t="array" ref="AC473">IF(AH473&lt;&gt;"COMPRAR","",IF(MAX(INDEX(Ventas!$G$2:$G$5000,MATCH($A473,Ventas!$A$2:$A$5000,0)),INDEX(Ventas!$H$2:$H$5000,MATCH($A473,Ventas!$A$2:$A$5000,0)),INDEX(Ventas!$I$2:$I$5000,MATCH($A473,Ventas!$A$2:$A$5000,0)),INDEX(Ventas!$J$2:$J$5000,MATCH($A473,Ventas!$A$2:$A$5000,0)))&gt;0.5*AF473*4,"1 mes = "&amp;TEXT(MAX(INDEX(Ventas!$G$2:$G$5000,MATCH($A473,Ventas!$A$2:$A$5000,0)),INDEX(Ventas!$H$2:$H$5000,MATCH($A473,Ventas!$A$2:$A$5000,0)),INDEX(Ventas!$I$2:$I$5000,MATCH($A473,Ventas!$A$2:$A$5000,0)),INDEX(Ventas!$J$2:$J$5000,MATCH($A473,Ventas!$A$2:$A$5000,0)))/(AF473*4),"0%")&amp;" de 4 meses",""))</f>
        <v/>
      </c>
      <c r="AD473" s="62" t="str">
        <f t="shared" si="7"/>
        <v/>
      </c>
      <c r="AE473" s="62" t="str">
        <f t="array" ref="AE473">IF(X473="","",IF(AND(E473=0,AVERAGE(INDEX(Ventas!$C$2:$I$5000,MATCH($A473,Ventas!$A$2:$A$5000,0),0))&gt;0,INDEX(Ventas!$J$2:$J$5000,MATCH($A473,Ventas!$A$2:$A$5000,0))&lt;0.5*AVERAGE(INDEX(Ventas!$C$2:$I$5000,MATCH($A473,Ventas!$A$2:$A$5000,0),0))),"SÍ — stock 0 y Sep cayó (prom Feb-Ago "&amp;TEXT(AVERAGE(INDEX(Ventas!$C$2:$I$5000,MATCH($A473,Ventas!$A$2:$A$5000,0),0)),"#,##0")&amp;")",""))</f>
        <v/>
      </c>
      <c r="AF473" s="60">
        <f t="array" ref="AF473">IF(X473="","",IF(AE473&lt;&gt;"",MAX(X473,AVERAGE(INDEX(Ventas!$C$2:$I$5000,MATCH($A473,Ventas!$A$2:$A$5000,0),0))),X473))</f>
        <v>52.5</v>
      </c>
      <c r="AG473" s="60">
        <f t="shared" si="8"/>
        <v>10</v>
      </c>
      <c r="AH473" s="63" t="str">
        <f t="shared" si="9"/>
        <v>OK</v>
      </c>
    </row>
    <row r="474" ht="13.5" customHeight="1">
      <c r="A474" s="64" t="s">
        <v>837</v>
      </c>
      <c r="B474" s="65" t="s">
        <v>3865</v>
      </c>
      <c r="C474" s="65" t="s">
        <v>3867</v>
      </c>
      <c r="D474" s="65" t="s">
        <v>3793</v>
      </c>
      <c r="E474" s="51">
        <v>562.0</v>
      </c>
      <c r="F474" s="66"/>
      <c r="G474" s="53"/>
      <c r="H474" s="55"/>
      <c r="I474" s="55"/>
      <c r="J474" s="53"/>
      <c r="K474" s="53"/>
      <c r="L474" s="55"/>
      <c r="M474" s="53"/>
      <c r="N474" s="73"/>
      <c r="O474" s="57" t="str">
        <f t="shared" si="1"/>
        <v>SOBRESTOCK — 25.0 meses de cobertura</v>
      </c>
      <c r="P474" s="58">
        <f t="shared" si="2"/>
        <v>562</v>
      </c>
      <c r="Q474" s="1"/>
      <c r="R474" s="1"/>
      <c r="S474" s="1"/>
      <c r="T474" s="1"/>
      <c r="U474" s="1"/>
      <c r="V474" s="1"/>
      <c r="W474" s="1"/>
      <c r="X474" s="60">
        <f>IFERROR(VLOOKUP($A474,Ventas!$A$2:$L$5000,12,FALSE()),"")</f>
        <v>22.5</v>
      </c>
      <c r="Y474" s="60">
        <f t="shared" si="3"/>
        <v>90</v>
      </c>
      <c r="Z474" s="61">
        <f t="shared" si="4"/>
        <v>25</v>
      </c>
      <c r="AA474" s="60">
        <f t="shared" si="5"/>
        <v>-472</v>
      </c>
      <c r="AB474" s="62" t="str">
        <f t="shared" si="6"/>
        <v/>
      </c>
      <c r="AC474" s="62" t="str">
        <f t="array" ref="AC474">IF(AH474&lt;&gt;"COMPRAR","",IF(MAX(INDEX(Ventas!$G$2:$G$5000,MATCH($A474,Ventas!$A$2:$A$5000,0)),INDEX(Ventas!$H$2:$H$5000,MATCH($A474,Ventas!$A$2:$A$5000,0)),INDEX(Ventas!$I$2:$I$5000,MATCH($A474,Ventas!$A$2:$A$5000,0)),INDEX(Ventas!$J$2:$J$5000,MATCH($A474,Ventas!$A$2:$A$5000,0)))&gt;0.5*AF474*4,"1 mes = "&amp;TEXT(MAX(INDEX(Ventas!$G$2:$G$5000,MATCH($A474,Ventas!$A$2:$A$5000,0)),INDEX(Ventas!$H$2:$H$5000,MATCH($A474,Ventas!$A$2:$A$5000,0)),INDEX(Ventas!$I$2:$I$5000,MATCH($A474,Ventas!$A$2:$A$5000,0)),INDEX(Ventas!$J$2:$J$5000,MATCH($A474,Ventas!$A$2:$A$5000,0)))/(AF474*4),"0%")&amp;" de 4 meses",""))</f>
        <v/>
      </c>
      <c r="AD474" s="62" t="str">
        <f t="shared" si="7"/>
        <v/>
      </c>
      <c r="AE474" s="62" t="str">
        <f t="array" ref="AE474">IF(X474="","",IF(AND(E474=0,AVERAGE(INDEX(Ventas!$C$2:$I$5000,MATCH($A474,Ventas!$A$2:$A$5000,0),0))&gt;0,INDEX(Ventas!$J$2:$J$5000,MATCH($A474,Ventas!$A$2:$A$5000,0))&lt;0.5*AVERAGE(INDEX(Ventas!$C$2:$I$5000,MATCH($A474,Ventas!$A$2:$A$5000,0),0))),"SÍ — stock 0 y Sep cayó (prom Feb-Ago "&amp;TEXT(AVERAGE(INDEX(Ventas!$C$2:$I$5000,MATCH($A474,Ventas!$A$2:$A$5000,0),0)),"#,##0")&amp;")",""))</f>
        <v/>
      </c>
      <c r="AF474" s="60">
        <f t="array" ref="AF474">IF(X474="","",IF(AE474&lt;&gt;"",MAX(X474,AVERAGE(INDEX(Ventas!$C$2:$I$5000,MATCH($A474,Ventas!$A$2:$A$5000,0),0))),X474))</f>
        <v>22.5</v>
      </c>
      <c r="AG474" s="60">
        <f t="shared" si="8"/>
        <v>-472</v>
      </c>
      <c r="AH474" s="63" t="str">
        <f t="shared" si="9"/>
        <v>SOBRESTOCK</v>
      </c>
    </row>
    <row r="475" ht="13.5" customHeight="1">
      <c r="A475" s="49" t="s">
        <v>833</v>
      </c>
      <c r="B475" s="50" t="s">
        <v>3865</v>
      </c>
      <c r="C475" s="50" t="s">
        <v>3867</v>
      </c>
      <c r="D475" s="50" t="s">
        <v>3696</v>
      </c>
      <c r="E475" s="51">
        <v>341.0</v>
      </c>
      <c r="F475" s="52"/>
      <c r="G475" s="53"/>
      <c r="H475" s="55"/>
      <c r="I475" s="55"/>
      <c r="J475" s="53"/>
      <c r="K475" s="53"/>
      <c r="L475" s="55"/>
      <c r="M475" s="53"/>
      <c r="N475" s="74"/>
      <c r="O475" s="57" t="str">
        <f t="shared" si="1"/>
        <v>SOBRESTOCK — 15.2 meses de cobertura</v>
      </c>
      <c r="P475" s="58">
        <f t="shared" si="2"/>
        <v>341</v>
      </c>
      <c r="Q475" s="1"/>
      <c r="R475" s="1"/>
      <c r="S475" s="1"/>
      <c r="T475" s="1"/>
      <c r="U475" s="1"/>
      <c r="V475" s="1"/>
      <c r="W475" s="1"/>
      <c r="X475" s="60">
        <f>IFERROR(VLOOKUP($A475,Ventas!$A$2:$L$5000,12,FALSE()),"")</f>
        <v>22.5</v>
      </c>
      <c r="Y475" s="60">
        <f t="shared" si="3"/>
        <v>90</v>
      </c>
      <c r="Z475" s="61">
        <f t="shared" si="4"/>
        <v>15.2</v>
      </c>
      <c r="AA475" s="60">
        <f t="shared" si="5"/>
        <v>-251</v>
      </c>
      <c r="AB475" s="62" t="str">
        <f t="shared" si="6"/>
        <v/>
      </c>
      <c r="AC475" s="62" t="str">
        <f t="array" ref="AC475">IF(AH475&lt;&gt;"COMPRAR","",IF(MAX(INDEX(Ventas!$G$2:$G$5000,MATCH($A475,Ventas!$A$2:$A$5000,0)),INDEX(Ventas!$H$2:$H$5000,MATCH($A475,Ventas!$A$2:$A$5000,0)),INDEX(Ventas!$I$2:$I$5000,MATCH($A475,Ventas!$A$2:$A$5000,0)),INDEX(Ventas!$J$2:$J$5000,MATCH($A475,Ventas!$A$2:$A$5000,0)))&gt;0.5*AF475*4,"1 mes = "&amp;TEXT(MAX(INDEX(Ventas!$G$2:$G$5000,MATCH($A475,Ventas!$A$2:$A$5000,0)),INDEX(Ventas!$H$2:$H$5000,MATCH($A475,Ventas!$A$2:$A$5000,0)),INDEX(Ventas!$I$2:$I$5000,MATCH($A475,Ventas!$A$2:$A$5000,0)),INDEX(Ventas!$J$2:$J$5000,MATCH($A475,Ventas!$A$2:$A$5000,0)))/(AF475*4),"0%")&amp;" de 4 meses",""))</f>
        <v/>
      </c>
      <c r="AD475" s="62" t="str">
        <f t="shared" si="7"/>
        <v/>
      </c>
      <c r="AE475" s="62" t="str">
        <f t="array" ref="AE475">IF(X475="","",IF(AND(E475=0,AVERAGE(INDEX(Ventas!$C$2:$I$5000,MATCH($A475,Ventas!$A$2:$A$5000,0),0))&gt;0,INDEX(Ventas!$J$2:$J$5000,MATCH($A475,Ventas!$A$2:$A$5000,0))&lt;0.5*AVERAGE(INDEX(Ventas!$C$2:$I$5000,MATCH($A475,Ventas!$A$2:$A$5000,0),0))),"SÍ — stock 0 y Sep cayó (prom Feb-Ago "&amp;TEXT(AVERAGE(INDEX(Ventas!$C$2:$I$5000,MATCH($A475,Ventas!$A$2:$A$5000,0),0)),"#,##0")&amp;")",""))</f>
        <v/>
      </c>
      <c r="AF475" s="60">
        <f t="array" ref="AF475">IF(X475="","",IF(AE475&lt;&gt;"",MAX(X475,AVERAGE(INDEX(Ventas!$C$2:$I$5000,MATCH($A475,Ventas!$A$2:$A$5000,0),0))),X475))</f>
        <v>22.5</v>
      </c>
      <c r="AG475" s="60">
        <f t="shared" si="8"/>
        <v>-251</v>
      </c>
      <c r="AH475" s="63" t="str">
        <f t="shared" si="9"/>
        <v>SOBRESTOCK</v>
      </c>
    </row>
    <row r="476" ht="13.5" customHeight="1">
      <c r="A476" s="64" t="s">
        <v>839</v>
      </c>
      <c r="B476" s="65" t="s">
        <v>3865</v>
      </c>
      <c r="C476" s="65" t="s">
        <v>3867</v>
      </c>
      <c r="D476" s="65" t="s">
        <v>646</v>
      </c>
      <c r="E476" s="51">
        <v>50.0</v>
      </c>
      <c r="F476" s="66"/>
      <c r="G476" s="53"/>
      <c r="H476" s="55"/>
      <c r="I476" s="55"/>
      <c r="J476" s="53"/>
      <c r="K476" s="53"/>
      <c r="L476" s="55"/>
      <c r="M476" s="53"/>
      <c r="N476" s="73"/>
      <c r="O476" s="57" t="str">
        <f t="shared" si="1"/>
        <v>SIN VENTAS Jun-Sep — no comprar (50 m disponibles)</v>
      </c>
      <c r="P476" s="58">
        <f t="shared" si="2"/>
        <v>50</v>
      </c>
      <c r="Q476" s="1"/>
      <c r="R476" s="1"/>
      <c r="S476" s="1"/>
      <c r="T476" s="1"/>
      <c r="U476" s="1"/>
      <c r="V476" s="1"/>
      <c r="W476" s="1"/>
      <c r="X476" s="60">
        <f>IFERROR(VLOOKUP($A476,Ventas!$A$2:$L$5000,12,FALSE()),"")</f>
        <v>0</v>
      </c>
      <c r="Y476" s="60">
        <f t="shared" si="3"/>
        <v>0</v>
      </c>
      <c r="Z476" s="61" t="str">
        <f t="shared" si="4"/>
        <v/>
      </c>
      <c r="AA476" s="60">
        <f t="shared" si="5"/>
        <v>-50</v>
      </c>
      <c r="AB476" s="62" t="str">
        <f t="shared" si="6"/>
        <v/>
      </c>
      <c r="AC476" s="62" t="str">
        <f t="array" ref="AC476">IF(AH476&lt;&gt;"COMPRAR","",IF(MAX(INDEX(Ventas!$G$2:$G$5000,MATCH($A476,Ventas!$A$2:$A$5000,0)),INDEX(Ventas!$H$2:$H$5000,MATCH($A476,Ventas!$A$2:$A$5000,0)),INDEX(Ventas!$I$2:$I$5000,MATCH($A476,Ventas!$A$2:$A$5000,0)),INDEX(Ventas!$J$2:$J$5000,MATCH($A476,Ventas!$A$2:$A$5000,0)))&gt;0.5*AF476*4,"1 mes = "&amp;TEXT(MAX(INDEX(Ventas!$G$2:$G$5000,MATCH($A476,Ventas!$A$2:$A$5000,0)),INDEX(Ventas!$H$2:$H$5000,MATCH($A476,Ventas!$A$2:$A$5000,0)),INDEX(Ventas!$I$2:$I$5000,MATCH($A476,Ventas!$A$2:$A$5000,0)),INDEX(Ventas!$J$2:$J$5000,MATCH($A476,Ventas!$A$2:$A$5000,0)))/(AF476*4),"0%")&amp;" de 4 meses",""))</f>
        <v/>
      </c>
      <c r="AD476" s="62" t="str">
        <f t="shared" si="7"/>
        <v/>
      </c>
      <c r="AE476" s="62" t="str">
        <f t="array" ref="AE476">IF(X476="","",IF(AND(E476=0,AVERAGE(INDEX(Ventas!$C$2:$I$5000,MATCH($A476,Ventas!$A$2:$A$5000,0),0))&gt;0,INDEX(Ventas!$J$2:$J$5000,MATCH($A476,Ventas!$A$2:$A$5000,0))&lt;0.5*AVERAGE(INDEX(Ventas!$C$2:$I$5000,MATCH($A476,Ventas!$A$2:$A$5000,0),0))),"SÍ — stock 0 y Sep cayó (prom Feb-Ago "&amp;TEXT(AVERAGE(INDEX(Ventas!$C$2:$I$5000,MATCH($A476,Ventas!$A$2:$A$5000,0),0)),"#,##0")&amp;")",""))</f>
        <v/>
      </c>
      <c r="AF476" s="60">
        <f t="array" ref="AF476">IF(X476="","",IF(AE476&lt;&gt;"",MAX(X476,AVERAGE(INDEX(Ventas!$C$2:$I$5000,MATCH($A476,Ventas!$A$2:$A$5000,0),0))),X476))</f>
        <v>0</v>
      </c>
      <c r="AG476" s="60">
        <f t="shared" si="8"/>
        <v>-50</v>
      </c>
      <c r="AH476" s="63" t="str">
        <f t="shared" si="9"/>
        <v>SIN VENTAS</v>
      </c>
    </row>
    <row r="477" ht="13.5" customHeight="1">
      <c r="A477" s="49" t="s">
        <v>665</v>
      </c>
      <c r="B477" s="50" t="s">
        <v>3865</v>
      </c>
      <c r="C477" s="50" t="s">
        <v>3868</v>
      </c>
      <c r="D477" s="50" t="s">
        <v>3828</v>
      </c>
      <c r="E477" s="51">
        <v>1051.0</v>
      </c>
      <c r="F477" s="52"/>
      <c r="G477" s="53"/>
      <c r="H477" s="55"/>
      <c r="I477" s="55"/>
      <c r="J477" s="53"/>
      <c r="K477" s="53"/>
      <c r="L477" s="55"/>
      <c r="M477" s="53"/>
      <c r="N477" s="74"/>
      <c r="O477" s="57" t="str">
        <f t="shared" si="1"/>
        <v>SOBRESTOCK — 32.1 meses de cobertura</v>
      </c>
      <c r="P477" s="58">
        <f t="shared" si="2"/>
        <v>1051</v>
      </c>
      <c r="Q477" s="70" t="s">
        <v>3869</v>
      </c>
      <c r="R477" s="1"/>
      <c r="S477" s="1"/>
      <c r="T477" s="1"/>
      <c r="U477" s="1"/>
      <c r="V477" s="1"/>
      <c r="W477" s="1"/>
      <c r="X477" s="60">
        <f>IFERROR(VLOOKUP($A477,Ventas!$A$2:$L$5000,12,FALSE()),"")</f>
        <v>32.75</v>
      </c>
      <c r="Y477" s="60">
        <f t="shared" si="3"/>
        <v>131</v>
      </c>
      <c r="Z477" s="61">
        <f t="shared" si="4"/>
        <v>32.1</v>
      </c>
      <c r="AA477" s="60">
        <f t="shared" si="5"/>
        <v>-920</v>
      </c>
      <c r="AB477" s="62" t="str">
        <f t="shared" si="6"/>
        <v/>
      </c>
      <c r="AC477" s="62" t="str">
        <f t="array" ref="AC477">IF(AH477&lt;&gt;"COMPRAR","",IF(MAX(INDEX(Ventas!$G$2:$G$5000,MATCH($A477,Ventas!$A$2:$A$5000,0)),INDEX(Ventas!$H$2:$H$5000,MATCH($A477,Ventas!$A$2:$A$5000,0)),INDEX(Ventas!$I$2:$I$5000,MATCH($A477,Ventas!$A$2:$A$5000,0)),INDEX(Ventas!$J$2:$J$5000,MATCH($A477,Ventas!$A$2:$A$5000,0)))&gt;0.5*AF477*4,"1 mes = "&amp;TEXT(MAX(INDEX(Ventas!$G$2:$G$5000,MATCH($A477,Ventas!$A$2:$A$5000,0)),INDEX(Ventas!$H$2:$H$5000,MATCH($A477,Ventas!$A$2:$A$5000,0)),INDEX(Ventas!$I$2:$I$5000,MATCH($A477,Ventas!$A$2:$A$5000,0)),INDEX(Ventas!$J$2:$J$5000,MATCH($A477,Ventas!$A$2:$A$5000,0)))/(AF477*4),"0%")&amp;" de 4 meses",""))</f>
        <v/>
      </c>
      <c r="AD477" s="62" t="str">
        <f t="shared" si="7"/>
        <v/>
      </c>
      <c r="AE477" s="62" t="str">
        <f t="array" ref="AE477">IF(X477="","",IF(AND(E477=0,AVERAGE(INDEX(Ventas!$C$2:$I$5000,MATCH($A477,Ventas!$A$2:$A$5000,0),0))&gt;0,INDEX(Ventas!$J$2:$J$5000,MATCH($A477,Ventas!$A$2:$A$5000,0))&lt;0.5*AVERAGE(INDEX(Ventas!$C$2:$I$5000,MATCH($A477,Ventas!$A$2:$A$5000,0),0))),"SÍ — stock 0 y Sep cayó (prom Feb-Ago "&amp;TEXT(AVERAGE(INDEX(Ventas!$C$2:$I$5000,MATCH($A477,Ventas!$A$2:$A$5000,0),0)),"#,##0")&amp;")",""))</f>
        <v/>
      </c>
      <c r="AF477" s="60">
        <f t="array" ref="AF477">IF(X477="","",IF(AE477&lt;&gt;"",MAX(X477,AVERAGE(INDEX(Ventas!$C$2:$I$5000,MATCH($A477,Ventas!$A$2:$A$5000,0),0))),X477))</f>
        <v>32.75</v>
      </c>
      <c r="AG477" s="60">
        <f t="shared" si="8"/>
        <v>-920</v>
      </c>
      <c r="AH477" s="63" t="str">
        <f t="shared" si="9"/>
        <v>SOBRESTOCK</v>
      </c>
    </row>
    <row r="478" ht="13.5" customHeight="1">
      <c r="A478" s="64" t="s">
        <v>661</v>
      </c>
      <c r="B478" s="65" t="s">
        <v>3865</v>
      </c>
      <c r="C478" s="65" t="s">
        <v>3868</v>
      </c>
      <c r="D478" s="65" t="s">
        <v>3870</v>
      </c>
      <c r="E478" s="51">
        <v>0.0</v>
      </c>
      <c r="F478" s="66"/>
      <c r="G478" s="53"/>
      <c r="H478" s="55"/>
      <c r="I478" s="55"/>
      <c r="J478" s="53"/>
      <c r="K478" s="53"/>
      <c r="L478" s="55"/>
      <c r="M478" s="53"/>
      <c r="N478" s="73"/>
      <c r="O478" s="57" t="str">
        <f t="shared" si="1"/>
        <v>COMPRAR — faltan 386 m para 4 meses</v>
      </c>
      <c r="P478" s="58">
        <f t="shared" si="2"/>
        <v>0</v>
      </c>
      <c r="Q478" s="1"/>
      <c r="R478" s="1"/>
      <c r="S478" s="1"/>
      <c r="T478" s="1"/>
      <c r="U478" s="1"/>
      <c r="V478" s="1"/>
      <c r="W478" s="1"/>
      <c r="X478" s="60">
        <f>IFERROR(VLOOKUP($A478,Ventas!$A$2:$L$5000,12,FALSE()),"")</f>
        <v>96.375</v>
      </c>
      <c r="Y478" s="60">
        <f t="shared" si="3"/>
        <v>386</v>
      </c>
      <c r="Z478" s="61">
        <f t="shared" si="4"/>
        <v>0</v>
      </c>
      <c r="AA478" s="60">
        <f t="shared" si="5"/>
        <v>386</v>
      </c>
      <c r="AB478" s="62" t="str">
        <f t="shared" si="6"/>
        <v/>
      </c>
      <c r="AC478" s="62" t="str">
        <f t="array" ref="AC478">IF(AH478&lt;&gt;"COMPRAR","",IF(MAX(INDEX(Ventas!$G$2:$G$5000,MATCH($A478,Ventas!$A$2:$A$5000,0)),INDEX(Ventas!$H$2:$H$5000,MATCH($A478,Ventas!$A$2:$A$5000,0)),INDEX(Ventas!$I$2:$I$5000,MATCH($A478,Ventas!$A$2:$A$5000,0)),INDEX(Ventas!$J$2:$J$5000,MATCH($A478,Ventas!$A$2:$A$5000,0)))&gt;0.5*AF478*4,"1 mes = "&amp;TEXT(MAX(INDEX(Ventas!$G$2:$G$5000,MATCH($A478,Ventas!$A$2:$A$5000,0)),INDEX(Ventas!$H$2:$H$5000,MATCH($A478,Ventas!$A$2:$A$5000,0)),INDEX(Ventas!$I$2:$I$5000,MATCH($A478,Ventas!$A$2:$A$5000,0)),INDEX(Ventas!$J$2:$J$5000,MATCH($A478,Ventas!$A$2:$A$5000,0)))/(AF478*4),"0%")&amp;" de 4 meses",""))</f>
        <v>1 mes = 82% de 4 meses</v>
      </c>
      <c r="AD478" s="62" t="str">
        <f t="shared" si="7"/>
        <v>SÍ — 0 m vs 51 m</v>
      </c>
      <c r="AE478" s="62" t="str">
        <f t="array" ref="AE478">IF(X478="","",IF(AND(E478=0,AVERAGE(INDEX(Ventas!$C$2:$I$5000,MATCH($A478,Ventas!$A$2:$A$5000,0),0))&gt;0,INDEX(Ventas!$J$2:$J$5000,MATCH($A478,Ventas!$A$2:$A$5000,0))&lt;0.5*AVERAGE(INDEX(Ventas!$C$2:$I$5000,MATCH($A478,Ventas!$A$2:$A$5000,0),0))),"SÍ — stock 0 y Sep cayó (prom Feb-Ago "&amp;TEXT(AVERAGE(INDEX(Ventas!$C$2:$I$5000,MATCH($A478,Ventas!$A$2:$A$5000,0),0)),"#,##0")&amp;")",""))</f>
        <v/>
      </c>
      <c r="AF478" s="60">
        <f t="array" ref="AF478">IF(X478="","",IF(AE478&lt;&gt;"",MAX(X478,AVERAGE(INDEX(Ventas!$C$2:$I$5000,MATCH($A478,Ventas!$A$2:$A$5000,0),0))),X478))</f>
        <v>96.375</v>
      </c>
      <c r="AG478" s="60">
        <f t="shared" si="8"/>
        <v>386</v>
      </c>
      <c r="AH478" s="63" t="str">
        <f t="shared" si="9"/>
        <v>COMPRAR</v>
      </c>
    </row>
    <row r="479" ht="13.5" customHeight="1">
      <c r="A479" s="49" t="s">
        <v>228</v>
      </c>
      <c r="B479" s="50" t="s">
        <v>3865</v>
      </c>
      <c r="C479" s="50" t="s">
        <v>3871</v>
      </c>
      <c r="D479" s="50" t="s">
        <v>3743</v>
      </c>
      <c r="E479" s="51">
        <v>1850.0</v>
      </c>
      <c r="F479" s="52"/>
      <c r="G479" s="53"/>
      <c r="H479" s="55"/>
      <c r="I479" s="55"/>
      <c r="J479" s="53"/>
      <c r="K479" s="53"/>
      <c r="L479" s="55"/>
      <c r="M479" s="53"/>
      <c r="N479" s="74"/>
      <c r="O479" s="57" t="str">
        <f t="shared" si="1"/>
        <v>SOBRESTOCK — 18.5 meses de cobertura</v>
      </c>
      <c r="P479" s="58">
        <f t="shared" si="2"/>
        <v>1850</v>
      </c>
      <c r="Q479" s="1"/>
      <c r="R479" s="1"/>
      <c r="S479" s="1"/>
      <c r="T479" s="1"/>
      <c r="U479" s="1"/>
      <c r="V479" s="1"/>
      <c r="W479" s="1"/>
      <c r="X479" s="60">
        <f>IFERROR(VLOOKUP($A479,Ventas!$A$2:$L$5000,12,FALSE()),"")</f>
        <v>100</v>
      </c>
      <c r="Y479" s="60">
        <f t="shared" si="3"/>
        <v>400</v>
      </c>
      <c r="Z479" s="61">
        <f t="shared" si="4"/>
        <v>18.5</v>
      </c>
      <c r="AA479" s="60">
        <f t="shared" si="5"/>
        <v>-1450</v>
      </c>
      <c r="AB479" s="62" t="str">
        <f t="shared" si="6"/>
        <v/>
      </c>
      <c r="AC479" s="62" t="str">
        <f t="array" ref="AC479">IF(AH479&lt;&gt;"COMPRAR","",IF(MAX(INDEX(Ventas!$G$2:$G$5000,MATCH($A479,Ventas!$A$2:$A$5000,0)),INDEX(Ventas!$H$2:$H$5000,MATCH($A479,Ventas!$A$2:$A$5000,0)),INDEX(Ventas!$I$2:$I$5000,MATCH($A479,Ventas!$A$2:$A$5000,0)),INDEX(Ventas!$J$2:$J$5000,MATCH($A479,Ventas!$A$2:$A$5000,0)))&gt;0.5*AF479*4,"1 mes = "&amp;TEXT(MAX(INDEX(Ventas!$G$2:$G$5000,MATCH($A479,Ventas!$A$2:$A$5000,0)),INDEX(Ventas!$H$2:$H$5000,MATCH($A479,Ventas!$A$2:$A$5000,0)),INDEX(Ventas!$I$2:$I$5000,MATCH($A479,Ventas!$A$2:$A$5000,0)),INDEX(Ventas!$J$2:$J$5000,MATCH($A479,Ventas!$A$2:$A$5000,0)))/(AF479*4),"0%")&amp;" de 4 meses",""))</f>
        <v/>
      </c>
      <c r="AD479" s="62" t="str">
        <f t="shared" si="7"/>
        <v/>
      </c>
      <c r="AE479" s="62" t="str">
        <f t="array" ref="AE479">IF(X479="","",IF(AND(E479=0,AVERAGE(INDEX(Ventas!$C$2:$I$5000,MATCH($A479,Ventas!$A$2:$A$5000,0),0))&gt;0,INDEX(Ventas!$J$2:$J$5000,MATCH($A479,Ventas!$A$2:$A$5000,0))&lt;0.5*AVERAGE(INDEX(Ventas!$C$2:$I$5000,MATCH($A479,Ventas!$A$2:$A$5000,0),0))),"SÍ — stock 0 y Sep cayó (prom Feb-Ago "&amp;TEXT(AVERAGE(INDEX(Ventas!$C$2:$I$5000,MATCH($A479,Ventas!$A$2:$A$5000,0),0)),"#,##0")&amp;")",""))</f>
        <v/>
      </c>
      <c r="AF479" s="60">
        <f t="array" ref="AF479">IF(X479="","",IF(AE479&lt;&gt;"",MAX(X479,AVERAGE(INDEX(Ventas!$C$2:$I$5000,MATCH($A479,Ventas!$A$2:$A$5000,0),0))),X479))</f>
        <v>100</v>
      </c>
      <c r="AG479" s="60">
        <f t="shared" si="8"/>
        <v>-1450</v>
      </c>
      <c r="AH479" s="63" t="str">
        <f t="shared" si="9"/>
        <v>SOBRESTOCK</v>
      </c>
    </row>
    <row r="480" ht="13.5" customHeight="1">
      <c r="A480" s="64" t="s">
        <v>226</v>
      </c>
      <c r="B480" s="65" t="s">
        <v>3865</v>
      </c>
      <c r="C480" s="65" t="s">
        <v>3871</v>
      </c>
      <c r="D480" s="65" t="s">
        <v>3756</v>
      </c>
      <c r="E480" s="51">
        <v>1300.0</v>
      </c>
      <c r="F480" s="66"/>
      <c r="G480" s="53"/>
      <c r="H480" s="55"/>
      <c r="I480" s="55"/>
      <c r="J480" s="53"/>
      <c r="K480" s="53"/>
      <c r="L480" s="55"/>
      <c r="M480" s="53"/>
      <c r="N480" s="73"/>
      <c r="O480" s="57" t="str">
        <f t="shared" si="1"/>
        <v>SOBRESTOCK — 8.7 meses de cobertura</v>
      </c>
      <c r="P480" s="58">
        <f t="shared" si="2"/>
        <v>1300</v>
      </c>
      <c r="Q480" s="1"/>
      <c r="R480" s="1"/>
      <c r="S480" s="1"/>
      <c r="T480" s="1"/>
      <c r="U480" s="1"/>
      <c r="V480" s="1"/>
      <c r="W480" s="1"/>
      <c r="X480" s="60">
        <f>IFERROR(VLOOKUP($A480,Ventas!$A$2:$L$5000,12,FALSE()),"")</f>
        <v>150</v>
      </c>
      <c r="Y480" s="60">
        <f t="shared" si="3"/>
        <v>600</v>
      </c>
      <c r="Z480" s="61">
        <f t="shared" si="4"/>
        <v>8.7</v>
      </c>
      <c r="AA480" s="60">
        <f t="shared" si="5"/>
        <v>-700</v>
      </c>
      <c r="AB480" s="62" t="str">
        <f t="shared" si="6"/>
        <v/>
      </c>
      <c r="AC480" s="62" t="str">
        <f t="array" ref="AC480">IF(AH480&lt;&gt;"COMPRAR","",IF(MAX(INDEX(Ventas!$G$2:$G$5000,MATCH($A480,Ventas!$A$2:$A$5000,0)),INDEX(Ventas!$H$2:$H$5000,MATCH($A480,Ventas!$A$2:$A$5000,0)),INDEX(Ventas!$I$2:$I$5000,MATCH($A480,Ventas!$A$2:$A$5000,0)),INDEX(Ventas!$J$2:$J$5000,MATCH($A480,Ventas!$A$2:$A$5000,0)))&gt;0.5*AF480*4,"1 mes = "&amp;TEXT(MAX(INDEX(Ventas!$G$2:$G$5000,MATCH($A480,Ventas!$A$2:$A$5000,0)),INDEX(Ventas!$H$2:$H$5000,MATCH($A480,Ventas!$A$2:$A$5000,0)),INDEX(Ventas!$I$2:$I$5000,MATCH($A480,Ventas!$A$2:$A$5000,0)),INDEX(Ventas!$J$2:$J$5000,MATCH($A480,Ventas!$A$2:$A$5000,0)))/(AF480*4),"0%")&amp;" de 4 meses",""))</f>
        <v/>
      </c>
      <c r="AD480" s="62" t="str">
        <f t="shared" si="7"/>
        <v/>
      </c>
      <c r="AE480" s="62" t="str">
        <f t="array" ref="AE480">IF(X480="","",IF(AND(E480=0,AVERAGE(INDEX(Ventas!$C$2:$I$5000,MATCH($A480,Ventas!$A$2:$A$5000,0),0))&gt;0,INDEX(Ventas!$J$2:$J$5000,MATCH($A480,Ventas!$A$2:$A$5000,0))&lt;0.5*AVERAGE(INDEX(Ventas!$C$2:$I$5000,MATCH($A480,Ventas!$A$2:$A$5000,0),0))),"SÍ — stock 0 y Sep cayó (prom Feb-Ago "&amp;TEXT(AVERAGE(INDEX(Ventas!$C$2:$I$5000,MATCH($A480,Ventas!$A$2:$A$5000,0),0)),"#,##0")&amp;")",""))</f>
        <v/>
      </c>
      <c r="AF480" s="60">
        <f t="array" ref="AF480">IF(X480="","",IF(AE480&lt;&gt;"",MAX(X480,AVERAGE(INDEX(Ventas!$C$2:$I$5000,MATCH($A480,Ventas!$A$2:$A$5000,0),0))),X480))</f>
        <v>150</v>
      </c>
      <c r="AG480" s="60">
        <f t="shared" si="8"/>
        <v>-700</v>
      </c>
      <c r="AH480" s="63" t="str">
        <f t="shared" si="9"/>
        <v>SOBRESTOCK</v>
      </c>
    </row>
    <row r="481" ht="13.5" customHeight="1">
      <c r="A481" s="49" t="s">
        <v>224</v>
      </c>
      <c r="B481" s="50" t="s">
        <v>3865</v>
      </c>
      <c r="C481" s="50" t="s">
        <v>3871</v>
      </c>
      <c r="D481" s="50" t="s">
        <v>3758</v>
      </c>
      <c r="E481" s="51">
        <v>400.0</v>
      </c>
      <c r="F481" s="52"/>
      <c r="G481" s="53"/>
      <c r="H481" s="55"/>
      <c r="I481" s="55"/>
      <c r="J481" s="53"/>
      <c r="K481" s="53"/>
      <c r="L481" s="55"/>
      <c r="M481" s="53"/>
      <c r="N481" s="74"/>
      <c r="O481" s="57" t="str">
        <f t="shared" si="1"/>
        <v>SOBRESTOCK — 32.0 meses de cobertura</v>
      </c>
      <c r="P481" s="58">
        <f t="shared" si="2"/>
        <v>400</v>
      </c>
      <c r="Q481" s="1"/>
      <c r="R481" s="1"/>
      <c r="S481" s="1"/>
      <c r="T481" s="1"/>
      <c r="U481" s="1"/>
      <c r="V481" s="1"/>
      <c r="W481" s="1"/>
      <c r="X481" s="60">
        <f>IFERROR(VLOOKUP($A481,Ventas!$A$2:$L$5000,12,FALSE()),"")</f>
        <v>12.5</v>
      </c>
      <c r="Y481" s="60">
        <f t="shared" si="3"/>
        <v>50</v>
      </c>
      <c r="Z481" s="61">
        <f t="shared" si="4"/>
        <v>32</v>
      </c>
      <c r="AA481" s="60">
        <f t="shared" si="5"/>
        <v>-350</v>
      </c>
      <c r="AB481" s="62" t="str">
        <f t="shared" si="6"/>
        <v/>
      </c>
      <c r="AC481" s="62" t="str">
        <f t="array" ref="AC481">IF(AH481&lt;&gt;"COMPRAR","",IF(MAX(INDEX(Ventas!$G$2:$G$5000,MATCH($A481,Ventas!$A$2:$A$5000,0)),INDEX(Ventas!$H$2:$H$5000,MATCH($A481,Ventas!$A$2:$A$5000,0)),INDEX(Ventas!$I$2:$I$5000,MATCH($A481,Ventas!$A$2:$A$5000,0)),INDEX(Ventas!$J$2:$J$5000,MATCH($A481,Ventas!$A$2:$A$5000,0)))&gt;0.5*AF481*4,"1 mes = "&amp;TEXT(MAX(INDEX(Ventas!$G$2:$G$5000,MATCH($A481,Ventas!$A$2:$A$5000,0)),INDEX(Ventas!$H$2:$H$5000,MATCH($A481,Ventas!$A$2:$A$5000,0)),INDEX(Ventas!$I$2:$I$5000,MATCH($A481,Ventas!$A$2:$A$5000,0)),INDEX(Ventas!$J$2:$J$5000,MATCH($A481,Ventas!$A$2:$A$5000,0)))/(AF481*4),"0%")&amp;" de 4 meses",""))</f>
        <v/>
      </c>
      <c r="AD481" s="62" t="str">
        <f t="shared" si="7"/>
        <v/>
      </c>
      <c r="AE481" s="62" t="str">
        <f t="array" ref="AE481">IF(X481="","",IF(AND(E481=0,AVERAGE(INDEX(Ventas!$C$2:$I$5000,MATCH($A481,Ventas!$A$2:$A$5000,0),0))&gt;0,INDEX(Ventas!$J$2:$J$5000,MATCH($A481,Ventas!$A$2:$A$5000,0))&lt;0.5*AVERAGE(INDEX(Ventas!$C$2:$I$5000,MATCH($A481,Ventas!$A$2:$A$5000,0),0))),"SÍ — stock 0 y Sep cayó (prom Feb-Ago "&amp;TEXT(AVERAGE(INDEX(Ventas!$C$2:$I$5000,MATCH($A481,Ventas!$A$2:$A$5000,0),0)),"#,##0")&amp;")",""))</f>
        <v/>
      </c>
      <c r="AF481" s="60">
        <f t="array" ref="AF481">IF(X481="","",IF(AE481&lt;&gt;"",MAX(X481,AVERAGE(INDEX(Ventas!$C$2:$I$5000,MATCH($A481,Ventas!$A$2:$A$5000,0),0))),X481))</f>
        <v>12.5</v>
      </c>
      <c r="AG481" s="60">
        <f t="shared" si="8"/>
        <v>-350</v>
      </c>
      <c r="AH481" s="63" t="str">
        <f t="shared" si="9"/>
        <v>SOBRESTOCK</v>
      </c>
    </row>
    <row r="482" ht="13.5" customHeight="1">
      <c r="A482" s="64" t="s">
        <v>3588</v>
      </c>
      <c r="B482" s="65" t="s">
        <v>3865</v>
      </c>
      <c r="C482" s="65" t="s">
        <v>3872</v>
      </c>
      <c r="D482" s="65" t="s">
        <v>3873</v>
      </c>
      <c r="E482" s="51">
        <v>0.0</v>
      </c>
      <c r="F482" s="66">
        <v>4157.0</v>
      </c>
      <c r="G482" s="53"/>
      <c r="H482" s="55"/>
      <c r="I482" s="55"/>
      <c r="J482" s="53"/>
      <c r="K482" s="53"/>
      <c r="L482" s="55"/>
      <c r="M482" s="53">
        <v>4000.0</v>
      </c>
      <c r="N482" s="73"/>
      <c r="O482" s="57" t="str">
        <f t="shared" si="1"/>
        <v>PEDIR MENOS — sobran 7,507 m; revisar pedidos sin facturar (4,000 m)</v>
      </c>
      <c r="P482" s="58">
        <f t="shared" si="2"/>
        <v>8157</v>
      </c>
      <c r="Q482" s="1"/>
      <c r="R482" s="1"/>
      <c r="S482" s="1"/>
      <c r="T482" s="1"/>
      <c r="U482" s="1"/>
      <c r="V482" s="1"/>
      <c r="W482" s="1"/>
      <c r="X482" s="60">
        <f>IFERROR(VLOOKUP($A482,Ventas!$A$2:$L$5000,12,FALSE()),"")</f>
        <v>162.5</v>
      </c>
      <c r="Y482" s="60">
        <f t="shared" si="3"/>
        <v>650</v>
      </c>
      <c r="Z482" s="61">
        <f t="shared" si="4"/>
        <v>50.2</v>
      </c>
      <c r="AA482" s="60">
        <f t="shared" si="5"/>
        <v>-7507</v>
      </c>
      <c r="AB482" s="62" t="str">
        <f t="shared" si="6"/>
        <v/>
      </c>
      <c r="AC482" s="62" t="str">
        <f t="array" ref="AC482">IF(AH482&lt;&gt;"COMPRAR","",IF(MAX(INDEX(Ventas!$G$2:$G$5000,MATCH($A482,Ventas!$A$2:$A$5000,0)),INDEX(Ventas!$H$2:$H$5000,MATCH($A482,Ventas!$A$2:$A$5000,0)),INDEX(Ventas!$I$2:$I$5000,MATCH($A482,Ventas!$A$2:$A$5000,0)),INDEX(Ventas!$J$2:$J$5000,MATCH($A482,Ventas!$A$2:$A$5000,0)))&gt;0.5*AF482*4,"1 mes = "&amp;TEXT(MAX(INDEX(Ventas!$G$2:$G$5000,MATCH($A482,Ventas!$A$2:$A$5000,0)),INDEX(Ventas!$H$2:$H$5000,MATCH($A482,Ventas!$A$2:$A$5000,0)),INDEX(Ventas!$I$2:$I$5000,MATCH($A482,Ventas!$A$2:$A$5000,0)),INDEX(Ventas!$J$2:$J$5000,MATCH($A482,Ventas!$A$2:$A$5000,0)))/(AF482*4),"0%")&amp;" de 4 meses",""))</f>
        <v/>
      </c>
      <c r="AD482" s="62" t="str">
        <f t="shared" si="7"/>
        <v/>
      </c>
      <c r="AE482" s="62" t="str">
        <f t="array" ref="AE482">IF(X482="","",IF(AND(E482=0,AVERAGE(INDEX(Ventas!$C$2:$I$5000,MATCH($A482,Ventas!$A$2:$A$5000,0),0))&gt;0,INDEX(Ventas!$J$2:$J$5000,MATCH($A482,Ventas!$A$2:$A$5000,0))&lt;0.5*AVERAGE(INDEX(Ventas!$C$2:$I$5000,MATCH($A482,Ventas!$A$2:$A$5000,0),0))),"SÍ — stock 0 y Sep cayó (prom Feb-Ago "&amp;TEXT(AVERAGE(INDEX(Ventas!$C$2:$I$5000,MATCH($A482,Ventas!$A$2:$A$5000,0),0)),"#,##0")&amp;")",""))</f>
        <v>SÍ — stock 0 y Sep cayó (prom Feb-Ago 580)</v>
      </c>
      <c r="AF482" s="60">
        <f t="array" ref="AF482">IF(X482="","",IF(AE482&lt;&gt;"",MAX(X482,AVERAGE(INDEX(Ventas!$C$2:$I$5000,MATCH($A482,Ventas!$A$2:$A$5000,0),0))),X482))</f>
        <v>580.1428571</v>
      </c>
      <c r="AG482" s="60">
        <f t="shared" si="8"/>
        <v>-5836</v>
      </c>
      <c r="AH482" s="63" t="str">
        <f t="shared" si="9"/>
        <v>PEDIR MENOS</v>
      </c>
    </row>
    <row r="483" ht="13.5" customHeight="1">
      <c r="A483" s="49" t="s">
        <v>3586</v>
      </c>
      <c r="B483" s="50" t="s">
        <v>3865</v>
      </c>
      <c r="C483" s="50" t="s">
        <v>3872</v>
      </c>
      <c r="D483" s="50" t="s">
        <v>3874</v>
      </c>
      <c r="E483" s="51">
        <v>0.0</v>
      </c>
      <c r="F483" s="52">
        <v>3087.0</v>
      </c>
      <c r="G483" s="53"/>
      <c r="H483" s="55"/>
      <c r="I483" s="55"/>
      <c r="J483" s="53"/>
      <c r="K483" s="53"/>
      <c r="L483" s="55"/>
      <c r="M483" s="53">
        <v>1000.0</v>
      </c>
      <c r="N483" s="74"/>
      <c r="O483" s="57" t="str">
        <f t="shared" si="1"/>
        <v>PEDIR MENOS — sobran 3,196 m; revisar pedidos sin facturar (1,000 m)</v>
      </c>
      <c r="P483" s="58">
        <f t="shared" si="2"/>
        <v>4087</v>
      </c>
      <c r="Q483" s="1"/>
      <c r="R483" s="1"/>
      <c r="S483" s="1"/>
      <c r="T483" s="1"/>
      <c r="U483" s="1"/>
      <c r="V483" s="1"/>
      <c r="W483" s="1"/>
      <c r="X483" s="60">
        <f>IFERROR(VLOOKUP($A483,Ventas!$A$2:$L$5000,12,FALSE()),"")</f>
        <v>222.75</v>
      </c>
      <c r="Y483" s="60">
        <f t="shared" si="3"/>
        <v>891</v>
      </c>
      <c r="Z483" s="61">
        <f t="shared" si="4"/>
        <v>18.3</v>
      </c>
      <c r="AA483" s="60">
        <f t="shared" si="5"/>
        <v>-3196</v>
      </c>
      <c r="AB483" s="62" t="str">
        <f t="shared" si="6"/>
        <v/>
      </c>
      <c r="AC483" s="62" t="str">
        <f t="array" ref="AC483">IF(AH483&lt;&gt;"COMPRAR","",IF(MAX(INDEX(Ventas!$G$2:$G$5000,MATCH($A483,Ventas!$A$2:$A$5000,0)),INDEX(Ventas!$H$2:$H$5000,MATCH($A483,Ventas!$A$2:$A$5000,0)),INDEX(Ventas!$I$2:$I$5000,MATCH($A483,Ventas!$A$2:$A$5000,0)),INDEX(Ventas!$J$2:$J$5000,MATCH($A483,Ventas!$A$2:$A$5000,0)))&gt;0.5*AF483*4,"1 mes = "&amp;TEXT(MAX(INDEX(Ventas!$G$2:$G$5000,MATCH($A483,Ventas!$A$2:$A$5000,0)),INDEX(Ventas!$H$2:$H$5000,MATCH($A483,Ventas!$A$2:$A$5000,0)),INDEX(Ventas!$I$2:$I$5000,MATCH($A483,Ventas!$A$2:$A$5000,0)),INDEX(Ventas!$J$2:$J$5000,MATCH($A483,Ventas!$A$2:$A$5000,0)))/(AF483*4),"0%")&amp;" de 4 meses",""))</f>
        <v/>
      </c>
      <c r="AD483" s="62" t="str">
        <f t="shared" si="7"/>
        <v/>
      </c>
      <c r="AE483" s="62" t="str">
        <f t="array" ref="AE483">IF(X483="","",IF(AND(E483=0,AVERAGE(INDEX(Ventas!$C$2:$I$5000,MATCH($A483,Ventas!$A$2:$A$5000,0),0))&gt;0,INDEX(Ventas!$J$2:$J$5000,MATCH($A483,Ventas!$A$2:$A$5000,0))&lt;0.5*AVERAGE(INDEX(Ventas!$C$2:$I$5000,MATCH($A483,Ventas!$A$2:$A$5000,0),0))),"SÍ — stock 0 y Sep cayó (prom Feb-Ago "&amp;TEXT(AVERAGE(INDEX(Ventas!$C$2:$I$5000,MATCH($A483,Ventas!$A$2:$A$5000,0),0)),"#,##0")&amp;")",""))</f>
        <v>SÍ — stock 0 y Sep cayó (prom Feb-Ago 170)</v>
      </c>
      <c r="AF483" s="60">
        <f t="array" ref="AF483">IF(X483="","",IF(AE483&lt;&gt;"",MAX(X483,AVERAGE(INDEX(Ventas!$C$2:$I$5000,MATCH($A483,Ventas!$A$2:$A$5000,0),0))),X483))</f>
        <v>222.75</v>
      </c>
      <c r="AG483" s="60">
        <f t="shared" si="8"/>
        <v>-3196</v>
      </c>
      <c r="AH483" s="63" t="str">
        <f t="shared" si="9"/>
        <v>PEDIR MENOS</v>
      </c>
    </row>
    <row r="484" ht="13.5" customHeight="1">
      <c r="A484" s="64" t="s">
        <v>3584</v>
      </c>
      <c r="B484" s="65" t="s">
        <v>3865</v>
      </c>
      <c r="C484" s="65" t="s">
        <v>3872</v>
      </c>
      <c r="D484" s="65" t="s">
        <v>3875</v>
      </c>
      <c r="E484" s="51">
        <v>0.0</v>
      </c>
      <c r="F484" s="66">
        <v>3291.0</v>
      </c>
      <c r="G484" s="53"/>
      <c r="H484" s="55"/>
      <c r="I484" s="55"/>
      <c r="J484" s="53"/>
      <c r="K484" s="53"/>
      <c r="L484" s="55"/>
      <c r="M484" s="53">
        <v>2000.0</v>
      </c>
      <c r="N484" s="73"/>
      <c r="O484" s="57" t="str">
        <f t="shared" si="1"/>
        <v>PEDIR MENOS — sobran 4,791 m; revisar pedidos sin facturar (2,000 m)</v>
      </c>
      <c r="P484" s="58">
        <f t="shared" si="2"/>
        <v>5291</v>
      </c>
      <c r="Q484" s="1"/>
      <c r="R484" s="1"/>
      <c r="S484" s="1"/>
      <c r="T484" s="1"/>
      <c r="U484" s="1"/>
      <c r="V484" s="1"/>
      <c r="W484" s="1"/>
      <c r="X484" s="60">
        <f>IFERROR(VLOOKUP($A484,Ventas!$A$2:$L$5000,12,FALSE()),"")</f>
        <v>125</v>
      </c>
      <c r="Y484" s="60">
        <f t="shared" si="3"/>
        <v>500</v>
      </c>
      <c r="Z484" s="61">
        <f t="shared" si="4"/>
        <v>42.3</v>
      </c>
      <c r="AA484" s="60">
        <f t="shared" si="5"/>
        <v>-4791</v>
      </c>
      <c r="AB484" s="62" t="str">
        <f t="shared" si="6"/>
        <v/>
      </c>
      <c r="AC484" s="62" t="str">
        <f t="array" ref="AC484">IF(AH484&lt;&gt;"COMPRAR","",IF(MAX(INDEX(Ventas!$G$2:$G$5000,MATCH($A484,Ventas!$A$2:$A$5000,0)),INDEX(Ventas!$H$2:$H$5000,MATCH($A484,Ventas!$A$2:$A$5000,0)),INDEX(Ventas!$I$2:$I$5000,MATCH($A484,Ventas!$A$2:$A$5000,0)),INDEX(Ventas!$J$2:$J$5000,MATCH($A484,Ventas!$A$2:$A$5000,0)))&gt;0.5*AF484*4,"1 mes = "&amp;TEXT(MAX(INDEX(Ventas!$G$2:$G$5000,MATCH($A484,Ventas!$A$2:$A$5000,0)),INDEX(Ventas!$H$2:$H$5000,MATCH($A484,Ventas!$A$2:$A$5000,0)),INDEX(Ventas!$I$2:$I$5000,MATCH($A484,Ventas!$A$2:$A$5000,0)),INDEX(Ventas!$J$2:$J$5000,MATCH($A484,Ventas!$A$2:$A$5000,0)))/(AF484*4),"0%")&amp;" de 4 meses",""))</f>
        <v/>
      </c>
      <c r="AD484" s="62" t="str">
        <f t="shared" si="7"/>
        <v/>
      </c>
      <c r="AE484" s="62" t="str">
        <f t="array" ref="AE484">IF(X484="","",IF(AND(E484=0,AVERAGE(INDEX(Ventas!$C$2:$I$5000,MATCH($A484,Ventas!$A$2:$A$5000,0),0))&gt;0,INDEX(Ventas!$J$2:$J$5000,MATCH($A484,Ventas!$A$2:$A$5000,0))&lt;0.5*AVERAGE(INDEX(Ventas!$C$2:$I$5000,MATCH($A484,Ventas!$A$2:$A$5000,0),0))),"SÍ — stock 0 y Sep cayó (prom Feb-Ago "&amp;TEXT(AVERAGE(INDEX(Ventas!$C$2:$I$5000,MATCH($A484,Ventas!$A$2:$A$5000,0),0)),"#,##0")&amp;")",""))</f>
        <v>SÍ — stock 0 y Sep cayó (prom Feb-Ago 114)</v>
      </c>
      <c r="AF484" s="60">
        <f t="array" ref="AF484">IF(X484="","",IF(AE484&lt;&gt;"",MAX(X484,AVERAGE(INDEX(Ventas!$C$2:$I$5000,MATCH($A484,Ventas!$A$2:$A$5000,0),0))),X484))</f>
        <v>125</v>
      </c>
      <c r="AG484" s="60">
        <f t="shared" si="8"/>
        <v>-4791</v>
      </c>
      <c r="AH484" s="63" t="str">
        <f t="shared" si="9"/>
        <v>PEDIR MENOS</v>
      </c>
    </row>
    <row r="485" ht="13.5" customHeight="1">
      <c r="A485" s="49" t="s">
        <v>2599</v>
      </c>
      <c r="B485" s="50" t="s">
        <v>3865</v>
      </c>
      <c r="C485" s="50" t="s">
        <v>3876</v>
      </c>
      <c r="D485" s="50" t="s">
        <v>1329</v>
      </c>
      <c r="E485" s="51">
        <v>0.0</v>
      </c>
      <c r="F485" s="52">
        <v>14367.0</v>
      </c>
      <c r="G485" s="53"/>
      <c r="H485" s="55"/>
      <c r="I485" s="55"/>
      <c r="J485" s="53">
        <v>9500.0</v>
      </c>
      <c r="K485" s="53"/>
      <c r="L485" s="55"/>
      <c r="M485" s="53">
        <v>9000.0</v>
      </c>
      <c r="N485" s="74"/>
      <c r="O485" s="57" t="str">
        <f t="shared" si="1"/>
        <v>PEDIR MENOS — sobran 21,128 m; revisar pedidos sin facturar (18,500 m)</v>
      </c>
      <c r="P485" s="58">
        <f t="shared" si="2"/>
        <v>32867</v>
      </c>
      <c r="Q485" s="1"/>
      <c r="R485" s="1"/>
      <c r="S485" s="1"/>
      <c r="T485" s="1"/>
      <c r="U485" s="1"/>
      <c r="V485" s="1"/>
      <c r="W485" s="1"/>
      <c r="X485" s="60">
        <f>IFERROR(VLOOKUP($A485,Ventas!$A$2:$L$5000,12,FALSE()),"")</f>
        <v>2934.75</v>
      </c>
      <c r="Y485" s="60">
        <f t="shared" si="3"/>
        <v>11739</v>
      </c>
      <c r="Z485" s="61">
        <f t="shared" si="4"/>
        <v>11.2</v>
      </c>
      <c r="AA485" s="60">
        <f t="shared" si="5"/>
        <v>-21128</v>
      </c>
      <c r="AB485" s="62" t="str">
        <f t="shared" si="6"/>
        <v/>
      </c>
      <c r="AC485" s="62" t="str">
        <f t="array" ref="AC485">IF(AH485&lt;&gt;"COMPRAR","",IF(MAX(INDEX(Ventas!$G$2:$G$5000,MATCH($A485,Ventas!$A$2:$A$5000,0)),INDEX(Ventas!$H$2:$H$5000,MATCH($A485,Ventas!$A$2:$A$5000,0)),INDEX(Ventas!$I$2:$I$5000,MATCH($A485,Ventas!$A$2:$A$5000,0)),INDEX(Ventas!$J$2:$J$5000,MATCH($A485,Ventas!$A$2:$A$5000,0)))&gt;0.5*AF485*4,"1 mes = "&amp;TEXT(MAX(INDEX(Ventas!$G$2:$G$5000,MATCH($A485,Ventas!$A$2:$A$5000,0)),INDEX(Ventas!$H$2:$H$5000,MATCH($A485,Ventas!$A$2:$A$5000,0)),INDEX(Ventas!$I$2:$I$5000,MATCH($A485,Ventas!$A$2:$A$5000,0)),INDEX(Ventas!$J$2:$J$5000,MATCH($A485,Ventas!$A$2:$A$5000,0)))/(AF485*4),"0%")&amp;" de 4 meses",""))</f>
        <v/>
      </c>
      <c r="AD485" s="62" t="str">
        <f t="shared" si="7"/>
        <v/>
      </c>
      <c r="AE485" s="62" t="str">
        <f t="array" ref="AE485">IF(X485="","",IF(AND(E485=0,AVERAGE(INDEX(Ventas!$C$2:$I$5000,MATCH($A485,Ventas!$A$2:$A$5000,0),0))&gt;0,INDEX(Ventas!$J$2:$J$5000,MATCH($A485,Ventas!$A$2:$A$5000,0))&lt;0.5*AVERAGE(INDEX(Ventas!$C$2:$I$5000,MATCH($A485,Ventas!$A$2:$A$5000,0),0))),"SÍ — stock 0 y Sep cayó (prom Feb-Ago "&amp;TEXT(AVERAGE(INDEX(Ventas!$C$2:$I$5000,MATCH($A485,Ventas!$A$2:$A$5000,0),0)),"#,##0")&amp;")",""))</f>
        <v>SÍ — stock 0 y Sep cayó (prom Feb-Ago 3,513)</v>
      </c>
      <c r="AF485" s="60">
        <f t="array" ref="AF485">IF(X485="","",IF(AE485&lt;&gt;"",MAX(X485,AVERAGE(INDEX(Ventas!$C$2:$I$5000,MATCH($A485,Ventas!$A$2:$A$5000,0),0))),X485))</f>
        <v>3512.857143</v>
      </c>
      <c r="AG485" s="60">
        <f t="shared" si="8"/>
        <v>-18816</v>
      </c>
      <c r="AH485" s="63" t="str">
        <f t="shared" si="9"/>
        <v>PEDIR MENOS</v>
      </c>
    </row>
    <row r="486" ht="13.5" customHeight="1">
      <c r="A486" s="64" t="s">
        <v>2603</v>
      </c>
      <c r="B486" s="65" t="s">
        <v>3865</v>
      </c>
      <c r="C486" s="65" t="s">
        <v>3876</v>
      </c>
      <c r="D486" s="65" t="s">
        <v>3877</v>
      </c>
      <c r="E486" s="51">
        <v>0.0</v>
      </c>
      <c r="F486" s="66"/>
      <c r="G486" s="53"/>
      <c r="H486" s="55"/>
      <c r="I486" s="55"/>
      <c r="J486" s="53">
        <v>2000.0</v>
      </c>
      <c r="K486" s="53"/>
      <c r="L486" s="55"/>
      <c r="M486" s="53">
        <v>1000.0</v>
      </c>
      <c r="N486" s="73"/>
      <c r="O486" s="57" t="str">
        <f t="shared" si="1"/>
        <v>PEDIR MENOS — sobran 1,268 m; revisar pedidos sin facturar (3,000 m)</v>
      </c>
      <c r="P486" s="58">
        <f t="shared" si="2"/>
        <v>3000</v>
      </c>
      <c r="Q486" s="1"/>
      <c r="R486" s="1"/>
      <c r="S486" s="1"/>
      <c r="T486" s="1"/>
      <c r="U486" s="1"/>
      <c r="V486" s="1"/>
      <c r="W486" s="1"/>
      <c r="X486" s="60">
        <f>IFERROR(VLOOKUP($A486,Ventas!$A$2:$L$5000,12,FALSE()),"")</f>
        <v>433</v>
      </c>
      <c r="Y486" s="60">
        <f t="shared" si="3"/>
        <v>1732</v>
      </c>
      <c r="Z486" s="61">
        <f t="shared" si="4"/>
        <v>6.9</v>
      </c>
      <c r="AA486" s="60">
        <f t="shared" si="5"/>
        <v>-1268</v>
      </c>
      <c r="AB486" s="62" t="str">
        <f t="shared" si="6"/>
        <v/>
      </c>
      <c r="AC486" s="62" t="str">
        <f t="array" ref="AC486">IF(AH486&lt;&gt;"COMPRAR","",IF(MAX(INDEX(Ventas!$G$2:$G$5000,MATCH($A486,Ventas!$A$2:$A$5000,0)),INDEX(Ventas!$H$2:$H$5000,MATCH($A486,Ventas!$A$2:$A$5000,0)),INDEX(Ventas!$I$2:$I$5000,MATCH($A486,Ventas!$A$2:$A$5000,0)),INDEX(Ventas!$J$2:$J$5000,MATCH($A486,Ventas!$A$2:$A$5000,0)))&gt;0.5*AF486*4,"1 mes = "&amp;TEXT(MAX(INDEX(Ventas!$G$2:$G$5000,MATCH($A486,Ventas!$A$2:$A$5000,0)),INDEX(Ventas!$H$2:$H$5000,MATCH($A486,Ventas!$A$2:$A$5000,0)),INDEX(Ventas!$I$2:$I$5000,MATCH($A486,Ventas!$A$2:$A$5000,0)),INDEX(Ventas!$J$2:$J$5000,MATCH($A486,Ventas!$A$2:$A$5000,0)))/(AF486*4),"0%")&amp;" de 4 meses",""))</f>
        <v/>
      </c>
      <c r="AD486" s="62" t="str">
        <f t="shared" si="7"/>
        <v>SÍ — 0 m vs 229 m</v>
      </c>
      <c r="AE486" s="62" t="str">
        <f t="array" ref="AE486">IF(X486="","",IF(AND(E486=0,AVERAGE(INDEX(Ventas!$C$2:$I$5000,MATCH($A486,Ventas!$A$2:$A$5000,0),0))&gt;0,INDEX(Ventas!$J$2:$J$5000,MATCH($A486,Ventas!$A$2:$A$5000,0))&lt;0.5*AVERAGE(INDEX(Ventas!$C$2:$I$5000,MATCH($A486,Ventas!$A$2:$A$5000,0),0))),"SÍ — stock 0 y Sep cayó (prom Feb-Ago "&amp;TEXT(AVERAGE(INDEX(Ventas!$C$2:$I$5000,MATCH($A486,Ventas!$A$2:$A$5000,0),0)),"#,##0")&amp;")",""))</f>
        <v/>
      </c>
      <c r="AF486" s="60">
        <f t="array" ref="AF486">IF(X486="","",IF(AE486&lt;&gt;"",MAX(X486,AVERAGE(INDEX(Ventas!$C$2:$I$5000,MATCH($A486,Ventas!$A$2:$A$5000,0),0))),X486))</f>
        <v>433</v>
      </c>
      <c r="AG486" s="60">
        <f t="shared" si="8"/>
        <v>-1268</v>
      </c>
      <c r="AH486" s="63" t="str">
        <f t="shared" si="9"/>
        <v>PEDIR MENOS</v>
      </c>
    </row>
    <row r="487" ht="13.5" customHeight="1">
      <c r="A487" s="49" t="s">
        <v>2601</v>
      </c>
      <c r="B487" s="50" t="s">
        <v>3865</v>
      </c>
      <c r="C487" s="50" t="s">
        <v>3876</v>
      </c>
      <c r="D487" s="50" t="s">
        <v>646</v>
      </c>
      <c r="E487" s="51">
        <v>0.0</v>
      </c>
      <c r="F487" s="52"/>
      <c r="G487" s="53"/>
      <c r="H487" s="55"/>
      <c r="I487" s="55"/>
      <c r="J487" s="53">
        <v>1500.0</v>
      </c>
      <c r="K487" s="53"/>
      <c r="L487" s="55"/>
      <c r="M487" s="53"/>
      <c r="N487" s="74"/>
      <c r="O487" s="57" t="str">
        <f t="shared" si="1"/>
        <v>COMPRAR — faltan 1,903 m para 4 meses (ya contando pedidos)</v>
      </c>
      <c r="P487" s="58">
        <f t="shared" si="2"/>
        <v>1500</v>
      </c>
      <c r="Q487" s="1"/>
      <c r="R487" s="1"/>
      <c r="S487" s="1"/>
      <c r="T487" s="1"/>
      <c r="U487" s="1"/>
      <c r="V487" s="1"/>
      <c r="W487" s="1"/>
      <c r="X487" s="60">
        <f>IFERROR(VLOOKUP($A487,Ventas!$A$2:$L$5000,12,FALSE()),"")</f>
        <v>850.75</v>
      </c>
      <c r="Y487" s="60">
        <f t="shared" si="3"/>
        <v>3403</v>
      </c>
      <c r="Z487" s="61">
        <f t="shared" si="4"/>
        <v>1.8</v>
      </c>
      <c r="AA487" s="60">
        <f t="shared" si="5"/>
        <v>1903</v>
      </c>
      <c r="AB487" s="62" t="str">
        <f t="shared" si="6"/>
        <v/>
      </c>
      <c r="AC487" s="62" t="str">
        <f t="array" ref="AC487">IF(AH487&lt;&gt;"COMPRAR","",IF(MAX(INDEX(Ventas!$G$2:$G$5000,MATCH($A487,Ventas!$A$2:$A$5000,0)),INDEX(Ventas!$H$2:$H$5000,MATCH($A487,Ventas!$A$2:$A$5000,0)),INDEX(Ventas!$I$2:$I$5000,MATCH($A487,Ventas!$A$2:$A$5000,0)),INDEX(Ventas!$J$2:$J$5000,MATCH($A487,Ventas!$A$2:$A$5000,0)))&gt;0.5*AF487*4,"1 mes = "&amp;TEXT(MAX(INDEX(Ventas!$G$2:$G$5000,MATCH($A487,Ventas!$A$2:$A$5000,0)),INDEX(Ventas!$H$2:$H$5000,MATCH($A487,Ventas!$A$2:$A$5000,0)),INDEX(Ventas!$I$2:$I$5000,MATCH($A487,Ventas!$A$2:$A$5000,0)),INDEX(Ventas!$J$2:$J$5000,MATCH($A487,Ventas!$A$2:$A$5000,0)))/(AF487*4),"0%")&amp;" de 4 meses",""))</f>
        <v>1 mes = 54% de 4 meses</v>
      </c>
      <c r="AD487" s="62" t="str">
        <f t="shared" si="7"/>
        <v>SÍ — 0 m vs 451 m</v>
      </c>
      <c r="AE487" s="62" t="str">
        <f t="array" ref="AE487">IF(X487="","",IF(AND(E487=0,AVERAGE(INDEX(Ventas!$C$2:$I$5000,MATCH($A487,Ventas!$A$2:$A$5000,0),0))&gt;0,INDEX(Ventas!$J$2:$J$5000,MATCH($A487,Ventas!$A$2:$A$5000,0))&lt;0.5*AVERAGE(INDEX(Ventas!$C$2:$I$5000,MATCH($A487,Ventas!$A$2:$A$5000,0),0))),"SÍ — stock 0 y Sep cayó (prom Feb-Ago "&amp;TEXT(AVERAGE(INDEX(Ventas!$C$2:$I$5000,MATCH($A487,Ventas!$A$2:$A$5000,0),0)),"#,##0")&amp;")",""))</f>
        <v/>
      </c>
      <c r="AF487" s="60">
        <f t="array" ref="AF487">IF(X487="","",IF(AE487&lt;&gt;"",MAX(X487,AVERAGE(INDEX(Ventas!$C$2:$I$5000,MATCH($A487,Ventas!$A$2:$A$5000,0),0))),X487))</f>
        <v>850.75</v>
      </c>
      <c r="AG487" s="60">
        <f t="shared" si="8"/>
        <v>1903</v>
      </c>
      <c r="AH487" s="63" t="str">
        <f t="shared" si="9"/>
        <v>COMPRAR</v>
      </c>
    </row>
    <row r="488" ht="13.5" customHeight="1">
      <c r="A488" s="64" t="s">
        <v>2597</v>
      </c>
      <c r="B488" s="65" t="s">
        <v>3865</v>
      </c>
      <c r="C488" s="65" t="s">
        <v>3876</v>
      </c>
      <c r="D488" s="65" t="s">
        <v>3878</v>
      </c>
      <c r="E488" s="51">
        <v>0.0</v>
      </c>
      <c r="F488" s="66">
        <v>4061.0</v>
      </c>
      <c r="G488" s="53"/>
      <c r="H488" s="55"/>
      <c r="I488" s="55"/>
      <c r="J488" s="53">
        <v>4000.0</v>
      </c>
      <c r="K488" s="53"/>
      <c r="L488" s="55"/>
      <c r="M488" s="53">
        <v>3000.0</v>
      </c>
      <c r="N488" s="73"/>
      <c r="O488" s="57" t="str">
        <f t="shared" si="1"/>
        <v>PEDIR MENOS — sobran 7,727 m; revisar pedidos sin facturar (7,000 m)</v>
      </c>
      <c r="P488" s="58">
        <f t="shared" si="2"/>
        <v>11061</v>
      </c>
      <c r="Q488" s="1"/>
      <c r="R488" s="1"/>
      <c r="S488" s="1"/>
      <c r="T488" s="1"/>
      <c r="U488" s="1"/>
      <c r="V488" s="1"/>
      <c r="W488" s="1"/>
      <c r="X488" s="60">
        <f>IFERROR(VLOOKUP($A488,Ventas!$A$2:$L$5000,12,FALSE()),"")</f>
        <v>833.5</v>
      </c>
      <c r="Y488" s="60">
        <f t="shared" si="3"/>
        <v>3334</v>
      </c>
      <c r="Z488" s="61">
        <f t="shared" si="4"/>
        <v>13.3</v>
      </c>
      <c r="AA488" s="60">
        <f t="shared" si="5"/>
        <v>-7727</v>
      </c>
      <c r="AB488" s="62" t="str">
        <f t="shared" si="6"/>
        <v/>
      </c>
      <c r="AC488" s="62" t="str">
        <f t="array" ref="AC488">IF(AH488&lt;&gt;"COMPRAR","",IF(MAX(INDEX(Ventas!$G$2:$G$5000,MATCH($A488,Ventas!$A$2:$A$5000,0)),INDEX(Ventas!$H$2:$H$5000,MATCH($A488,Ventas!$A$2:$A$5000,0)),INDEX(Ventas!$I$2:$I$5000,MATCH($A488,Ventas!$A$2:$A$5000,0)),INDEX(Ventas!$J$2:$J$5000,MATCH($A488,Ventas!$A$2:$A$5000,0)))&gt;0.5*AF488*4,"1 mes = "&amp;TEXT(MAX(INDEX(Ventas!$G$2:$G$5000,MATCH($A488,Ventas!$A$2:$A$5000,0)),INDEX(Ventas!$H$2:$H$5000,MATCH($A488,Ventas!$A$2:$A$5000,0)),INDEX(Ventas!$I$2:$I$5000,MATCH($A488,Ventas!$A$2:$A$5000,0)),INDEX(Ventas!$J$2:$J$5000,MATCH($A488,Ventas!$A$2:$A$5000,0)))/(AF488*4),"0%")&amp;" de 4 meses",""))</f>
        <v/>
      </c>
      <c r="AD488" s="62" t="str">
        <f t="shared" si="7"/>
        <v/>
      </c>
      <c r="AE488" s="62" t="str">
        <f t="array" ref="AE488">IF(X488="","",IF(AND(E488=0,AVERAGE(INDEX(Ventas!$C$2:$I$5000,MATCH($A488,Ventas!$A$2:$A$5000,0),0))&gt;0,INDEX(Ventas!$J$2:$J$5000,MATCH($A488,Ventas!$A$2:$A$5000,0))&lt;0.5*AVERAGE(INDEX(Ventas!$C$2:$I$5000,MATCH($A488,Ventas!$A$2:$A$5000,0),0))),"SÍ — stock 0 y Sep cayó (prom Feb-Ago "&amp;TEXT(AVERAGE(INDEX(Ventas!$C$2:$I$5000,MATCH($A488,Ventas!$A$2:$A$5000,0),0)),"#,##0")&amp;")",""))</f>
        <v>SÍ — stock 0 y Sep cayó (prom Feb-Ago 1,198)</v>
      </c>
      <c r="AF488" s="60">
        <f t="array" ref="AF488">IF(X488="","",IF(AE488&lt;&gt;"",MAX(X488,AVERAGE(INDEX(Ventas!$C$2:$I$5000,MATCH($A488,Ventas!$A$2:$A$5000,0),0))),X488))</f>
        <v>1197.714286</v>
      </c>
      <c r="AG488" s="60">
        <f t="shared" si="8"/>
        <v>-6270</v>
      </c>
      <c r="AH488" s="63" t="str">
        <f t="shared" si="9"/>
        <v>PEDIR MENOS</v>
      </c>
    </row>
    <row r="489" ht="13.5" customHeight="1">
      <c r="A489" s="49" t="s">
        <v>2595</v>
      </c>
      <c r="B489" s="50" t="s">
        <v>3865</v>
      </c>
      <c r="C489" s="50" t="s">
        <v>3876</v>
      </c>
      <c r="D489" s="50" t="s">
        <v>3879</v>
      </c>
      <c r="E489" s="51">
        <v>2362.0</v>
      </c>
      <c r="F489" s="52"/>
      <c r="G489" s="53"/>
      <c r="H489" s="55"/>
      <c r="I489" s="55"/>
      <c r="J489" s="53"/>
      <c r="K489" s="53"/>
      <c r="L489" s="55"/>
      <c r="M489" s="53"/>
      <c r="N489" s="74"/>
      <c r="O489" s="57" t="str">
        <f t="shared" si="1"/>
        <v>OK — cubierto (6.3 meses)</v>
      </c>
      <c r="P489" s="58">
        <f t="shared" si="2"/>
        <v>2362</v>
      </c>
      <c r="Q489" s="1"/>
      <c r="R489" s="1"/>
      <c r="S489" s="1"/>
      <c r="T489" s="1"/>
      <c r="U489" s="1"/>
      <c r="V489" s="1"/>
      <c r="W489" s="1"/>
      <c r="X489" s="60">
        <f>IFERROR(VLOOKUP($A489,Ventas!$A$2:$L$5000,12,FALSE()),"")</f>
        <v>376.75</v>
      </c>
      <c r="Y489" s="60">
        <f t="shared" si="3"/>
        <v>1507</v>
      </c>
      <c r="Z489" s="61">
        <f t="shared" si="4"/>
        <v>6.3</v>
      </c>
      <c r="AA489" s="60">
        <f t="shared" si="5"/>
        <v>-855</v>
      </c>
      <c r="AB489" s="62" t="str">
        <f t="shared" si="6"/>
        <v/>
      </c>
      <c r="AC489" s="62" t="str">
        <f t="array" ref="AC489">IF(AH489&lt;&gt;"COMPRAR","",IF(MAX(INDEX(Ventas!$G$2:$G$5000,MATCH($A489,Ventas!$A$2:$A$5000,0)),INDEX(Ventas!$H$2:$H$5000,MATCH($A489,Ventas!$A$2:$A$5000,0)),INDEX(Ventas!$I$2:$I$5000,MATCH($A489,Ventas!$A$2:$A$5000,0)),INDEX(Ventas!$J$2:$J$5000,MATCH($A489,Ventas!$A$2:$A$5000,0)))&gt;0.5*AF489*4,"1 mes = "&amp;TEXT(MAX(INDEX(Ventas!$G$2:$G$5000,MATCH($A489,Ventas!$A$2:$A$5000,0)),INDEX(Ventas!$H$2:$H$5000,MATCH($A489,Ventas!$A$2:$A$5000,0)),INDEX(Ventas!$I$2:$I$5000,MATCH($A489,Ventas!$A$2:$A$5000,0)),INDEX(Ventas!$J$2:$J$5000,MATCH($A489,Ventas!$A$2:$A$5000,0)))/(AF489*4),"0%")&amp;" de 4 meses",""))</f>
        <v/>
      </c>
      <c r="AD489" s="62" t="str">
        <f t="shared" si="7"/>
        <v/>
      </c>
      <c r="AE489" s="62" t="str">
        <f t="array" ref="AE489">IF(X489="","",IF(AND(E489=0,AVERAGE(INDEX(Ventas!$C$2:$I$5000,MATCH($A489,Ventas!$A$2:$A$5000,0),0))&gt;0,INDEX(Ventas!$J$2:$J$5000,MATCH($A489,Ventas!$A$2:$A$5000,0))&lt;0.5*AVERAGE(INDEX(Ventas!$C$2:$I$5000,MATCH($A489,Ventas!$A$2:$A$5000,0),0))),"SÍ — stock 0 y Sep cayó (prom Feb-Ago "&amp;TEXT(AVERAGE(INDEX(Ventas!$C$2:$I$5000,MATCH($A489,Ventas!$A$2:$A$5000,0),0)),"#,##0")&amp;")",""))</f>
        <v/>
      </c>
      <c r="AF489" s="60">
        <f t="array" ref="AF489">IF(X489="","",IF(AE489&lt;&gt;"",MAX(X489,AVERAGE(INDEX(Ventas!$C$2:$I$5000,MATCH($A489,Ventas!$A$2:$A$5000,0),0))),X489))</f>
        <v>376.75</v>
      </c>
      <c r="AG489" s="60">
        <f t="shared" si="8"/>
        <v>-855</v>
      </c>
      <c r="AH489" s="63" t="str">
        <f t="shared" si="9"/>
        <v>OK</v>
      </c>
    </row>
    <row r="490" ht="13.5" customHeight="1">
      <c r="A490" s="64" t="s">
        <v>2593</v>
      </c>
      <c r="B490" s="65" t="s">
        <v>3865</v>
      </c>
      <c r="C490" s="65" t="s">
        <v>3876</v>
      </c>
      <c r="D490" s="65" t="s">
        <v>1009</v>
      </c>
      <c r="E490" s="51">
        <v>0.0</v>
      </c>
      <c r="F490" s="66">
        <v>4941.0</v>
      </c>
      <c r="G490" s="53"/>
      <c r="H490" s="55"/>
      <c r="I490" s="55"/>
      <c r="J490" s="53">
        <v>4500.0</v>
      </c>
      <c r="K490" s="53"/>
      <c r="L490" s="55"/>
      <c r="M490" s="53">
        <v>3000.0</v>
      </c>
      <c r="N490" s="73"/>
      <c r="O490" s="57" t="str">
        <f t="shared" si="1"/>
        <v>PEDIR MENOS — sobran 10,177 m; revisar pedidos sin facturar (7,500 m)</v>
      </c>
      <c r="P490" s="58">
        <f t="shared" si="2"/>
        <v>12441</v>
      </c>
      <c r="Q490" s="1"/>
      <c r="R490" s="1"/>
      <c r="S490" s="1"/>
      <c r="T490" s="1"/>
      <c r="U490" s="1"/>
      <c r="V490" s="1"/>
      <c r="W490" s="1"/>
      <c r="X490" s="60">
        <f>IFERROR(VLOOKUP($A490,Ventas!$A$2:$L$5000,12,FALSE()),"")</f>
        <v>566</v>
      </c>
      <c r="Y490" s="60">
        <f t="shared" si="3"/>
        <v>2264</v>
      </c>
      <c r="Z490" s="61">
        <f t="shared" si="4"/>
        <v>22</v>
      </c>
      <c r="AA490" s="60">
        <f t="shared" si="5"/>
        <v>-10177</v>
      </c>
      <c r="AB490" s="62" t="str">
        <f t="shared" si="6"/>
        <v/>
      </c>
      <c r="AC490" s="62" t="str">
        <f t="array" ref="AC490">IF(AH490&lt;&gt;"COMPRAR","",IF(MAX(INDEX(Ventas!$G$2:$G$5000,MATCH($A490,Ventas!$A$2:$A$5000,0)),INDEX(Ventas!$H$2:$H$5000,MATCH($A490,Ventas!$A$2:$A$5000,0)),INDEX(Ventas!$I$2:$I$5000,MATCH($A490,Ventas!$A$2:$A$5000,0)),INDEX(Ventas!$J$2:$J$5000,MATCH($A490,Ventas!$A$2:$A$5000,0)))&gt;0.5*AF490*4,"1 mes = "&amp;TEXT(MAX(INDEX(Ventas!$G$2:$G$5000,MATCH($A490,Ventas!$A$2:$A$5000,0)),INDEX(Ventas!$H$2:$H$5000,MATCH($A490,Ventas!$A$2:$A$5000,0)),INDEX(Ventas!$I$2:$I$5000,MATCH($A490,Ventas!$A$2:$A$5000,0)),INDEX(Ventas!$J$2:$J$5000,MATCH($A490,Ventas!$A$2:$A$5000,0)))/(AF490*4),"0%")&amp;" de 4 meses",""))</f>
        <v/>
      </c>
      <c r="AD490" s="62" t="str">
        <f t="shared" si="7"/>
        <v/>
      </c>
      <c r="AE490" s="62" t="str">
        <f t="array" ref="AE490">IF(X490="","",IF(AND(E490=0,AVERAGE(INDEX(Ventas!$C$2:$I$5000,MATCH($A490,Ventas!$A$2:$A$5000,0),0))&gt;0,INDEX(Ventas!$J$2:$J$5000,MATCH($A490,Ventas!$A$2:$A$5000,0))&lt;0.5*AVERAGE(INDEX(Ventas!$C$2:$I$5000,MATCH($A490,Ventas!$A$2:$A$5000,0),0))),"SÍ — stock 0 y Sep cayó (prom Feb-Ago "&amp;TEXT(AVERAGE(INDEX(Ventas!$C$2:$I$5000,MATCH($A490,Ventas!$A$2:$A$5000,0),0)),"#,##0")&amp;")",""))</f>
        <v>SÍ — stock 0 y Sep cayó (prom Feb-Ago 817)</v>
      </c>
      <c r="AF490" s="60">
        <f t="array" ref="AF490">IF(X490="","",IF(AE490&lt;&gt;"",MAX(X490,AVERAGE(INDEX(Ventas!$C$2:$I$5000,MATCH($A490,Ventas!$A$2:$A$5000,0),0))),X490))</f>
        <v>816.8571429</v>
      </c>
      <c r="AG490" s="60">
        <f t="shared" si="8"/>
        <v>-9174</v>
      </c>
      <c r="AH490" s="63" t="str">
        <f t="shared" si="9"/>
        <v>PEDIR MENOS</v>
      </c>
    </row>
    <row r="491" ht="13.5" customHeight="1">
      <c r="A491" s="49" t="s">
        <v>2643</v>
      </c>
      <c r="B491" s="50" t="s">
        <v>3865</v>
      </c>
      <c r="C491" s="50" t="s">
        <v>3880</v>
      </c>
      <c r="D491" s="50" t="s">
        <v>1329</v>
      </c>
      <c r="E491" s="51">
        <v>350.0</v>
      </c>
      <c r="F491" s="52">
        <v>4069.0</v>
      </c>
      <c r="G491" s="53"/>
      <c r="H491" s="55"/>
      <c r="I491" s="55"/>
      <c r="J491" s="53">
        <v>9500.0</v>
      </c>
      <c r="K491" s="53"/>
      <c r="L491" s="55"/>
      <c r="M491" s="53">
        <v>9000.0</v>
      </c>
      <c r="N491" s="74"/>
      <c r="O491" s="57" t="str">
        <f t="shared" si="1"/>
        <v>PEDIR MENOS — sobran 11,011 m; revisar pedidos sin facturar (18,500 m)</v>
      </c>
      <c r="P491" s="58">
        <f t="shared" si="2"/>
        <v>22919</v>
      </c>
      <c r="Q491" s="1"/>
      <c r="R491" s="1"/>
      <c r="S491" s="1"/>
      <c r="T491" s="1"/>
      <c r="U491" s="1"/>
      <c r="V491" s="1"/>
      <c r="W491" s="1"/>
      <c r="X491" s="60">
        <f>IFERROR(VLOOKUP($A491,Ventas!$A$2:$L$5000,12,FALSE()),"")</f>
        <v>2977</v>
      </c>
      <c r="Y491" s="60">
        <f t="shared" si="3"/>
        <v>11908</v>
      </c>
      <c r="Z491" s="61">
        <f t="shared" si="4"/>
        <v>7.7</v>
      </c>
      <c r="AA491" s="60">
        <f t="shared" si="5"/>
        <v>-11011</v>
      </c>
      <c r="AB491" s="62" t="str">
        <f t="shared" si="6"/>
        <v/>
      </c>
      <c r="AC491" s="62" t="str">
        <f t="array" ref="AC491">IF(AH491&lt;&gt;"COMPRAR","",IF(MAX(INDEX(Ventas!$G$2:$G$5000,MATCH($A491,Ventas!$A$2:$A$5000,0)),INDEX(Ventas!$H$2:$H$5000,MATCH($A491,Ventas!$A$2:$A$5000,0)),INDEX(Ventas!$I$2:$I$5000,MATCH($A491,Ventas!$A$2:$A$5000,0)),INDEX(Ventas!$J$2:$J$5000,MATCH($A491,Ventas!$A$2:$A$5000,0)))&gt;0.5*AF491*4,"1 mes = "&amp;TEXT(MAX(INDEX(Ventas!$G$2:$G$5000,MATCH($A491,Ventas!$A$2:$A$5000,0)),INDEX(Ventas!$H$2:$H$5000,MATCH($A491,Ventas!$A$2:$A$5000,0)),INDEX(Ventas!$I$2:$I$5000,MATCH($A491,Ventas!$A$2:$A$5000,0)),INDEX(Ventas!$J$2:$J$5000,MATCH($A491,Ventas!$A$2:$A$5000,0)))/(AF491*4),"0%")&amp;" de 4 meses",""))</f>
        <v/>
      </c>
      <c r="AD491" s="62" t="str">
        <f t="shared" si="7"/>
        <v/>
      </c>
      <c r="AE491" s="62" t="str">
        <f t="array" ref="AE491">IF(X491="","",IF(AND(E491=0,AVERAGE(INDEX(Ventas!$C$2:$I$5000,MATCH($A491,Ventas!$A$2:$A$5000,0),0))&gt;0,INDEX(Ventas!$J$2:$J$5000,MATCH($A491,Ventas!$A$2:$A$5000,0))&lt;0.5*AVERAGE(INDEX(Ventas!$C$2:$I$5000,MATCH($A491,Ventas!$A$2:$A$5000,0),0))),"SÍ — stock 0 y Sep cayó (prom Feb-Ago "&amp;TEXT(AVERAGE(INDEX(Ventas!$C$2:$I$5000,MATCH($A491,Ventas!$A$2:$A$5000,0),0)),"#,##0")&amp;")",""))</f>
        <v/>
      </c>
      <c r="AF491" s="60">
        <f t="array" ref="AF491">IF(X491="","",IF(AE491&lt;&gt;"",MAX(X491,AVERAGE(INDEX(Ventas!$C$2:$I$5000,MATCH($A491,Ventas!$A$2:$A$5000,0),0))),X491))</f>
        <v>2977</v>
      </c>
      <c r="AG491" s="60">
        <f t="shared" si="8"/>
        <v>-11011</v>
      </c>
      <c r="AH491" s="63" t="str">
        <f t="shared" si="9"/>
        <v>PEDIR MENOS</v>
      </c>
    </row>
    <row r="492" ht="13.5" customHeight="1">
      <c r="A492" s="64" t="s">
        <v>2641</v>
      </c>
      <c r="B492" s="65" t="s">
        <v>3865</v>
      </c>
      <c r="C492" s="65" t="s">
        <v>3880</v>
      </c>
      <c r="D492" s="65" t="s">
        <v>3878</v>
      </c>
      <c r="E492" s="51">
        <v>0.0</v>
      </c>
      <c r="F492" s="66">
        <v>1792.0</v>
      </c>
      <c r="G492" s="53"/>
      <c r="H492" s="55"/>
      <c r="I492" s="55"/>
      <c r="J492" s="53">
        <v>2000.0</v>
      </c>
      <c r="K492" s="53"/>
      <c r="L492" s="55"/>
      <c r="M492" s="53">
        <v>2000.0</v>
      </c>
      <c r="N492" s="73"/>
      <c r="O492" s="57" t="str">
        <f t="shared" si="1"/>
        <v>PEDIR MENOS — sobran 5,492 m; revisar pedidos sin facturar (4,000 m)</v>
      </c>
      <c r="P492" s="58">
        <f t="shared" si="2"/>
        <v>5792</v>
      </c>
      <c r="Q492" s="1"/>
      <c r="R492" s="1"/>
      <c r="S492" s="1"/>
      <c r="T492" s="1"/>
      <c r="U492" s="1"/>
      <c r="V492" s="1"/>
      <c r="W492" s="1"/>
      <c r="X492" s="60">
        <f>IFERROR(VLOOKUP($A492,Ventas!$A$2:$L$5000,12,FALSE()),"")</f>
        <v>75</v>
      </c>
      <c r="Y492" s="60">
        <f t="shared" si="3"/>
        <v>300</v>
      </c>
      <c r="Z492" s="61">
        <f t="shared" si="4"/>
        <v>77.2</v>
      </c>
      <c r="AA492" s="60">
        <f t="shared" si="5"/>
        <v>-5492</v>
      </c>
      <c r="AB492" s="62" t="str">
        <f t="shared" si="6"/>
        <v/>
      </c>
      <c r="AC492" s="62" t="str">
        <f t="array" ref="AC492">IF(AH492&lt;&gt;"COMPRAR","",IF(MAX(INDEX(Ventas!$G$2:$G$5000,MATCH($A492,Ventas!$A$2:$A$5000,0)),INDEX(Ventas!$H$2:$H$5000,MATCH($A492,Ventas!$A$2:$A$5000,0)),INDEX(Ventas!$I$2:$I$5000,MATCH($A492,Ventas!$A$2:$A$5000,0)),INDEX(Ventas!$J$2:$J$5000,MATCH($A492,Ventas!$A$2:$A$5000,0)))&gt;0.5*AF492*4,"1 mes = "&amp;TEXT(MAX(INDEX(Ventas!$G$2:$G$5000,MATCH($A492,Ventas!$A$2:$A$5000,0)),INDEX(Ventas!$H$2:$H$5000,MATCH($A492,Ventas!$A$2:$A$5000,0)),INDEX(Ventas!$I$2:$I$5000,MATCH($A492,Ventas!$A$2:$A$5000,0)),INDEX(Ventas!$J$2:$J$5000,MATCH($A492,Ventas!$A$2:$A$5000,0)))/(AF492*4),"0%")&amp;" de 4 meses",""))</f>
        <v/>
      </c>
      <c r="AD492" s="62" t="str">
        <f t="shared" si="7"/>
        <v/>
      </c>
      <c r="AE492" s="62" t="str">
        <f t="array" ref="AE492">IF(X492="","",IF(AND(E492=0,AVERAGE(INDEX(Ventas!$C$2:$I$5000,MATCH($A492,Ventas!$A$2:$A$5000,0),0))&gt;0,INDEX(Ventas!$J$2:$J$5000,MATCH($A492,Ventas!$A$2:$A$5000,0))&lt;0.5*AVERAGE(INDEX(Ventas!$C$2:$I$5000,MATCH($A492,Ventas!$A$2:$A$5000,0),0))),"SÍ — stock 0 y Sep cayó (prom Feb-Ago "&amp;TEXT(AVERAGE(INDEX(Ventas!$C$2:$I$5000,MATCH($A492,Ventas!$A$2:$A$5000,0),0)),"#,##0")&amp;")",""))</f>
        <v>SÍ — stock 0 y Sep cayó (prom Feb-Ago 246)</v>
      </c>
      <c r="AF492" s="60">
        <f t="array" ref="AF492">IF(X492="","",IF(AE492&lt;&gt;"",MAX(X492,AVERAGE(INDEX(Ventas!$C$2:$I$5000,MATCH($A492,Ventas!$A$2:$A$5000,0),0))),X492))</f>
        <v>245.8571429</v>
      </c>
      <c r="AG492" s="60">
        <f t="shared" si="8"/>
        <v>-4809</v>
      </c>
      <c r="AH492" s="63" t="str">
        <f t="shared" si="9"/>
        <v>PEDIR MENOS</v>
      </c>
    </row>
    <row r="493" ht="13.5" customHeight="1">
      <c r="A493" s="49" t="s">
        <v>2639</v>
      </c>
      <c r="B493" s="50" t="s">
        <v>3865</v>
      </c>
      <c r="C493" s="50" t="s">
        <v>3880</v>
      </c>
      <c r="D493" s="50" t="s">
        <v>1009</v>
      </c>
      <c r="E493" s="51">
        <v>0.0</v>
      </c>
      <c r="F493" s="52">
        <v>1666.0</v>
      </c>
      <c r="G493" s="53"/>
      <c r="H493" s="55"/>
      <c r="I493" s="55"/>
      <c r="J493" s="53">
        <v>2000.0</v>
      </c>
      <c r="K493" s="53"/>
      <c r="L493" s="55"/>
      <c r="M493" s="53">
        <v>2000.0</v>
      </c>
      <c r="N493" s="74"/>
      <c r="O493" s="57" t="str">
        <f t="shared" si="1"/>
        <v>SIN VENTAS Jun-Sep — no comprar (5,666 m disponibles)</v>
      </c>
      <c r="P493" s="58">
        <f t="shared" si="2"/>
        <v>5666</v>
      </c>
      <c r="Q493" s="1"/>
      <c r="R493" s="1"/>
      <c r="S493" s="1"/>
      <c r="T493" s="1"/>
      <c r="U493" s="1"/>
      <c r="V493" s="1"/>
      <c r="W493" s="1"/>
      <c r="X493" s="60">
        <f>IFERROR(VLOOKUP($A493,Ventas!$A$2:$L$5000,12,FALSE()),"")</f>
        <v>0</v>
      </c>
      <c r="Y493" s="60">
        <f t="shared" si="3"/>
        <v>0</v>
      </c>
      <c r="Z493" s="61" t="str">
        <f t="shared" si="4"/>
        <v/>
      </c>
      <c r="AA493" s="60">
        <f t="shared" si="5"/>
        <v>-5666</v>
      </c>
      <c r="AB493" s="62" t="str">
        <f t="shared" si="6"/>
        <v/>
      </c>
      <c r="AC493" s="62" t="str">
        <f t="array" ref="AC493">IF(AH493&lt;&gt;"COMPRAR","",IF(MAX(INDEX(Ventas!$G$2:$G$5000,MATCH($A493,Ventas!$A$2:$A$5000,0)),INDEX(Ventas!$H$2:$H$5000,MATCH($A493,Ventas!$A$2:$A$5000,0)),INDEX(Ventas!$I$2:$I$5000,MATCH($A493,Ventas!$A$2:$A$5000,0)),INDEX(Ventas!$J$2:$J$5000,MATCH($A493,Ventas!$A$2:$A$5000,0)))&gt;0.5*AF493*4,"1 mes = "&amp;TEXT(MAX(INDEX(Ventas!$G$2:$G$5000,MATCH($A493,Ventas!$A$2:$A$5000,0)),INDEX(Ventas!$H$2:$H$5000,MATCH($A493,Ventas!$A$2:$A$5000,0)),INDEX(Ventas!$I$2:$I$5000,MATCH($A493,Ventas!$A$2:$A$5000,0)),INDEX(Ventas!$J$2:$J$5000,MATCH($A493,Ventas!$A$2:$A$5000,0)))/(AF493*4),"0%")&amp;" de 4 meses",""))</f>
        <v/>
      </c>
      <c r="AD493" s="62" t="str">
        <f t="shared" si="7"/>
        <v/>
      </c>
      <c r="AE493" s="62" t="str">
        <f t="array" ref="AE493">IF(X493="","",IF(AND(E493=0,AVERAGE(INDEX(Ventas!$C$2:$I$5000,MATCH($A493,Ventas!$A$2:$A$5000,0),0))&gt;0,INDEX(Ventas!$J$2:$J$5000,MATCH($A493,Ventas!$A$2:$A$5000,0))&lt;0.5*AVERAGE(INDEX(Ventas!$C$2:$I$5000,MATCH($A493,Ventas!$A$2:$A$5000,0),0))),"SÍ — stock 0 y Sep cayó (prom Feb-Ago "&amp;TEXT(AVERAGE(INDEX(Ventas!$C$2:$I$5000,MATCH($A493,Ventas!$A$2:$A$5000,0),0)),"#,##0")&amp;")",""))</f>
        <v/>
      </c>
      <c r="AF493" s="60">
        <f t="array" ref="AF493">IF(X493="","",IF(AE493&lt;&gt;"",MAX(X493,AVERAGE(INDEX(Ventas!$C$2:$I$5000,MATCH($A493,Ventas!$A$2:$A$5000,0),0))),X493))</f>
        <v>0</v>
      </c>
      <c r="AG493" s="60">
        <f t="shared" si="8"/>
        <v>-5666</v>
      </c>
      <c r="AH493" s="63" t="str">
        <f t="shared" si="9"/>
        <v>SIN VENTAS</v>
      </c>
    </row>
    <row r="494" ht="13.5" customHeight="1">
      <c r="A494" s="64" t="s">
        <v>2987</v>
      </c>
      <c r="B494" s="65"/>
      <c r="C494" s="65" t="s">
        <v>3881</v>
      </c>
      <c r="D494" s="65" t="s">
        <v>1329</v>
      </c>
      <c r="E494" s="51">
        <v>2450.0</v>
      </c>
      <c r="F494" s="66"/>
      <c r="G494" s="53"/>
      <c r="H494" s="55"/>
      <c r="I494" s="55"/>
      <c r="J494" s="53"/>
      <c r="K494" s="53"/>
      <c r="L494" s="55"/>
      <c r="M494" s="53"/>
      <c r="N494" s="73"/>
      <c r="O494" s="57" t="str">
        <f t="shared" si="1"/>
        <v>SOBRESTOCK — 28.0 meses de cobertura</v>
      </c>
      <c r="P494" s="58">
        <f t="shared" si="2"/>
        <v>2450</v>
      </c>
      <c r="Q494" s="1"/>
      <c r="R494" s="1"/>
      <c r="S494" s="1"/>
      <c r="T494" s="1"/>
      <c r="U494" s="1"/>
      <c r="V494" s="1"/>
      <c r="W494" s="1"/>
      <c r="X494" s="60">
        <f>IFERROR(VLOOKUP($A494,Ventas!$A$2:$L$5000,12,FALSE()),"")</f>
        <v>87.5</v>
      </c>
      <c r="Y494" s="60">
        <f t="shared" si="3"/>
        <v>350</v>
      </c>
      <c r="Z494" s="61">
        <f t="shared" si="4"/>
        <v>28</v>
      </c>
      <c r="AA494" s="60">
        <f t="shared" si="5"/>
        <v>-2100</v>
      </c>
      <c r="AB494" s="62" t="str">
        <f t="shared" si="6"/>
        <v/>
      </c>
      <c r="AC494" s="62" t="str">
        <f t="array" ref="AC494">IF(AH494&lt;&gt;"COMPRAR","",IF(MAX(INDEX(Ventas!$G$2:$G$5000,MATCH($A494,Ventas!$A$2:$A$5000,0)),INDEX(Ventas!$H$2:$H$5000,MATCH($A494,Ventas!$A$2:$A$5000,0)),INDEX(Ventas!$I$2:$I$5000,MATCH($A494,Ventas!$A$2:$A$5000,0)),INDEX(Ventas!$J$2:$J$5000,MATCH($A494,Ventas!$A$2:$A$5000,0)))&gt;0.5*AF494*4,"1 mes = "&amp;TEXT(MAX(INDEX(Ventas!$G$2:$G$5000,MATCH($A494,Ventas!$A$2:$A$5000,0)),INDEX(Ventas!$H$2:$H$5000,MATCH($A494,Ventas!$A$2:$A$5000,0)),INDEX(Ventas!$I$2:$I$5000,MATCH($A494,Ventas!$A$2:$A$5000,0)),INDEX(Ventas!$J$2:$J$5000,MATCH($A494,Ventas!$A$2:$A$5000,0)))/(AF494*4),"0%")&amp;" de 4 meses",""))</f>
        <v/>
      </c>
      <c r="AD494" s="62" t="str">
        <f t="shared" si="7"/>
        <v/>
      </c>
      <c r="AE494" s="62" t="str">
        <f t="array" ref="AE494">IF(X494="","",IF(AND(E494=0,AVERAGE(INDEX(Ventas!$C$2:$I$5000,MATCH($A494,Ventas!$A$2:$A$5000,0),0))&gt;0,INDEX(Ventas!$J$2:$J$5000,MATCH($A494,Ventas!$A$2:$A$5000,0))&lt;0.5*AVERAGE(INDEX(Ventas!$C$2:$I$5000,MATCH($A494,Ventas!$A$2:$A$5000,0),0))),"SÍ — stock 0 y Sep cayó (prom Feb-Ago "&amp;TEXT(AVERAGE(INDEX(Ventas!$C$2:$I$5000,MATCH($A494,Ventas!$A$2:$A$5000,0),0)),"#,##0")&amp;")",""))</f>
        <v/>
      </c>
      <c r="AF494" s="60">
        <f t="array" ref="AF494">IF(X494="","",IF(AE494&lt;&gt;"",MAX(X494,AVERAGE(INDEX(Ventas!$C$2:$I$5000,MATCH($A494,Ventas!$A$2:$A$5000,0),0))),X494))</f>
        <v>87.5</v>
      </c>
      <c r="AG494" s="60">
        <f t="shared" si="8"/>
        <v>-2100</v>
      </c>
      <c r="AH494" s="63" t="str">
        <f t="shared" si="9"/>
        <v>SOBRESTOCK</v>
      </c>
    </row>
    <row r="495" ht="13.5" customHeight="1">
      <c r="A495" s="49" t="s">
        <v>2983</v>
      </c>
      <c r="B495" s="50"/>
      <c r="C495" s="50" t="s">
        <v>3881</v>
      </c>
      <c r="D495" s="50" t="s">
        <v>3878</v>
      </c>
      <c r="E495" s="51">
        <v>300.0</v>
      </c>
      <c r="F495" s="52"/>
      <c r="G495" s="53"/>
      <c r="H495" s="55"/>
      <c r="I495" s="55"/>
      <c r="J495" s="53"/>
      <c r="K495" s="53"/>
      <c r="L495" s="55"/>
      <c r="M495" s="53"/>
      <c r="N495" s="74"/>
      <c r="O495" s="57" t="str">
        <f t="shared" si="1"/>
        <v>OK — cubierto (4.5 meses)</v>
      </c>
      <c r="P495" s="58">
        <f t="shared" si="2"/>
        <v>300</v>
      </c>
      <c r="Q495" s="1"/>
      <c r="R495" s="1"/>
      <c r="S495" s="1"/>
      <c r="T495" s="1"/>
      <c r="U495" s="1"/>
      <c r="V495" s="1"/>
      <c r="W495" s="1"/>
      <c r="X495" s="60">
        <f>IFERROR(VLOOKUP($A495,Ventas!$A$2:$L$5000,12,FALSE()),"")</f>
        <v>67</v>
      </c>
      <c r="Y495" s="60">
        <f t="shared" si="3"/>
        <v>268</v>
      </c>
      <c r="Z495" s="61">
        <f t="shared" si="4"/>
        <v>4.5</v>
      </c>
      <c r="AA495" s="60">
        <f t="shared" si="5"/>
        <v>-32</v>
      </c>
      <c r="AB495" s="62" t="str">
        <f t="shared" si="6"/>
        <v/>
      </c>
      <c r="AC495" s="62" t="str">
        <f t="array" ref="AC495">IF(AH495&lt;&gt;"COMPRAR","",IF(MAX(INDEX(Ventas!$G$2:$G$5000,MATCH($A495,Ventas!$A$2:$A$5000,0)),INDEX(Ventas!$H$2:$H$5000,MATCH($A495,Ventas!$A$2:$A$5000,0)),INDEX(Ventas!$I$2:$I$5000,MATCH($A495,Ventas!$A$2:$A$5000,0)),INDEX(Ventas!$J$2:$J$5000,MATCH($A495,Ventas!$A$2:$A$5000,0)))&gt;0.5*AF495*4,"1 mes = "&amp;TEXT(MAX(INDEX(Ventas!$G$2:$G$5000,MATCH($A495,Ventas!$A$2:$A$5000,0)),INDEX(Ventas!$H$2:$H$5000,MATCH($A495,Ventas!$A$2:$A$5000,0)),INDEX(Ventas!$I$2:$I$5000,MATCH($A495,Ventas!$A$2:$A$5000,0)),INDEX(Ventas!$J$2:$J$5000,MATCH($A495,Ventas!$A$2:$A$5000,0)))/(AF495*4),"0%")&amp;" de 4 meses",""))</f>
        <v/>
      </c>
      <c r="AD495" s="62" t="str">
        <f t="shared" si="7"/>
        <v/>
      </c>
      <c r="AE495" s="62" t="str">
        <f t="array" ref="AE495">IF(X495="","",IF(AND(E495=0,AVERAGE(INDEX(Ventas!$C$2:$I$5000,MATCH($A495,Ventas!$A$2:$A$5000,0),0))&gt;0,INDEX(Ventas!$J$2:$J$5000,MATCH($A495,Ventas!$A$2:$A$5000,0))&lt;0.5*AVERAGE(INDEX(Ventas!$C$2:$I$5000,MATCH($A495,Ventas!$A$2:$A$5000,0),0))),"SÍ — stock 0 y Sep cayó (prom Feb-Ago "&amp;TEXT(AVERAGE(INDEX(Ventas!$C$2:$I$5000,MATCH($A495,Ventas!$A$2:$A$5000,0),0)),"#,##0")&amp;")",""))</f>
        <v/>
      </c>
      <c r="AF495" s="60">
        <f t="array" ref="AF495">IF(X495="","",IF(AE495&lt;&gt;"",MAX(X495,AVERAGE(INDEX(Ventas!$C$2:$I$5000,MATCH($A495,Ventas!$A$2:$A$5000,0),0))),X495))</f>
        <v>67</v>
      </c>
      <c r="AG495" s="60">
        <f t="shared" si="8"/>
        <v>-32</v>
      </c>
      <c r="AH495" s="63" t="str">
        <f t="shared" si="9"/>
        <v>OK</v>
      </c>
    </row>
    <row r="496" ht="13.5" customHeight="1">
      <c r="A496" s="64" t="s">
        <v>2985</v>
      </c>
      <c r="B496" s="65"/>
      <c r="C496" s="65" t="s">
        <v>3881</v>
      </c>
      <c r="D496" s="65" t="s">
        <v>3828</v>
      </c>
      <c r="E496" s="51">
        <v>413.0</v>
      </c>
      <c r="F496" s="66"/>
      <c r="G496" s="53"/>
      <c r="H496" s="55"/>
      <c r="I496" s="55"/>
      <c r="J496" s="53"/>
      <c r="K496" s="53"/>
      <c r="L496" s="55"/>
      <c r="M496" s="53"/>
      <c r="N496" s="73"/>
      <c r="O496" s="57" t="str">
        <f t="shared" si="1"/>
        <v>SIN VENTAS Jun-Sep — no comprar (413 m disponibles)</v>
      </c>
      <c r="P496" s="58">
        <f t="shared" si="2"/>
        <v>413</v>
      </c>
      <c r="Q496" s="1"/>
      <c r="R496" s="1"/>
      <c r="S496" s="1"/>
      <c r="T496" s="1"/>
      <c r="U496" s="1"/>
      <c r="V496" s="1"/>
      <c r="W496" s="1"/>
      <c r="X496" s="60">
        <f>IFERROR(VLOOKUP($A496,Ventas!$A$2:$L$5000,12,FALSE()),"")</f>
        <v>0</v>
      </c>
      <c r="Y496" s="60">
        <f t="shared" si="3"/>
        <v>0</v>
      </c>
      <c r="Z496" s="61" t="str">
        <f t="shared" si="4"/>
        <v/>
      </c>
      <c r="AA496" s="60">
        <f t="shared" si="5"/>
        <v>-413</v>
      </c>
      <c r="AB496" s="62" t="str">
        <f t="shared" si="6"/>
        <v/>
      </c>
      <c r="AC496" s="62" t="str">
        <f t="array" ref="AC496">IF(AH496&lt;&gt;"COMPRAR","",IF(MAX(INDEX(Ventas!$G$2:$G$5000,MATCH($A496,Ventas!$A$2:$A$5000,0)),INDEX(Ventas!$H$2:$H$5000,MATCH($A496,Ventas!$A$2:$A$5000,0)),INDEX(Ventas!$I$2:$I$5000,MATCH($A496,Ventas!$A$2:$A$5000,0)),INDEX(Ventas!$J$2:$J$5000,MATCH($A496,Ventas!$A$2:$A$5000,0)))&gt;0.5*AF496*4,"1 mes = "&amp;TEXT(MAX(INDEX(Ventas!$G$2:$G$5000,MATCH($A496,Ventas!$A$2:$A$5000,0)),INDEX(Ventas!$H$2:$H$5000,MATCH($A496,Ventas!$A$2:$A$5000,0)),INDEX(Ventas!$I$2:$I$5000,MATCH($A496,Ventas!$A$2:$A$5000,0)),INDEX(Ventas!$J$2:$J$5000,MATCH($A496,Ventas!$A$2:$A$5000,0)))/(AF496*4),"0%")&amp;" de 4 meses",""))</f>
        <v/>
      </c>
      <c r="AD496" s="62" t="str">
        <f t="shared" si="7"/>
        <v/>
      </c>
      <c r="AE496" s="62" t="str">
        <f t="array" ref="AE496">IF(X496="","",IF(AND(E496=0,AVERAGE(INDEX(Ventas!$C$2:$I$5000,MATCH($A496,Ventas!$A$2:$A$5000,0),0))&gt;0,INDEX(Ventas!$J$2:$J$5000,MATCH($A496,Ventas!$A$2:$A$5000,0))&lt;0.5*AVERAGE(INDEX(Ventas!$C$2:$I$5000,MATCH($A496,Ventas!$A$2:$A$5000,0),0))),"SÍ — stock 0 y Sep cayó (prom Feb-Ago "&amp;TEXT(AVERAGE(INDEX(Ventas!$C$2:$I$5000,MATCH($A496,Ventas!$A$2:$A$5000,0),0)),"#,##0")&amp;")",""))</f>
        <v/>
      </c>
      <c r="AF496" s="60">
        <f t="array" ref="AF496">IF(X496="","",IF(AE496&lt;&gt;"",MAX(X496,AVERAGE(INDEX(Ventas!$C$2:$I$5000,MATCH($A496,Ventas!$A$2:$A$5000,0),0))),X496))</f>
        <v>0</v>
      </c>
      <c r="AG496" s="60">
        <f t="shared" si="8"/>
        <v>-413</v>
      </c>
      <c r="AH496" s="63" t="str">
        <f t="shared" si="9"/>
        <v>SIN VENTAS</v>
      </c>
    </row>
    <row r="497" ht="13.5" customHeight="1">
      <c r="A497" s="87"/>
      <c r="B497" s="50"/>
      <c r="C497" s="50" t="s">
        <v>3882</v>
      </c>
      <c r="D497" s="50" t="s">
        <v>1329</v>
      </c>
      <c r="E497" s="51">
        <v>0.0</v>
      </c>
      <c r="F497" s="52"/>
      <c r="G497" s="53"/>
      <c r="H497" s="55"/>
      <c r="I497" s="55"/>
      <c r="J497" s="53"/>
      <c r="K497" s="53"/>
      <c r="L497" s="55"/>
      <c r="M497" s="53"/>
      <c r="N497" s="74"/>
      <c r="O497" s="57" t="str">
        <f t="shared" si="1"/>
        <v>SIN SKU — cargar código para calcular</v>
      </c>
      <c r="P497" s="58">
        <f t="shared" si="2"/>
        <v>0</v>
      </c>
      <c r="Q497" s="1"/>
      <c r="R497" s="1"/>
      <c r="S497" s="1"/>
      <c r="T497" s="1"/>
      <c r="U497" s="1"/>
      <c r="V497" s="1"/>
      <c r="W497" s="1"/>
      <c r="X497" s="60" t="str">
        <f>IFERROR(VLOOKUP($A497,Ventas!$A$2:$L$5000,12,FALSE()),"")</f>
        <v/>
      </c>
      <c r="Y497" s="60" t="str">
        <f t="shared" si="3"/>
        <v/>
      </c>
      <c r="Z497" s="61" t="str">
        <f t="shared" si="4"/>
        <v/>
      </c>
      <c r="AA497" s="60" t="str">
        <f t="shared" si="5"/>
        <v/>
      </c>
      <c r="AB497" s="62" t="str">
        <f t="shared" si="6"/>
        <v/>
      </c>
      <c r="AC497" s="62" t="str">
        <f t="array" ref="AC497">IF(AH497&lt;&gt;"COMPRAR","",IF(MAX(INDEX(Ventas!$G$2:$G$5000,MATCH($A497,Ventas!$A$2:$A$5000,0)),INDEX(Ventas!$H$2:$H$5000,MATCH($A497,Ventas!$A$2:$A$5000,0)),INDEX(Ventas!$I$2:$I$5000,MATCH($A497,Ventas!$A$2:$A$5000,0)),INDEX(Ventas!$J$2:$J$5000,MATCH($A497,Ventas!$A$2:$A$5000,0)))&gt;0.5*AF497*4,"1 mes = "&amp;TEXT(MAX(INDEX(Ventas!$G$2:$G$5000,MATCH($A497,Ventas!$A$2:$A$5000,0)),INDEX(Ventas!$H$2:$H$5000,MATCH($A497,Ventas!$A$2:$A$5000,0)),INDEX(Ventas!$I$2:$I$5000,MATCH($A497,Ventas!$A$2:$A$5000,0)),INDEX(Ventas!$J$2:$J$5000,MATCH($A497,Ventas!$A$2:$A$5000,0)))/(AF497*4),"0%")&amp;" de 4 meses",""))</f>
        <v/>
      </c>
      <c r="AD497" s="62" t="str">
        <f t="shared" si="7"/>
        <v/>
      </c>
      <c r="AE497" s="62" t="str">
        <f t="array" ref="AE497">IF(X497="","",IF(AND(E497=0,AVERAGE(INDEX(Ventas!$C$2:$I$5000,MATCH($A497,Ventas!$A$2:$A$5000,0),0))&gt;0,INDEX(Ventas!$J$2:$J$5000,MATCH($A497,Ventas!$A$2:$A$5000,0))&lt;0.5*AVERAGE(INDEX(Ventas!$C$2:$I$5000,MATCH($A497,Ventas!$A$2:$A$5000,0),0))),"SÍ — stock 0 y Sep cayó (prom Feb-Ago "&amp;TEXT(AVERAGE(INDEX(Ventas!$C$2:$I$5000,MATCH($A497,Ventas!$A$2:$A$5000,0),0)),"#,##0")&amp;")",""))</f>
        <v/>
      </c>
      <c r="AF497" s="60" t="str">
        <f t="array" ref="AF497">IF(X497="","",IF(AE497&lt;&gt;"",MAX(X497,AVERAGE(INDEX(Ventas!$C$2:$I$5000,MATCH($A497,Ventas!$A$2:$A$5000,0),0))),X497))</f>
        <v/>
      </c>
      <c r="AG497" s="60" t="str">
        <f t="shared" si="8"/>
        <v/>
      </c>
      <c r="AH497" s="63" t="str">
        <f t="shared" si="9"/>
        <v/>
      </c>
    </row>
    <row r="498" ht="13.5" customHeight="1">
      <c r="A498" s="87"/>
      <c r="B498" s="65"/>
      <c r="C498" s="65" t="s">
        <v>3882</v>
      </c>
      <c r="D498" s="65" t="s">
        <v>3637</v>
      </c>
      <c r="E498" s="51">
        <v>0.0</v>
      </c>
      <c r="F498" s="66"/>
      <c r="G498" s="53"/>
      <c r="H498" s="55"/>
      <c r="I498" s="55"/>
      <c r="J498" s="53"/>
      <c r="K498" s="53"/>
      <c r="L498" s="55"/>
      <c r="M498" s="53"/>
      <c r="N498" s="73"/>
      <c r="O498" s="57" t="str">
        <f t="shared" si="1"/>
        <v>SIN SKU — cargar código para calcular</v>
      </c>
      <c r="P498" s="58">
        <f t="shared" si="2"/>
        <v>0</v>
      </c>
      <c r="Q498" s="1"/>
      <c r="R498" s="1"/>
      <c r="S498" s="1"/>
      <c r="T498" s="1"/>
      <c r="U498" s="1"/>
      <c r="V498" s="1"/>
      <c r="W498" s="1"/>
      <c r="X498" s="60" t="str">
        <f>IFERROR(VLOOKUP($A498,Ventas!$A$2:$L$5000,12,FALSE()),"")</f>
        <v/>
      </c>
      <c r="Y498" s="60" t="str">
        <f t="shared" si="3"/>
        <v/>
      </c>
      <c r="Z498" s="61" t="str">
        <f t="shared" si="4"/>
        <v/>
      </c>
      <c r="AA498" s="60" t="str">
        <f t="shared" si="5"/>
        <v/>
      </c>
      <c r="AB498" s="62" t="str">
        <f t="shared" si="6"/>
        <v/>
      </c>
      <c r="AC498" s="62" t="str">
        <f t="array" ref="AC498">IF(AH498&lt;&gt;"COMPRAR","",IF(MAX(INDEX(Ventas!$G$2:$G$5000,MATCH($A498,Ventas!$A$2:$A$5000,0)),INDEX(Ventas!$H$2:$H$5000,MATCH($A498,Ventas!$A$2:$A$5000,0)),INDEX(Ventas!$I$2:$I$5000,MATCH($A498,Ventas!$A$2:$A$5000,0)),INDEX(Ventas!$J$2:$J$5000,MATCH($A498,Ventas!$A$2:$A$5000,0)))&gt;0.5*AF498*4,"1 mes = "&amp;TEXT(MAX(INDEX(Ventas!$G$2:$G$5000,MATCH($A498,Ventas!$A$2:$A$5000,0)),INDEX(Ventas!$H$2:$H$5000,MATCH($A498,Ventas!$A$2:$A$5000,0)),INDEX(Ventas!$I$2:$I$5000,MATCH($A498,Ventas!$A$2:$A$5000,0)),INDEX(Ventas!$J$2:$J$5000,MATCH($A498,Ventas!$A$2:$A$5000,0)))/(AF498*4),"0%")&amp;" de 4 meses",""))</f>
        <v/>
      </c>
      <c r="AD498" s="62" t="str">
        <f t="shared" si="7"/>
        <v/>
      </c>
      <c r="AE498" s="62" t="str">
        <f t="array" ref="AE498">IF(X498="","",IF(AND(E498=0,AVERAGE(INDEX(Ventas!$C$2:$I$5000,MATCH($A498,Ventas!$A$2:$A$5000,0),0))&gt;0,INDEX(Ventas!$J$2:$J$5000,MATCH($A498,Ventas!$A$2:$A$5000,0))&lt;0.5*AVERAGE(INDEX(Ventas!$C$2:$I$5000,MATCH($A498,Ventas!$A$2:$A$5000,0),0))),"SÍ — stock 0 y Sep cayó (prom Feb-Ago "&amp;TEXT(AVERAGE(INDEX(Ventas!$C$2:$I$5000,MATCH($A498,Ventas!$A$2:$A$5000,0),0)),"#,##0")&amp;")",""))</f>
        <v/>
      </c>
      <c r="AF498" s="60" t="str">
        <f t="array" ref="AF498">IF(X498="","",IF(AE498&lt;&gt;"",MAX(X498,AVERAGE(INDEX(Ventas!$C$2:$I$5000,MATCH($A498,Ventas!$A$2:$A$5000,0),0))),X498))</f>
        <v/>
      </c>
      <c r="AG498" s="60" t="str">
        <f t="shared" si="8"/>
        <v/>
      </c>
      <c r="AH498" s="63" t="str">
        <f t="shared" si="9"/>
        <v/>
      </c>
    </row>
    <row r="499" ht="13.5" customHeight="1">
      <c r="A499" s="87"/>
      <c r="B499" s="50"/>
      <c r="C499" s="50" t="s">
        <v>3882</v>
      </c>
      <c r="D499" s="50" t="s">
        <v>3643</v>
      </c>
      <c r="E499" s="51">
        <v>0.0</v>
      </c>
      <c r="F499" s="52"/>
      <c r="G499" s="53"/>
      <c r="H499" s="55"/>
      <c r="I499" s="55"/>
      <c r="J499" s="53"/>
      <c r="K499" s="53"/>
      <c r="L499" s="55"/>
      <c r="M499" s="53"/>
      <c r="N499" s="74"/>
      <c r="O499" s="57" t="str">
        <f t="shared" si="1"/>
        <v>SIN SKU — cargar código para calcular</v>
      </c>
      <c r="P499" s="58">
        <f t="shared" si="2"/>
        <v>0</v>
      </c>
      <c r="Q499" s="1"/>
      <c r="R499" s="1"/>
      <c r="S499" s="1"/>
      <c r="T499" s="1"/>
      <c r="U499" s="1"/>
      <c r="V499" s="1"/>
      <c r="W499" s="1"/>
      <c r="X499" s="60" t="str">
        <f>IFERROR(VLOOKUP($A499,Ventas!$A$2:$L$5000,12,FALSE()),"")</f>
        <v/>
      </c>
      <c r="Y499" s="60" t="str">
        <f t="shared" si="3"/>
        <v/>
      </c>
      <c r="Z499" s="61" t="str">
        <f t="shared" si="4"/>
        <v/>
      </c>
      <c r="AA499" s="60" t="str">
        <f t="shared" si="5"/>
        <v/>
      </c>
      <c r="AB499" s="62" t="str">
        <f t="shared" si="6"/>
        <v/>
      </c>
      <c r="AC499" s="62" t="str">
        <f t="array" ref="AC499">IF(AH499&lt;&gt;"COMPRAR","",IF(MAX(INDEX(Ventas!$G$2:$G$5000,MATCH($A499,Ventas!$A$2:$A$5000,0)),INDEX(Ventas!$H$2:$H$5000,MATCH($A499,Ventas!$A$2:$A$5000,0)),INDEX(Ventas!$I$2:$I$5000,MATCH($A499,Ventas!$A$2:$A$5000,0)),INDEX(Ventas!$J$2:$J$5000,MATCH($A499,Ventas!$A$2:$A$5000,0)))&gt;0.5*AF499*4,"1 mes = "&amp;TEXT(MAX(INDEX(Ventas!$G$2:$G$5000,MATCH($A499,Ventas!$A$2:$A$5000,0)),INDEX(Ventas!$H$2:$H$5000,MATCH($A499,Ventas!$A$2:$A$5000,0)),INDEX(Ventas!$I$2:$I$5000,MATCH($A499,Ventas!$A$2:$A$5000,0)),INDEX(Ventas!$J$2:$J$5000,MATCH($A499,Ventas!$A$2:$A$5000,0)))/(AF499*4),"0%")&amp;" de 4 meses",""))</f>
        <v/>
      </c>
      <c r="AD499" s="62" t="str">
        <f t="shared" si="7"/>
        <v/>
      </c>
      <c r="AE499" s="62" t="str">
        <f t="array" ref="AE499">IF(X499="","",IF(AND(E499=0,AVERAGE(INDEX(Ventas!$C$2:$I$5000,MATCH($A499,Ventas!$A$2:$A$5000,0),0))&gt;0,INDEX(Ventas!$J$2:$J$5000,MATCH($A499,Ventas!$A$2:$A$5000,0))&lt;0.5*AVERAGE(INDEX(Ventas!$C$2:$I$5000,MATCH($A499,Ventas!$A$2:$A$5000,0),0))),"SÍ — stock 0 y Sep cayó (prom Feb-Ago "&amp;TEXT(AVERAGE(INDEX(Ventas!$C$2:$I$5000,MATCH($A499,Ventas!$A$2:$A$5000,0),0)),"#,##0")&amp;")",""))</f>
        <v/>
      </c>
      <c r="AF499" s="60" t="str">
        <f t="array" ref="AF499">IF(X499="","",IF(AE499&lt;&gt;"",MAX(X499,AVERAGE(INDEX(Ventas!$C$2:$I$5000,MATCH($A499,Ventas!$A$2:$A$5000,0),0))),X499))</f>
        <v/>
      </c>
      <c r="AG499" s="60" t="str">
        <f t="shared" si="8"/>
        <v/>
      </c>
      <c r="AH499" s="63" t="str">
        <f t="shared" si="9"/>
        <v/>
      </c>
    </row>
    <row r="500" ht="13.5" customHeight="1">
      <c r="A500" s="87"/>
      <c r="B500" s="65"/>
      <c r="C500" s="65" t="s">
        <v>3882</v>
      </c>
      <c r="D500" s="65" t="s">
        <v>3839</v>
      </c>
      <c r="E500" s="51">
        <v>0.0</v>
      </c>
      <c r="F500" s="66"/>
      <c r="G500" s="53"/>
      <c r="H500" s="55"/>
      <c r="I500" s="55"/>
      <c r="J500" s="53"/>
      <c r="K500" s="53"/>
      <c r="L500" s="55"/>
      <c r="M500" s="53"/>
      <c r="N500" s="73"/>
      <c r="O500" s="57" t="str">
        <f t="shared" si="1"/>
        <v>SIN SKU — cargar código para calcular</v>
      </c>
      <c r="P500" s="58">
        <f t="shared" si="2"/>
        <v>0</v>
      </c>
      <c r="Q500" s="1"/>
      <c r="R500" s="1"/>
      <c r="S500" s="1"/>
      <c r="T500" s="1"/>
      <c r="U500" s="1"/>
      <c r="V500" s="1"/>
      <c r="W500" s="1"/>
      <c r="X500" s="60" t="str">
        <f>IFERROR(VLOOKUP($A500,Ventas!$A$2:$L$5000,12,FALSE()),"")</f>
        <v/>
      </c>
      <c r="Y500" s="60" t="str">
        <f t="shared" si="3"/>
        <v/>
      </c>
      <c r="Z500" s="61" t="str">
        <f t="shared" si="4"/>
        <v/>
      </c>
      <c r="AA500" s="60" t="str">
        <f t="shared" si="5"/>
        <v/>
      </c>
      <c r="AB500" s="62" t="str">
        <f t="shared" si="6"/>
        <v/>
      </c>
      <c r="AC500" s="62" t="str">
        <f t="array" ref="AC500">IF(AH500&lt;&gt;"COMPRAR","",IF(MAX(INDEX(Ventas!$G$2:$G$5000,MATCH($A500,Ventas!$A$2:$A$5000,0)),INDEX(Ventas!$H$2:$H$5000,MATCH($A500,Ventas!$A$2:$A$5000,0)),INDEX(Ventas!$I$2:$I$5000,MATCH($A500,Ventas!$A$2:$A$5000,0)),INDEX(Ventas!$J$2:$J$5000,MATCH($A500,Ventas!$A$2:$A$5000,0)))&gt;0.5*AF500*4,"1 mes = "&amp;TEXT(MAX(INDEX(Ventas!$G$2:$G$5000,MATCH($A500,Ventas!$A$2:$A$5000,0)),INDEX(Ventas!$H$2:$H$5000,MATCH($A500,Ventas!$A$2:$A$5000,0)),INDEX(Ventas!$I$2:$I$5000,MATCH($A500,Ventas!$A$2:$A$5000,0)),INDEX(Ventas!$J$2:$J$5000,MATCH($A500,Ventas!$A$2:$A$5000,0)))/(AF500*4),"0%")&amp;" de 4 meses",""))</f>
        <v/>
      </c>
      <c r="AD500" s="62" t="str">
        <f t="shared" si="7"/>
        <v/>
      </c>
      <c r="AE500" s="62" t="str">
        <f t="array" ref="AE500">IF(X500="","",IF(AND(E500=0,AVERAGE(INDEX(Ventas!$C$2:$I$5000,MATCH($A500,Ventas!$A$2:$A$5000,0),0))&gt;0,INDEX(Ventas!$J$2:$J$5000,MATCH($A500,Ventas!$A$2:$A$5000,0))&lt;0.5*AVERAGE(INDEX(Ventas!$C$2:$I$5000,MATCH($A500,Ventas!$A$2:$A$5000,0),0))),"SÍ — stock 0 y Sep cayó (prom Feb-Ago "&amp;TEXT(AVERAGE(INDEX(Ventas!$C$2:$I$5000,MATCH($A500,Ventas!$A$2:$A$5000,0),0)),"#,##0")&amp;")",""))</f>
        <v/>
      </c>
      <c r="AF500" s="60" t="str">
        <f t="array" ref="AF500">IF(X500="","",IF(AE500&lt;&gt;"",MAX(X500,AVERAGE(INDEX(Ventas!$C$2:$I$5000,MATCH($A500,Ventas!$A$2:$A$5000,0),0))),X500))</f>
        <v/>
      </c>
      <c r="AG500" s="60" t="str">
        <f t="shared" si="8"/>
        <v/>
      </c>
      <c r="AH500" s="63" t="str">
        <f t="shared" si="9"/>
        <v/>
      </c>
    </row>
    <row r="501" ht="13.5" customHeight="1">
      <c r="A501" s="87"/>
      <c r="B501" s="50"/>
      <c r="C501" s="50" t="s">
        <v>3882</v>
      </c>
      <c r="D501" s="50" t="s">
        <v>3883</v>
      </c>
      <c r="E501" s="51">
        <v>0.0</v>
      </c>
      <c r="F501" s="52"/>
      <c r="G501" s="53"/>
      <c r="H501" s="55"/>
      <c r="I501" s="55"/>
      <c r="J501" s="53"/>
      <c r="K501" s="53"/>
      <c r="L501" s="55"/>
      <c r="M501" s="53"/>
      <c r="N501" s="74"/>
      <c r="O501" s="57" t="str">
        <f t="shared" si="1"/>
        <v>SIN SKU — cargar código para calcular</v>
      </c>
      <c r="P501" s="58">
        <f t="shared" si="2"/>
        <v>0</v>
      </c>
      <c r="Q501" s="1"/>
      <c r="R501" s="1"/>
      <c r="S501" s="1"/>
      <c r="T501" s="1"/>
      <c r="U501" s="1"/>
      <c r="V501" s="1"/>
      <c r="W501" s="1"/>
      <c r="X501" s="60" t="str">
        <f>IFERROR(VLOOKUP($A501,Ventas!$A$2:$L$5000,12,FALSE()),"")</f>
        <v/>
      </c>
      <c r="Y501" s="60" t="str">
        <f t="shared" si="3"/>
        <v/>
      </c>
      <c r="Z501" s="61" t="str">
        <f t="shared" si="4"/>
        <v/>
      </c>
      <c r="AA501" s="60" t="str">
        <f t="shared" si="5"/>
        <v/>
      </c>
      <c r="AB501" s="62" t="str">
        <f t="shared" si="6"/>
        <v/>
      </c>
      <c r="AC501" s="62" t="str">
        <f t="array" ref="AC501">IF(AH501&lt;&gt;"COMPRAR","",IF(MAX(INDEX(Ventas!$G$2:$G$5000,MATCH($A501,Ventas!$A$2:$A$5000,0)),INDEX(Ventas!$H$2:$H$5000,MATCH($A501,Ventas!$A$2:$A$5000,0)),INDEX(Ventas!$I$2:$I$5000,MATCH($A501,Ventas!$A$2:$A$5000,0)),INDEX(Ventas!$J$2:$J$5000,MATCH($A501,Ventas!$A$2:$A$5000,0)))&gt;0.5*AF501*4,"1 mes = "&amp;TEXT(MAX(INDEX(Ventas!$G$2:$G$5000,MATCH($A501,Ventas!$A$2:$A$5000,0)),INDEX(Ventas!$H$2:$H$5000,MATCH($A501,Ventas!$A$2:$A$5000,0)),INDEX(Ventas!$I$2:$I$5000,MATCH($A501,Ventas!$A$2:$A$5000,0)),INDEX(Ventas!$J$2:$J$5000,MATCH($A501,Ventas!$A$2:$A$5000,0)))/(AF501*4),"0%")&amp;" de 4 meses",""))</f>
        <v/>
      </c>
      <c r="AD501" s="62" t="str">
        <f t="shared" si="7"/>
        <v/>
      </c>
      <c r="AE501" s="62" t="str">
        <f t="array" ref="AE501">IF(X501="","",IF(AND(E501=0,AVERAGE(INDEX(Ventas!$C$2:$I$5000,MATCH($A501,Ventas!$A$2:$A$5000,0),0))&gt;0,INDEX(Ventas!$J$2:$J$5000,MATCH($A501,Ventas!$A$2:$A$5000,0))&lt;0.5*AVERAGE(INDEX(Ventas!$C$2:$I$5000,MATCH($A501,Ventas!$A$2:$A$5000,0),0))),"SÍ — stock 0 y Sep cayó (prom Feb-Ago "&amp;TEXT(AVERAGE(INDEX(Ventas!$C$2:$I$5000,MATCH($A501,Ventas!$A$2:$A$5000,0),0)),"#,##0")&amp;")",""))</f>
        <v/>
      </c>
      <c r="AF501" s="60" t="str">
        <f t="array" ref="AF501">IF(X501="","",IF(AE501&lt;&gt;"",MAX(X501,AVERAGE(INDEX(Ventas!$C$2:$I$5000,MATCH($A501,Ventas!$A$2:$A$5000,0),0))),X501))</f>
        <v/>
      </c>
      <c r="AG501" s="60" t="str">
        <f t="shared" si="8"/>
        <v/>
      </c>
      <c r="AH501" s="63" t="str">
        <f t="shared" si="9"/>
        <v/>
      </c>
    </row>
    <row r="502" ht="13.5" customHeight="1">
      <c r="A502" s="87"/>
      <c r="B502" s="65"/>
      <c r="C502" s="65" t="s">
        <v>3882</v>
      </c>
      <c r="D502" s="65" t="s">
        <v>3884</v>
      </c>
      <c r="E502" s="51">
        <v>0.0</v>
      </c>
      <c r="F502" s="66"/>
      <c r="G502" s="53"/>
      <c r="H502" s="55"/>
      <c r="I502" s="55"/>
      <c r="J502" s="53"/>
      <c r="K502" s="53"/>
      <c r="L502" s="55"/>
      <c r="M502" s="53"/>
      <c r="N502" s="73"/>
      <c r="O502" s="57" t="str">
        <f t="shared" si="1"/>
        <v>SIN SKU — cargar código para calcular</v>
      </c>
      <c r="P502" s="58">
        <f t="shared" si="2"/>
        <v>0</v>
      </c>
      <c r="Q502" s="1"/>
      <c r="R502" s="1"/>
      <c r="S502" s="1"/>
      <c r="T502" s="1"/>
      <c r="U502" s="1"/>
      <c r="V502" s="1"/>
      <c r="W502" s="1"/>
      <c r="X502" s="60" t="str">
        <f>IFERROR(VLOOKUP($A502,Ventas!$A$2:$L$5000,12,FALSE()),"")</f>
        <v/>
      </c>
      <c r="Y502" s="60" t="str">
        <f t="shared" si="3"/>
        <v/>
      </c>
      <c r="Z502" s="61" t="str">
        <f t="shared" si="4"/>
        <v/>
      </c>
      <c r="AA502" s="60" t="str">
        <f t="shared" si="5"/>
        <v/>
      </c>
      <c r="AB502" s="62" t="str">
        <f t="shared" si="6"/>
        <v/>
      </c>
      <c r="AC502" s="62" t="str">
        <f t="array" ref="AC502">IF(AH502&lt;&gt;"COMPRAR","",IF(MAX(INDEX(Ventas!$G$2:$G$5000,MATCH($A502,Ventas!$A$2:$A$5000,0)),INDEX(Ventas!$H$2:$H$5000,MATCH($A502,Ventas!$A$2:$A$5000,0)),INDEX(Ventas!$I$2:$I$5000,MATCH($A502,Ventas!$A$2:$A$5000,0)),INDEX(Ventas!$J$2:$J$5000,MATCH($A502,Ventas!$A$2:$A$5000,0)))&gt;0.5*AF502*4,"1 mes = "&amp;TEXT(MAX(INDEX(Ventas!$G$2:$G$5000,MATCH($A502,Ventas!$A$2:$A$5000,0)),INDEX(Ventas!$H$2:$H$5000,MATCH($A502,Ventas!$A$2:$A$5000,0)),INDEX(Ventas!$I$2:$I$5000,MATCH($A502,Ventas!$A$2:$A$5000,0)),INDEX(Ventas!$J$2:$J$5000,MATCH($A502,Ventas!$A$2:$A$5000,0)))/(AF502*4),"0%")&amp;" de 4 meses",""))</f>
        <v/>
      </c>
      <c r="AD502" s="62" t="str">
        <f t="shared" si="7"/>
        <v/>
      </c>
      <c r="AE502" s="62" t="str">
        <f t="array" ref="AE502">IF(X502="","",IF(AND(E502=0,AVERAGE(INDEX(Ventas!$C$2:$I$5000,MATCH($A502,Ventas!$A$2:$A$5000,0),0))&gt;0,INDEX(Ventas!$J$2:$J$5000,MATCH($A502,Ventas!$A$2:$A$5000,0))&lt;0.5*AVERAGE(INDEX(Ventas!$C$2:$I$5000,MATCH($A502,Ventas!$A$2:$A$5000,0),0))),"SÍ — stock 0 y Sep cayó (prom Feb-Ago "&amp;TEXT(AVERAGE(INDEX(Ventas!$C$2:$I$5000,MATCH($A502,Ventas!$A$2:$A$5000,0),0)),"#,##0")&amp;")",""))</f>
        <v/>
      </c>
      <c r="AF502" s="60" t="str">
        <f t="array" ref="AF502">IF(X502="","",IF(AE502&lt;&gt;"",MAX(X502,AVERAGE(INDEX(Ventas!$C$2:$I$5000,MATCH($A502,Ventas!$A$2:$A$5000,0),0))),X502))</f>
        <v/>
      </c>
      <c r="AG502" s="60" t="str">
        <f t="shared" si="8"/>
        <v/>
      </c>
      <c r="AH502" s="63" t="str">
        <f t="shared" si="9"/>
        <v/>
      </c>
    </row>
    <row r="503" ht="13.5" customHeight="1">
      <c r="A503" s="87"/>
      <c r="B503" s="50"/>
      <c r="C503" s="50" t="s">
        <v>3882</v>
      </c>
      <c r="D503" s="50" t="s">
        <v>3885</v>
      </c>
      <c r="E503" s="51">
        <v>0.0</v>
      </c>
      <c r="F503" s="52"/>
      <c r="G503" s="53"/>
      <c r="H503" s="55"/>
      <c r="I503" s="55"/>
      <c r="J503" s="53"/>
      <c r="K503" s="53"/>
      <c r="L503" s="55"/>
      <c r="M503" s="53"/>
      <c r="N503" s="74"/>
      <c r="O503" s="57" t="str">
        <f t="shared" si="1"/>
        <v>SIN SKU — cargar código para calcular</v>
      </c>
      <c r="P503" s="58">
        <f t="shared" si="2"/>
        <v>0</v>
      </c>
      <c r="Q503" s="1"/>
      <c r="R503" s="1"/>
      <c r="S503" s="1"/>
      <c r="T503" s="1"/>
      <c r="U503" s="1"/>
      <c r="V503" s="1"/>
      <c r="W503" s="1"/>
      <c r="X503" s="60" t="str">
        <f>IFERROR(VLOOKUP($A503,Ventas!$A$2:$L$5000,12,FALSE()),"")</f>
        <v/>
      </c>
      <c r="Y503" s="60" t="str">
        <f t="shared" si="3"/>
        <v/>
      </c>
      <c r="Z503" s="61" t="str">
        <f t="shared" si="4"/>
        <v/>
      </c>
      <c r="AA503" s="60" t="str">
        <f t="shared" si="5"/>
        <v/>
      </c>
      <c r="AB503" s="62" t="str">
        <f t="shared" si="6"/>
        <v/>
      </c>
      <c r="AC503" s="62" t="str">
        <f t="array" ref="AC503">IF(AH503&lt;&gt;"COMPRAR","",IF(MAX(INDEX(Ventas!$G$2:$G$5000,MATCH($A503,Ventas!$A$2:$A$5000,0)),INDEX(Ventas!$H$2:$H$5000,MATCH($A503,Ventas!$A$2:$A$5000,0)),INDEX(Ventas!$I$2:$I$5000,MATCH($A503,Ventas!$A$2:$A$5000,0)),INDEX(Ventas!$J$2:$J$5000,MATCH($A503,Ventas!$A$2:$A$5000,0)))&gt;0.5*AF503*4,"1 mes = "&amp;TEXT(MAX(INDEX(Ventas!$G$2:$G$5000,MATCH($A503,Ventas!$A$2:$A$5000,0)),INDEX(Ventas!$H$2:$H$5000,MATCH($A503,Ventas!$A$2:$A$5000,0)),INDEX(Ventas!$I$2:$I$5000,MATCH($A503,Ventas!$A$2:$A$5000,0)),INDEX(Ventas!$J$2:$J$5000,MATCH($A503,Ventas!$A$2:$A$5000,0)))/(AF503*4),"0%")&amp;" de 4 meses",""))</f>
        <v/>
      </c>
      <c r="AD503" s="62" t="str">
        <f t="shared" si="7"/>
        <v/>
      </c>
      <c r="AE503" s="62" t="str">
        <f t="array" ref="AE503">IF(X503="","",IF(AND(E503=0,AVERAGE(INDEX(Ventas!$C$2:$I$5000,MATCH($A503,Ventas!$A$2:$A$5000,0),0))&gt;0,INDEX(Ventas!$J$2:$J$5000,MATCH($A503,Ventas!$A$2:$A$5000,0))&lt;0.5*AVERAGE(INDEX(Ventas!$C$2:$I$5000,MATCH($A503,Ventas!$A$2:$A$5000,0),0))),"SÍ — stock 0 y Sep cayó (prom Feb-Ago "&amp;TEXT(AVERAGE(INDEX(Ventas!$C$2:$I$5000,MATCH($A503,Ventas!$A$2:$A$5000,0),0)),"#,##0")&amp;")",""))</f>
        <v/>
      </c>
      <c r="AF503" s="60" t="str">
        <f t="array" ref="AF503">IF(X503="","",IF(AE503&lt;&gt;"",MAX(X503,AVERAGE(INDEX(Ventas!$C$2:$I$5000,MATCH($A503,Ventas!$A$2:$A$5000,0),0))),X503))</f>
        <v/>
      </c>
      <c r="AG503" s="60" t="str">
        <f t="shared" si="8"/>
        <v/>
      </c>
      <c r="AH503" s="63" t="str">
        <f t="shared" si="9"/>
        <v/>
      </c>
    </row>
    <row r="504" ht="13.5" customHeight="1">
      <c r="A504" s="87"/>
      <c r="B504" s="65"/>
      <c r="C504" s="65" t="s">
        <v>3882</v>
      </c>
      <c r="D504" s="65" t="s">
        <v>3886</v>
      </c>
      <c r="E504" s="51">
        <v>0.0</v>
      </c>
      <c r="F504" s="66"/>
      <c r="G504" s="53"/>
      <c r="H504" s="55"/>
      <c r="I504" s="55"/>
      <c r="J504" s="53"/>
      <c r="K504" s="53"/>
      <c r="L504" s="55"/>
      <c r="M504" s="53"/>
      <c r="N504" s="73"/>
      <c r="O504" s="57" t="str">
        <f t="shared" si="1"/>
        <v>SIN SKU — cargar código para calcular</v>
      </c>
      <c r="P504" s="58">
        <f t="shared" si="2"/>
        <v>0</v>
      </c>
      <c r="Q504" s="1"/>
      <c r="R504" s="1"/>
      <c r="S504" s="1"/>
      <c r="T504" s="1"/>
      <c r="U504" s="1"/>
      <c r="V504" s="1"/>
      <c r="W504" s="1"/>
      <c r="X504" s="60" t="str">
        <f>IFERROR(VLOOKUP($A504,Ventas!$A$2:$L$5000,12,FALSE()),"")</f>
        <v/>
      </c>
      <c r="Y504" s="60" t="str">
        <f t="shared" si="3"/>
        <v/>
      </c>
      <c r="Z504" s="61" t="str">
        <f t="shared" si="4"/>
        <v/>
      </c>
      <c r="AA504" s="60" t="str">
        <f t="shared" si="5"/>
        <v/>
      </c>
      <c r="AB504" s="62" t="str">
        <f t="shared" si="6"/>
        <v/>
      </c>
      <c r="AC504" s="62" t="str">
        <f t="array" ref="AC504">IF(AH504&lt;&gt;"COMPRAR","",IF(MAX(INDEX(Ventas!$G$2:$G$5000,MATCH($A504,Ventas!$A$2:$A$5000,0)),INDEX(Ventas!$H$2:$H$5000,MATCH($A504,Ventas!$A$2:$A$5000,0)),INDEX(Ventas!$I$2:$I$5000,MATCH($A504,Ventas!$A$2:$A$5000,0)),INDEX(Ventas!$J$2:$J$5000,MATCH($A504,Ventas!$A$2:$A$5000,0)))&gt;0.5*AF504*4,"1 mes = "&amp;TEXT(MAX(INDEX(Ventas!$G$2:$G$5000,MATCH($A504,Ventas!$A$2:$A$5000,0)),INDEX(Ventas!$H$2:$H$5000,MATCH($A504,Ventas!$A$2:$A$5000,0)),INDEX(Ventas!$I$2:$I$5000,MATCH($A504,Ventas!$A$2:$A$5000,0)),INDEX(Ventas!$J$2:$J$5000,MATCH($A504,Ventas!$A$2:$A$5000,0)))/(AF504*4),"0%")&amp;" de 4 meses",""))</f>
        <v/>
      </c>
      <c r="AD504" s="62" t="str">
        <f t="shared" si="7"/>
        <v/>
      </c>
      <c r="AE504" s="62" t="str">
        <f t="array" ref="AE504">IF(X504="","",IF(AND(E504=0,AVERAGE(INDEX(Ventas!$C$2:$I$5000,MATCH($A504,Ventas!$A$2:$A$5000,0),0))&gt;0,INDEX(Ventas!$J$2:$J$5000,MATCH($A504,Ventas!$A$2:$A$5000,0))&lt;0.5*AVERAGE(INDEX(Ventas!$C$2:$I$5000,MATCH($A504,Ventas!$A$2:$A$5000,0),0))),"SÍ — stock 0 y Sep cayó (prom Feb-Ago "&amp;TEXT(AVERAGE(INDEX(Ventas!$C$2:$I$5000,MATCH($A504,Ventas!$A$2:$A$5000,0),0)),"#,##0")&amp;")",""))</f>
        <v/>
      </c>
      <c r="AF504" s="60" t="str">
        <f t="array" ref="AF504">IF(X504="","",IF(AE504&lt;&gt;"",MAX(X504,AVERAGE(INDEX(Ventas!$C$2:$I$5000,MATCH($A504,Ventas!$A$2:$A$5000,0),0))),X504))</f>
        <v/>
      </c>
      <c r="AG504" s="60" t="str">
        <f t="shared" si="8"/>
        <v/>
      </c>
      <c r="AH504" s="63" t="str">
        <f t="shared" si="9"/>
        <v/>
      </c>
    </row>
    <row r="505" ht="13.5" customHeight="1">
      <c r="A505" s="87"/>
      <c r="B505" s="50"/>
      <c r="C505" s="50" t="s">
        <v>3882</v>
      </c>
      <c r="D505" s="50" t="s">
        <v>3887</v>
      </c>
      <c r="E505" s="51">
        <v>0.0</v>
      </c>
      <c r="F505" s="52"/>
      <c r="G505" s="53"/>
      <c r="H505" s="55"/>
      <c r="I505" s="55"/>
      <c r="J505" s="53"/>
      <c r="K505" s="53"/>
      <c r="L505" s="55"/>
      <c r="M505" s="53"/>
      <c r="N505" s="74"/>
      <c r="O505" s="57" t="str">
        <f t="shared" si="1"/>
        <v>SIN SKU — cargar código para calcular</v>
      </c>
      <c r="P505" s="58">
        <f t="shared" si="2"/>
        <v>0</v>
      </c>
      <c r="Q505" s="1"/>
      <c r="R505" s="1"/>
      <c r="S505" s="1"/>
      <c r="T505" s="1"/>
      <c r="U505" s="1"/>
      <c r="V505" s="1"/>
      <c r="W505" s="1"/>
      <c r="X505" s="60" t="str">
        <f>IFERROR(VLOOKUP($A505,Ventas!$A$2:$L$5000,12,FALSE()),"")</f>
        <v/>
      </c>
      <c r="Y505" s="60" t="str">
        <f t="shared" si="3"/>
        <v/>
      </c>
      <c r="Z505" s="61" t="str">
        <f t="shared" si="4"/>
        <v/>
      </c>
      <c r="AA505" s="60" t="str">
        <f t="shared" si="5"/>
        <v/>
      </c>
      <c r="AB505" s="62" t="str">
        <f t="shared" si="6"/>
        <v/>
      </c>
      <c r="AC505" s="62" t="str">
        <f t="array" ref="AC505">IF(AH505&lt;&gt;"COMPRAR","",IF(MAX(INDEX(Ventas!$G$2:$G$5000,MATCH($A505,Ventas!$A$2:$A$5000,0)),INDEX(Ventas!$H$2:$H$5000,MATCH($A505,Ventas!$A$2:$A$5000,0)),INDEX(Ventas!$I$2:$I$5000,MATCH($A505,Ventas!$A$2:$A$5000,0)),INDEX(Ventas!$J$2:$J$5000,MATCH($A505,Ventas!$A$2:$A$5000,0)))&gt;0.5*AF505*4,"1 mes = "&amp;TEXT(MAX(INDEX(Ventas!$G$2:$G$5000,MATCH($A505,Ventas!$A$2:$A$5000,0)),INDEX(Ventas!$H$2:$H$5000,MATCH($A505,Ventas!$A$2:$A$5000,0)),INDEX(Ventas!$I$2:$I$5000,MATCH($A505,Ventas!$A$2:$A$5000,0)),INDEX(Ventas!$J$2:$J$5000,MATCH($A505,Ventas!$A$2:$A$5000,0)))/(AF505*4),"0%")&amp;" de 4 meses",""))</f>
        <v/>
      </c>
      <c r="AD505" s="62" t="str">
        <f t="shared" si="7"/>
        <v/>
      </c>
      <c r="AE505" s="62" t="str">
        <f t="array" ref="AE505">IF(X505="","",IF(AND(E505=0,AVERAGE(INDEX(Ventas!$C$2:$I$5000,MATCH($A505,Ventas!$A$2:$A$5000,0),0))&gt;0,INDEX(Ventas!$J$2:$J$5000,MATCH($A505,Ventas!$A$2:$A$5000,0))&lt;0.5*AVERAGE(INDEX(Ventas!$C$2:$I$5000,MATCH($A505,Ventas!$A$2:$A$5000,0),0))),"SÍ — stock 0 y Sep cayó (prom Feb-Ago "&amp;TEXT(AVERAGE(INDEX(Ventas!$C$2:$I$5000,MATCH($A505,Ventas!$A$2:$A$5000,0),0)),"#,##0")&amp;")",""))</f>
        <v/>
      </c>
      <c r="AF505" s="60" t="str">
        <f t="array" ref="AF505">IF(X505="","",IF(AE505&lt;&gt;"",MAX(X505,AVERAGE(INDEX(Ventas!$C$2:$I$5000,MATCH($A505,Ventas!$A$2:$A$5000,0),0))),X505))</f>
        <v/>
      </c>
      <c r="AG505" s="60" t="str">
        <f t="shared" si="8"/>
        <v/>
      </c>
      <c r="AH505" s="63" t="str">
        <f t="shared" si="9"/>
        <v/>
      </c>
    </row>
    <row r="506" ht="13.5" customHeight="1">
      <c r="A506" s="64" t="s">
        <v>2993</v>
      </c>
      <c r="B506" s="65"/>
      <c r="C506" s="65" t="s">
        <v>3888</v>
      </c>
      <c r="D506" s="65" t="s">
        <v>3889</v>
      </c>
      <c r="E506" s="51">
        <v>0.0</v>
      </c>
      <c r="F506" s="66"/>
      <c r="G506" s="53"/>
      <c r="H506" s="55"/>
      <c r="I506" s="55"/>
      <c r="J506" s="53"/>
      <c r="K506" s="53"/>
      <c r="L506" s="55"/>
      <c r="M506" s="53"/>
      <c r="N506" s="73"/>
      <c r="O506" s="57" t="str">
        <f t="shared" si="1"/>
        <v>SIN VENTAS Jun-Sep — no comprar</v>
      </c>
      <c r="P506" s="58">
        <f t="shared" si="2"/>
        <v>0</v>
      </c>
      <c r="Q506" s="1"/>
      <c r="R506" s="1"/>
      <c r="S506" s="1"/>
      <c r="T506" s="1"/>
      <c r="U506" s="1"/>
      <c r="V506" s="1"/>
      <c r="W506" s="1"/>
      <c r="X506" s="60">
        <f>IFERROR(VLOOKUP($A506,Ventas!$A$2:$L$5000,12,FALSE()),"")</f>
        <v>0</v>
      </c>
      <c r="Y506" s="60">
        <f t="shared" si="3"/>
        <v>0</v>
      </c>
      <c r="Z506" s="61" t="str">
        <f t="shared" si="4"/>
        <v/>
      </c>
      <c r="AA506" s="60">
        <f t="shared" si="5"/>
        <v>0</v>
      </c>
      <c r="AB506" s="62" t="str">
        <f t="shared" si="6"/>
        <v/>
      </c>
      <c r="AC506" s="62" t="str">
        <f t="array" ref="AC506">IF(AH506&lt;&gt;"COMPRAR","",IF(MAX(INDEX(Ventas!$G$2:$G$5000,MATCH($A506,Ventas!$A$2:$A$5000,0)),INDEX(Ventas!$H$2:$H$5000,MATCH($A506,Ventas!$A$2:$A$5000,0)),INDEX(Ventas!$I$2:$I$5000,MATCH($A506,Ventas!$A$2:$A$5000,0)),INDEX(Ventas!$J$2:$J$5000,MATCH($A506,Ventas!$A$2:$A$5000,0)))&gt;0.5*AF506*4,"1 mes = "&amp;TEXT(MAX(INDEX(Ventas!$G$2:$G$5000,MATCH($A506,Ventas!$A$2:$A$5000,0)),INDEX(Ventas!$H$2:$H$5000,MATCH($A506,Ventas!$A$2:$A$5000,0)),INDEX(Ventas!$I$2:$I$5000,MATCH($A506,Ventas!$A$2:$A$5000,0)),INDEX(Ventas!$J$2:$J$5000,MATCH($A506,Ventas!$A$2:$A$5000,0)))/(AF506*4),"0%")&amp;" de 4 meses",""))</f>
        <v/>
      </c>
      <c r="AD506" s="62" t="str">
        <f t="shared" si="7"/>
        <v/>
      </c>
      <c r="AE506" s="62" t="str">
        <f t="array" ref="AE506">IF(X506="","",IF(AND(E506=0,AVERAGE(INDEX(Ventas!$C$2:$I$5000,MATCH($A506,Ventas!$A$2:$A$5000,0),0))&gt;0,INDEX(Ventas!$J$2:$J$5000,MATCH($A506,Ventas!$A$2:$A$5000,0))&lt;0.5*AVERAGE(INDEX(Ventas!$C$2:$I$5000,MATCH($A506,Ventas!$A$2:$A$5000,0),0))),"SÍ — stock 0 y Sep cayó (prom Feb-Ago "&amp;TEXT(AVERAGE(INDEX(Ventas!$C$2:$I$5000,MATCH($A506,Ventas!$A$2:$A$5000,0),0)),"#,##0")&amp;")",""))</f>
        <v>SÍ — stock 0 y Sep cayó (prom Feb-Ago 1,136)</v>
      </c>
      <c r="AF506" s="60">
        <f t="array" ref="AF506">IF(X506="","",IF(AE506&lt;&gt;"",MAX(X506,AVERAGE(INDEX(Ventas!$C$2:$I$5000,MATCH($A506,Ventas!$A$2:$A$5000,0),0))),X506))</f>
        <v>1135.714286</v>
      </c>
      <c r="AG506" s="60">
        <f t="shared" si="8"/>
        <v>4543</v>
      </c>
      <c r="AH506" s="63" t="str">
        <f t="shared" si="9"/>
        <v>COMPRAR</v>
      </c>
    </row>
    <row r="507" ht="13.5" customHeight="1">
      <c r="A507" s="49" t="s">
        <v>2991</v>
      </c>
      <c r="B507" s="50"/>
      <c r="C507" s="50" t="s">
        <v>3888</v>
      </c>
      <c r="D507" s="50" t="s">
        <v>3890</v>
      </c>
      <c r="E507" s="51">
        <v>0.0</v>
      </c>
      <c r="F507" s="52"/>
      <c r="G507" s="53"/>
      <c r="H507" s="55"/>
      <c r="I507" s="55"/>
      <c r="J507" s="53"/>
      <c r="K507" s="53"/>
      <c r="L507" s="55"/>
      <c r="M507" s="53"/>
      <c r="N507" s="74"/>
      <c r="O507" s="57" t="str">
        <f t="shared" si="1"/>
        <v>SIN VENTAS Jun-Sep — no comprar</v>
      </c>
      <c r="P507" s="58">
        <f t="shared" si="2"/>
        <v>0</v>
      </c>
      <c r="Q507" s="1"/>
      <c r="R507" s="1"/>
      <c r="S507" s="1"/>
      <c r="T507" s="1"/>
      <c r="U507" s="1"/>
      <c r="V507" s="1"/>
      <c r="W507" s="1"/>
      <c r="X507" s="60">
        <f>IFERROR(VLOOKUP($A507,Ventas!$A$2:$L$5000,12,FALSE()),"")</f>
        <v>0</v>
      </c>
      <c r="Y507" s="60">
        <f t="shared" si="3"/>
        <v>0</v>
      </c>
      <c r="Z507" s="61" t="str">
        <f t="shared" si="4"/>
        <v/>
      </c>
      <c r="AA507" s="60">
        <f t="shared" si="5"/>
        <v>0</v>
      </c>
      <c r="AB507" s="62" t="str">
        <f t="shared" si="6"/>
        <v/>
      </c>
      <c r="AC507" s="62" t="str">
        <f t="array" ref="AC507">IF(AH507&lt;&gt;"COMPRAR","",IF(MAX(INDEX(Ventas!$G$2:$G$5000,MATCH($A507,Ventas!$A$2:$A$5000,0)),INDEX(Ventas!$H$2:$H$5000,MATCH($A507,Ventas!$A$2:$A$5000,0)),INDEX(Ventas!$I$2:$I$5000,MATCH($A507,Ventas!$A$2:$A$5000,0)),INDEX(Ventas!$J$2:$J$5000,MATCH($A507,Ventas!$A$2:$A$5000,0)))&gt;0.5*AF507*4,"1 mes = "&amp;TEXT(MAX(INDEX(Ventas!$G$2:$G$5000,MATCH($A507,Ventas!$A$2:$A$5000,0)),INDEX(Ventas!$H$2:$H$5000,MATCH($A507,Ventas!$A$2:$A$5000,0)),INDEX(Ventas!$I$2:$I$5000,MATCH($A507,Ventas!$A$2:$A$5000,0)),INDEX(Ventas!$J$2:$J$5000,MATCH($A507,Ventas!$A$2:$A$5000,0)))/(AF507*4),"0%")&amp;" de 4 meses",""))</f>
        <v/>
      </c>
      <c r="AD507" s="62" t="str">
        <f t="shared" si="7"/>
        <v/>
      </c>
      <c r="AE507" s="62" t="str">
        <f t="array" ref="AE507">IF(X507="","",IF(AND(E507=0,AVERAGE(INDEX(Ventas!$C$2:$I$5000,MATCH($A507,Ventas!$A$2:$A$5000,0),0))&gt;0,INDEX(Ventas!$J$2:$J$5000,MATCH($A507,Ventas!$A$2:$A$5000,0))&lt;0.5*AVERAGE(INDEX(Ventas!$C$2:$I$5000,MATCH($A507,Ventas!$A$2:$A$5000,0),0))),"SÍ — stock 0 y Sep cayó (prom Feb-Ago "&amp;TEXT(AVERAGE(INDEX(Ventas!$C$2:$I$5000,MATCH($A507,Ventas!$A$2:$A$5000,0),0)),"#,##0")&amp;")",""))</f>
        <v>SÍ — stock 0 y Sep cayó (prom Feb-Ago 121)</v>
      </c>
      <c r="AF507" s="60">
        <f t="array" ref="AF507">IF(X507="","",IF(AE507&lt;&gt;"",MAX(X507,AVERAGE(INDEX(Ventas!$C$2:$I$5000,MATCH($A507,Ventas!$A$2:$A$5000,0),0))),X507))</f>
        <v>121.4285714</v>
      </c>
      <c r="AG507" s="60">
        <f t="shared" si="8"/>
        <v>486</v>
      </c>
      <c r="AH507" s="63" t="str">
        <f t="shared" si="9"/>
        <v>COMPRAR</v>
      </c>
    </row>
    <row r="508" ht="13.5" customHeight="1">
      <c r="A508" s="64" t="s">
        <v>2995</v>
      </c>
      <c r="B508" s="65"/>
      <c r="C508" s="65" t="s">
        <v>3888</v>
      </c>
      <c r="D508" s="65" t="s">
        <v>3891</v>
      </c>
      <c r="E508" s="51">
        <v>3100.0</v>
      </c>
      <c r="F508" s="66"/>
      <c r="G508" s="53"/>
      <c r="H508" s="55"/>
      <c r="I508" s="55"/>
      <c r="J508" s="53"/>
      <c r="K508" s="53"/>
      <c r="L508" s="55"/>
      <c r="M508" s="53"/>
      <c r="N508" s="73"/>
      <c r="O508" s="57" t="str">
        <f t="shared" si="1"/>
        <v>COMPRAR — faltan 1,050 m para 4 meses</v>
      </c>
      <c r="P508" s="58">
        <f t="shared" si="2"/>
        <v>3100</v>
      </c>
      <c r="Q508" s="1"/>
      <c r="R508" s="1"/>
      <c r="S508" s="1"/>
      <c r="T508" s="1"/>
      <c r="U508" s="1"/>
      <c r="V508" s="1"/>
      <c r="W508" s="1"/>
      <c r="X508" s="60">
        <f>IFERROR(VLOOKUP($A508,Ventas!$A$2:$L$5000,12,FALSE()),"")</f>
        <v>1037.5</v>
      </c>
      <c r="Y508" s="60">
        <f t="shared" si="3"/>
        <v>4150</v>
      </c>
      <c r="Z508" s="61">
        <f t="shared" si="4"/>
        <v>3</v>
      </c>
      <c r="AA508" s="60">
        <f t="shared" si="5"/>
        <v>1050</v>
      </c>
      <c r="AB508" s="62" t="str">
        <f t="shared" si="6"/>
        <v/>
      </c>
      <c r="AC508" s="62" t="str">
        <f t="array" ref="AC508">IF(AH508&lt;&gt;"COMPRAR","",IF(MAX(INDEX(Ventas!$G$2:$G$5000,MATCH($A508,Ventas!$A$2:$A$5000,0)),INDEX(Ventas!$H$2:$H$5000,MATCH($A508,Ventas!$A$2:$A$5000,0)),INDEX(Ventas!$I$2:$I$5000,MATCH($A508,Ventas!$A$2:$A$5000,0)),INDEX(Ventas!$J$2:$J$5000,MATCH($A508,Ventas!$A$2:$A$5000,0)))&gt;0.5*AF508*4,"1 mes = "&amp;TEXT(MAX(INDEX(Ventas!$G$2:$G$5000,MATCH($A508,Ventas!$A$2:$A$5000,0)),INDEX(Ventas!$H$2:$H$5000,MATCH($A508,Ventas!$A$2:$A$5000,0)),INDEX(Ventas!$I$2:$I$5000,MATCH($A508,Ventas!$A$2:$A$5000,0)),INDEX(Ventas!$J$2:$J$5000,MATCH($A508,Ventas!$A$2:$A$5000,0)))/(AF508*4),"0%")&amp;" de 4 meses",""))</f>
        <v/>
      </c>
      <c r="AD508" s="62" t="str">
        <f t="shared" si="7"/>
        <v/>
      </c>
      <c r="AE508" s="62" t="str">
        <f t="array" ref="AE508">IF(X508="","",IF(AND(E508=0,AVERAGE(INDEX(Ventas!$C$2:$I$5000,MATCH($A508,Ventas!$A$2:$A$5000,0),0))&gt;0,INDEX(Ventas!$J$2:$J$5000,MATCH($A508,Ventas!$A$2:$A$5000,0))&lt;0.5*AVERAGE(INDEX(Ventas!$C$2:$I$5000,MATCH($A508,Ventas!$A$2:$A$5000,0),0))),"SÍ — stock 0 y Sep cayó (prom Feb-Ago "&amp;TEXT(AVERAGE(INDEX(Ventas!$C$2:$I$5000,MATCH($A508,Ventas!$A$2:$A$5000,0),0)),"#,##0")&amp;")",""))</f>
        <v/>
      </c>
      <c r="AF508" s="60">
        <f t="array" ref="AF508">IF(X508="","",IF(AE508&lt;&gt;"",MAX(X508,AVERAGE(INDEX(Ventas!$C$2:$I$5000,MATCH($A508,Ventas!$A$2:$A$5000,0),0))),X508))</f>
        <v>1037.5</v>
      </c>
      <c r="AG508" s="60">
        <f t="shared" si="8"/>
        <v>1050</v>
      </c>
      <c r="AH508" s="63" t="str">
        <f t="shared" si="9"/>
        <v>COMPRAR</v>
      </c>
    </row>
    <row r="509" ht="13.5" customHeight="1">
      <c r="A509" s="49" t="s">
        <v>2997</v>
      </c>
      <c r="B509" s="50"/>
      <c r="C509" s="50" t="s">
        <v>3888</v>
      </c>
      <c r="D509" s="50" t="s">
        <v>3892</v>
      </c>
      <c r="E509" s="51">
        <v>1650.0</v>
      </c>
      <c r="F509" s="52"/>
      <c r="G509" s="53"/>
      <c r="H509" s="55"/>
      <c r="I509" s="55"/>
      <c r="J509" s="53"/>
      <c r="K509" s="53"/>
      <c r="L509" s="55"/>
      <c r="M509" s="53"/>
      <c r="N509" s="74"/>
      <c r="O509" s="57" t="str">
        <f t="shared" si="1"/>
        <v>COMPRAR — faltan 650 m para 4 meses</v>
      </c>
      <c r="P509" s="58">
        <f t="shared" si="2"/>
        <v>1650</v>
      </c>
      <c r="Q509" s="1"/>
      <c r="R509" s="1"/>
      <c r="S509" s="1"/>
      <c r="T509" s="1"/>
      <c r="U509" s="1"/>
      <c r="V509" s="1"/>
      <c r="W509" s="1"/>
      <c r="X509" s="60">
        <f>IFERROR(VLOOKUP($A509,Ventas!$A$2:$L$5000,12,FALSE()),"")</f>
        <v>575</v>
      </c>
      <c r="Y509" s="60">
        <f t="shared" si="3"/>
        <v>2300</v>
      </c>
      <c r="Z509" s="61">
        <f t="shared" si="4"/>
        <v>2.9</v>
      </c>
      <c r="AA509" s="60">
        <f t="shared" si="5"/>
        <v>650</v>
      </c>
      <c r="AB509" s="62" t="str">
        <f t="shared" si="6"/>
        <v/>
      </c>
      <c r="AC509" s="62" t="str">
        <f t="array" ref="AC509">IF(AH509&lt;&gt;"COMPRAR","",IF(MAX(INDEX(Ventas!$G$2:$G$5000,MATCH($A509,Ventas!$A$2:$A$5000,0)),INDEX(Ventas!$H$2:$H$5000,MATCH($A509,Ventas!$A$2:$A$5000,0)),INDEX(Ventas!$I$2:$I$5000,MATCH($A509,Ventas!$A$2:$A$5000,0)),INDEX(Ventas!$J$2:$J$5000,MATCH($A509,Ventas!$A$2:$A$5000,0)))&gt;0.5*AF509*4,"1 mes = "&amp;TEXT(MAX(INDEX(Ventas!$G$2:$G$5000,MATCH($A509,Ventas!$A$2:$A$5000,0)),INDEX(Ventas!$H$2:$H$5000,MATCH($A509,Ventas!$A$2:$A$5000,0)),INDEX(Ventas!$I$2:$I$5000,MATCH($A509,Ventas!$A$2:$A$5000,0)),INDEX(Ventas!$J$2:$J$5000,MATCH($A509,Ventas!$A$2:$A$5000,0)))/(AF509*4),"0%")&amp;" de 4 meses",""))</f>
        <v>1 mes = 63% de 4 meses</v>
      </c>
      <c r="AD509" s="62" t="str">
        <f t="shared" si="7"/>
        <v/>
      </c>
      <c r="AE509" s="62" t="str">
        <f t="array" ref="AE509">IF(X509="","",IF(AND(E509=0,AVERAGE(INDEX(Ventas!$C$2:$I$5000,MATCH($A509,Ventas!$A$2:$A$5000,0),0))&gt;0,INDEX(Ventas!$J$2:$J$5000,MATCH($A509,Ventas!$A$2:$A$5000,0))&lt;0.5*AVERAGE(INDEX(Ventas!$C$2:$I$5000,MATCH($A509,Ventas!$A$2:$A$5000,0),0))),"SÍ — stock 0 y Sep cayó (prom Feb-Ago "&amp;TEXT(AVERAGE(INDEX(Ventas!$C$2:$I$5000,MATCH($A509,Ventas!$A$2:$A$5000,0),0)),"#,##0")&amp;")",""))</f>
        <v/>
      </c>
      <c r="AF509" s="60">
        <f t="array" ref="AF509">IF(X509="","",IF(AE509&lt;&gt;"",MAX(X509,AVERAGE(INDEX(Ventas!$C$2:$I$5000,MATCH($A509,Ventas!$A$2:$A$5000,0),0))),X509))</f>
        <v>575</v>
      </c>
      <c r="AG509" s="60">
        <f t="shared" si="8"/>
        <v>650</v>
      </c>
      <c r="AH509" s="63" t="str">
        <f t="shared" si="9"/>
        <v>COMPRAR</v>
      </c>
    </row>
    <row r="510" ht="13.5" customHeight="1">
      <c r="A510" s="64" t="s">
        <v>2472</v>
      </c>
      <c r="B510" s="65"/>
      <c r="C510" s="65" t="s">
        <v>3893</v>
      </c>
      <c r="D510" s="65" t="s">
        <v>1329</v>
      </c>
      <c r="E510" s="51">
        <v>0.0</v>
      </c>
      <c r="F510" s="66"/>
      <c r="G510" s="53"/>
      <c r="H510" s="55"/>
      <c r="I510" s="55"/>
      <c r="J510" s="53"/>
      <c r="K510" s="53"/>
      <c r="L510" s="55"/>
      <c r="M510" s="53"/>
      <c r="N510" s="73"/>
      <c r="O510" s="57" t="str">
        <f t="shared" si="1"/>
        <v>COMPRAR — faltan 870 m para 4 meses</v>
      </c>
      <c r="P510" s="58">
        <f t="shared" si="2"/>
        <v>0</v>
      </c>
      <c r="Q510" s="1"/>
      <c r="R510" s="1"/>
      <c r="S510" s="1"/>
      <c r="T510" s="1"/>
      <c r="U510" s="1"/>
      <c r="V510" s="1"/>
      <c r="W510" s="1"/>
      <c r="X510" s="60">
        <f>IFERROR(VLOOKUP($A510,Ventas!$A$2:$L$5000,12,FALSE()),"")</f>
        <v>217.5</v>
      </c>
      <c r="Y510" s="60">
        <f t="shared" si="3"/>
        <v>870</v>
      </c>
      <c r="Z510" s="61">
        <f t="shared" si="4"/>
        <v>0</v>
      </c>
      <c r="AA510" s="60">
        <f t="shared" si="5"/>
        <v>870</v>
      </c>
      <c r="AB510" s="62" t="str">
        <f t="shared" si="6"/>
        <v/>
      </c>
      <c r="AC510" s="62" t="str">
        <f t="array" ref="AC510">IF(AH510&lt;&gt;"COMPRAR","",IF(MAX(INDEX(Ventas!$G$2:$G$5000,MATCH($A510,Ventas!$A$2:$A$5000,0)),INDEX(Ventas!$H$2:$H$5000,MATCH($A510,Ventas!$A$2:$A$5000,0)),INDEX(Ventas!$I$2:$I$5000,MATCH($A510,Ventas!$A$2:$A$5000,0)),INDEX(Ventas!$J$2:$J$5000,MATCH($A510,Ventas!$A$2:$A$5000,0)))&gt;0.5*AF510*4,"1 mes = "&amp;TEXT(MAX(INDEX(Ventas!$G$2:$G$5000,MATCH($A510,Ventas!$A$2:$A$5000,0)),INDEX(Ventas!$H$2:$H$5000,MATCH($A510,Ventas!$A$2:$A$5000,0)),INDEX(Ventas!$I$2:$I$5000,MATCH($A510,Ventas!$A$2:$A$5000,0)),INDEX(Ventas!$J$2:$J$5000,MATCH($A510,Ventas!$A$2:$A$5000,0)))/(AF510*4),"0%")&amp;" de 4 meses",""))</f>
        <v>1 mes = 61% de 4 meses</v>
      </c>
      <c r="AD510" s="62" t="str">
        <f t="shared" si="7"/>
        <v>SÍ — 0 m vs 115 m</v>
      </c>
      <c r="AE510" s="62" t="str">
        <f t="array" ref="AE510">IF(X510="","",IF(AND(E510=0,AVERAGE(INDEX(Ventas!$C$2:$I$5000,MATCH($A510,Ventas!$A$2:$A$5000,0),0))&gt;0,INDEX(Ventas!$J$2:$J$5000,MATCH($A510,Ventas!$A$2:$A$5000,0))&lt;0.5*AVERAGE(INDEX(Ventas!$C$2:$I$5000,MATCH($A510,Ventas!$A$2:$A$5000,0),0))),"SÍ — stock 0 y Sep cayó (prom Feb-Ago "&amp;TEXT(AVERAGE(INDEX(Ventas!$C$2:$I$5000,MATCH($A510,Ventas!$A$2:$A$5000,0),0)),"#,##0")&amp;")",""))</f>
        <v>SÍ — stock 0 y Sep cayó (prom Feb-Ago 359)</v>
      </c>
      <c r="AF510" s="60">
        <f t="array" ref="AF510">IF(X510="","",IF(AE510&lt;&gt;"",MAX(X510,AVERAGE(INDEX(Ventas!$C$2:$I$5000,MATCH($A510,Ventas!$A$2:$A$5000,0),0))),X510))</f>
        <v>359.2857143</v>
      </c>
      <c r="AG510" s="60">
        <f t="shared" si="8"/>
        <v>1437</v>
      </c>
      <c r="AH510" s="63" t="str">
        <f t="shared" si="9"/>
        <v>COMPRAR</v>
      </c>
    </row>
    <row r="511" ht="13.5" customHeight="1">
      <c r="A511" s="49" t="s">
        <v>2470</v>
      </c>
      <c r="B511" s="50"/>
      <c r="C511" s="50" t="s">
        <v>3893</v>
      </c>
      <c r="D511" s="50" t="s">
        <v>336</v>
      </c>
      <c r="E511" s="51">
        <v>0.0</v>
      </c>
      <c r="F511" s="52"/>
      <c r="G511" s="53"/>
      <c r="H511" s="55"/>
      <c r="I511" s="55"/>
      <c r="J511" s="53"/>
      <c r="K511" s="53"/>
      <c r="L511" s="55"/>
      <c r="M511" s="53"/>
      <c r="N511" s="74"/>
      <c r="O511" s="57" t="str">
        <f t="shared" si="1"/>
        <v>SIN VENTAS Jun-Sep — no comprar</v>
      </c>
      <c r="P511" s="58">
        <f t="shared" si="2"/>
        <v>0</v>
      </c>
      <c r="Q511" s="1"/>
      <c r="R511" s="1"/>
      <c r="S511" s="1"/>
      <c r="T511" s="1"/>
      <c r="U511" s="1"/>
      <c r="V511" s="1"/>
      <c r="W511" s="1"/>
      <c r="X511" s="60">
        <f>IFERROR(VLOOKUP($A511,Ventas!$A$2:$L$5000,12,FALSE()),"")</f>
        <v>0</v>
      </c>
      <c r="Y511" s="60">
        <f t="shared" si="3"/>
        <v>0</v>
      </c>
      <c r="Z511" s="61" t="str">
        <f t="shared" si="4"/>
        <v/>
      </c>
      <c r="AA511" s="60">
        <f t="shared" si="5"/>
        <v>0</v>
      </c>
      <c r="AB511" s="62" t="str">
        <f t="shared" si="6"/>
        <v/>
      </c>
      <c r="AC511" s="62" t="str">
        <f t="array" ref="AC511">IF(AH511&lt;&gt;"COMPRAR","",IF(MAX(INDEX(Ventas!$G$2:$G$5000,MATCH($A511,Ventas!$A$2:$A$5000,0)),INDEX(Ventas!$H$2:$H$5000,MATCH($A511,Ventas!$A$2:$A$5000,0)),INDEX(Ventas!$I$2:$I$5000,MATCH($A511,Ventas!$A$2:$A$5000,0)),INDEX(Ventas!$J$2:$J$5000,MATCH($A511,Ventas!$A$2:$A$5000,0)))&gt;0.5*AF511*4,"1 mes = "&amp;TEXT(MAX(INDEX(Ventas!$G$2:$G$5000,MATCH($A511,Ventas!$A$2:$A$5000,0)),INDEX(Ventas!$H$2:$H$5000,MATCH($A511,Ventas!$A$2:$A$5000,0)),INDEX(Ventas!$I$2:$I$5000,MATCH($A511,Ventas!$A$2:$A$5000,0)),INDEX(Ventas!$J$2:$J$5000,MATCH($A511,Ventas!$A$2:$A$5000,0)))/(AF511*4),"0%")&amp;" de 4 meses",""))</f>
        <v/>
      </c>
      <c r="AD511" s="62" t="str">
        <f t="shared" si="7"/>
        <v/>
      </c>
      <c r="AE511" s="62" t="str">
        <f t="array" ref="AE511">IF(X511="","",IF(AND(E511=0,AVERAGE(INDEX(Ventas!$C$2:$I$5000,MATCH($A511,Ventas!$A$2:$A$5000,0),0))&gt;0,INDEX(Ventas!$J$2:$J$5000,MATCH($A511,Ventas!$A$2:$A$5000,0))&lt;0.5*AVERAGE(INDEX(Ventas!$C$2:$I$5000,MATCH($A511,Ventas!$A$2:$A$5000,0),0))),"SÍ — stock 0 y Sep cayó (prom Feb-Ago "&amp;TEXT(AVERAGE(INDEX(Ventas!$C$2:$I$5000,MATCH($A511,Ventas!$A$2:$A$5000,0),0)),"#,##0")&amp;")",""))</f>
        <v>SÍ — stock 0 y Sep cayó (prom Feb-Ago 114)</v>
      </c>
      <c r="AF511" s="60">
        <f t="array" ref="AF511">IF(X511="","",IF(AE511&lt;&gt;"",MAX(X511,AVERAGE(INDEX(Ventas!$C$2:$I$5000,MATCH($A511,Ventas!$A$2:$A$5000,0),0))),X511))</f>
        <v>114.2857143</v>
      </c>
      <c r="AG511" s="60">
        <f t="shared" si="8"/>
        <v>457</v>
      </c>
      <c r="AH511" s="63" t="str">
        <f t="shared" si="9"/>
        <v>COMPRAR</v>
      </c>
    </row>
    <row r="512" ht="13.5" customHeight="1">
      <c r="A512" s="64" t="s">
        <v>2189</v>
      </c>
      <c r="B512" s="65"/>
      <c r="C512" s="65" t="s">
        <v>3894</v>
      </c>
      <c r="D512" s="65" t="s">
        <v>1329</v>
      </c>
      <c r="E512" s="51">
        <v>0.0</v>
      </c>
      <c r="F512" s="66"/>
      <c r="G512" s="53"/>
      <c r="H512" s="55"/>
      <c r="I512" s="55"/>
      <c r="J512" s="53"/>
      <c r="K512" s="53"/>
      <c r="L512" s="55"/>
      <c r="M512" s="53"/>
      <c r="N512" s="73"/>
      <c r="O512" s="57" t="str">
        <f t="shared" si="1"/>
        <v>COMPRAR — faltan 400 m para 4 meses</v>
      </c>
      <c r="P512" s="58">
        <f t="shared" si="2"/>
        <v>0</v>
      </c>
      <c r="Q512" s="1"/>
      <c r="R512" s="1"/>
      <c r="S512" s="1"/>
      <c r="T512" s="1"/>
      <c r="U512" s="1"/>
      <c r="V512" s="1"/>
      <c r="W512" s="1"/>
      <c r="X512" s="60">
        <f>IFERROR(VLOOKUP($A512,Ventas!$A$2:$L$5000,12,FALSE()),"")</f>
        <v>100</v>
      </c>
      <c r="Y512" s="60">
        <f t="shared" si="3"/>
        <v>400</v>
      </c>
      <c r="Z512" s="61">
        <f t="shared" si="4"/>
        <v>0</v>
      </c>
      <c r="AA512" s="60">
        <f t="shared" si="5"/>
        <v>400</v>
      </c>
      <c r="AB512" s="62" t="str">
        <f t="shared" si="6"/>
        <v/>
      </c>
      <c r="AC512" s="62" t="str">
        <f t="array" ref="AC512">IF(AH512&lt;&gt;"COMPRAR","",IF(MAX(INDEX(Ventas!$G$2:$G$5000,MATCH($A512,Ventas!$A$2:$A$5000,0)),INDEX(Ventas!$H$2:$H$5000,MATCH($A512,Ventas!$A$2:$A$5000,0)),INDEX(Ventas!$I$2:$I$5000,MATCH($A512,Ventas!$A$2:$A$5000,0)),INDEX(Ventas!$J$2:$J$5000,MATCH($A512,Ventas!$A$2:$A$5000,0)))&gt;0.5*AF512*4,"1 mes = "&amp;TEXT(MAX(INDEX(Ventas!$G$2:$G$5000,MATCH($A512,Ventas!$A$2:$A$5000,0)),INDEX(Ventas!$H$2:$H$5000,MATCH($A512,Ventas!$A$2:$A$5000,0)),INDEX(Ventas!$I$2:$I$5000,MATCH($A512,Ventas!$A$2:$A$5000,0)),INDEX(Ventas!$J$2:$J$5000,MATCH($A512,Ventas!$A$2:$A$5000,0)))/(AF512*4),"0%")&amp;" de 4 meses",""))</f>
        <v/>
      </c>
      <c r="AD512" s="62" t="str">
        <f t="shared" si="7"/>
        <v>SÍ — 0 m vs 53 m</v>
      </c>
      <c r="AE512" s="62" t="str">
        <f t="array" ref="AE512">IF(X512="","",IF(AND(E512=0,AVERAGE(INDEX(Ventas!$C$2:$I$5000,MATCH($A512,Ventas!$A$2:$A$5000,0),0))&gt;0,INDEX(Ventas!$J$2:$J$5000,MATCH($A512,Ventas!$A$2:$A$5000,0))&lt;0.5*AVERAGE(INDEX(Ventas!$C$2:$I$5000,MATCH($A512,Ventas!$A$2:$A$5000,0),0))),"SÍ — stock 0 y Sep cayó (prom Feb-Ago "&amp;TEXT(AVERAGE(INDEX(Ventas!$C$2:$I$5000,MATCH($A512,Ventas!$A$2:$A$5000,0),0)),"#,##0")&amp;")",""))</f>
        <v>SÍ — stock 0 y Sep cayó (prom Feb-Ago 229)</v>
      </c>
      <c r="AF512" s="60">
        <f t="array" ref="AF512">IF(X512="","",IF(AE512&lt;&gt;"",MAX(X512,AVERAGE(INDEX(Ventas!$C$2:$I$5000,MATCH($A512,Ventas!$A$2:$A$5000,0),0))),X512))</f>
        <v>228.5714286</v>
      </c>
      <c r="AG512" s="60">
        <f t="shared" si="8"/>
        <v>914</v>
      </c>
      <c r="AH512" s="63" t="str">
        <f t="shared" si="9"/>
        <v>COMPRAR</v>
      </c>
    </row>
    <row r="513" ht="13.5" customHeight="1">
      <c r="A513" s="49" t="s">
        <v>2187</v>
      </c>
      <c r="B513" s="50"/>
      <c r="C513" s="50" t="s">
        <v>3894</v>
      </c>
      <c r="D513" s="50" t="s">
        <v>336</v>
      </c>
      <c r="E513" s="51">
        <v>3300.0</v>
      </c>
      <c r="F513" s="52"/>
      <c r="G513" s="53"/>
      <c r="H513" s="55"/>
      <c r="I513" s="55"/>
      <c r="J513" s="53"/>
      <c r="K513" s="53"/>
      <c r="L513" s="55"/>
      <c r="M513" s="53"/>
      <c r="N513" s="74"/>
      <c r="O513" s="57" t="str">
        <f t="shared" si="1"/>
        <v>SIN VENTAS Jun-Sep — no comprar (3,300 m disponibles)</v>
      </c>
      <c r="P513" s="58">
        <f t="shared" si="2"/>
        <v>3300</v>
      </c>
      <c r="Q513" s="1"/>
      <c r="R513" s="1"/>
      <c r="S513" s="1"/>
      <c r="T513" s="1"/>
      <c r="U513" s="1"/>
      <c r="V513" s="1"/>
      <c r="W513" s="1"/>
      <c r="X513" s="60">
        <f>IFERROR(VLOOKUP($A513,Ventas!$A$2:$L$5000,12,FALSE()),"")</f>
        <v>0</v>
      </c>
      <c r="Y513" s="60">
        <f t="shared" si="3"/>
        <v>0</v>
      </c>
      <c r="Z513" s="61" t="str">
        <f t="shared" si="4"/>
        <v/>
      </c>
      <c r="AA513" s="60">
        <f t="shared" si="5"/>
        <v>-3300</v>
      </c>
      <c r="AB513" s="62" t="str">
        <f t="shared" si="6"/>
        <v/>
      </c>
      <c r="AC513" s="62" t="str">
        <f t="array" ref="AC513">IF(AH513&lt;&gt;"COMPRAR","",IF(MAX(INDEX(Ventas!$G$2:$G$5000,MATCH($A513,Ventas!$A$2:$A$5000,0)),INDEX(Ventas!$H$2:$H$5000,MATCH($A513,Ventas!$A$2:$A$5000,0)),INDEX(Ventas!$I$2:$I$5000,MATCH($A513,Ventas!$A$2:$A$5000,0)),INDEX(Ventas!$J$2:$J$5000,MATCH($A513,Ventas!$A$2:$A$5000,0)))&gt;0.5*AF513*4,"1 mes = "&amp;TEXT(MAX(INDEX(Ventas!$G$2:$G$5000,MATCH($A513,Ventas!$A$2:$A$5000,0)),INDEX(Ventas!$H$2:$H$5000,MATCH($A513,Ventas!$A$2:$A$5000,0)),INDEX(Ventas!$I$2:$I$5000,MATCH($A513,Ventas!$A$2:$A$5000,0)),INDEX(Ventas!$J$2:$J$5000,MATCH($A513,Ventas!$A$2:$A$5000,0)))/(AF513*4),"0%")&amp;" de 4 meses",""))</f>
        <v/>
      </c>
      <c r="AD513" s="62" t="str">
        <f t="shared" si="7"/>
        <v/>
      </c>
      <c r="AE513" s="62" t="str">
        <f t="array" ref="AE513">IF(X513="","",IF(AND(E513=0,AVERAGE(INDEX(Ventas!$C$2:$I$5000,MATCH($A513,Ventas!$A$2:$A$5000,0),0))&gt;0,INDEX(Ventas!$J$2:$J$5000,MATCH($A513,Ventas!$A$2:$A$5000,0))&lt;0.5*AVERAGE(INDEX(Ventas!$C$2:$I$5000,MATCH($A513,Ventas!$A$2:$A$5000,0),0))),"SÍ — stock 0 y Sep cayó (prom Feb-Ago "&amp;TEXT(AVERAGE(INDEX(Ventas!$C$2:$I$5000,MATCH($A513,Ventas!$A$2:$A$5000,0),0)),"#,##0")&amp;")",""))</f>
        <v/>
      </c>
      <c r="AF513" s="60">
        <f t="array" ref="AF513">IF(X513="","",IF(AE513&lt;&gt;"",MAX(X513,AVERAGE(INDEX(Ventas!$C$2:$I$5000,MATCH($A513,Ventas!$A$2:$A$5000,0),0))),X513))</f>
        <v>0</v>
      </c>
      <c r="AG513" s="60">
        <f t="shared" si="8"/>
        <v>-3300</v>
      </c>
      <c r="AH513" s="63" t="str">
        <f t="shared" si="9"/>
        <v>SIN VENTAS</v>
      </c>
    </row>
    <row r="514" ht="13.5" customHeight="1">
      <c r="A514" s="64" t="s">
        <v>1805</v>
      </c>
      <c r="B514" s="65"/>
      <c r="C514" s="65" t="s">
        <v>3895</v>
      </c>
      <c r="D514" s="65" t="s">
        <v>1329</v>
      </c>
      <c r="E514" s="51">
        <v>250.0</v>
      </c>
      <c r="F514" s="66"/>
      <c r="G514" s="53"/>
      <c r="H514" s="55"/>
      <c r="I514" s="55"/>
      <c r="J514" s="53"/>
      <c r="K514" s="53"/>
      <c r="L514" s="55"/>
      <c r="M514" s="53"/>
      <c r="N514" s="73"/>
      <c r="O514" s="57" t="str">
        <f t="shared" si="1"/>
        <v>COMPRAR — faltan 3,500 m para 4 meses</v>
      </c>
      <c r="P514" s="58">
        <f t="shared" si="2"/>
        <v>250</v>
      </c>
      <c r="Q514" s="1"/>
      <c r="R514" s="1"/>
      <c r="S514" s="1"/>
      <c r="T514" s="1"/>
      <c r="U514" s="1"/>
      <c r="V514" s="1"/>
      <c r="W514" s="1"/>
      <c r="X514" s="60">
        <f>IFERROR(VLOOKUP($A514,Ventas!$A$2:$L$5000,12,FALSE()),"")</f>
        <v>937.5</v>
      </c>
      <c r="Y514" s="60">
        <f t="shared" si="3"/>
        <v>3750</v>
      </c>
      <c r="Z514" s="61">
        <f t="shared" si="4"/>
        <v>0.3</v>
      </c>
      <c r="AA514" s="60">
        <f t="shared" si="5"/>
        <v>3500</v>
      </c>
      <c r="AB514" s="62" t="str">
        <f t="shared" si="6"/>
        <v/>
      </c>
      <c r="AC514" s="62" t="str">
        <f t="array" ref="AC514">IF(AH514&lt;&gt;"COMPRAR","",IF(MAX(INDEX(Ventas!$G$2:$G$5000,MATCH($A514,Ventas!$A$2:$A$5000,0)),INDEX(Ventas!$H$2:$H$5000,MATCH($A514,Ventas!$A$2:$A$5000,0)),INDEX(Ventas!$I$2:$I$5000,MATCH($A514,Ventas!$A$2:$A$5000,0)),INDEX(Ventas!$J$2:$J$5000,MATCH($A514,Ventas!$A$2:$A$5000,0)))&gt;0.5*AF514*4,"1 mes = "&amp;TEXT(MAX(INDEX(Ventas!$G$2:$G$5000,MATCH($A514,Ventas!$A$2:$A$5000,0)),INDEX(Ventas!$H$2:$H$5000,MATCH($A514,Ventas!$A$2:$A$5000,0)),INDEX(Ventas!$I$2:$I$5000,MATCH($A514,Ventas!$A$2:$A$5000,0)),INDEX(Ventas!$J$2:$J$5000,MATCH($A514,Ventas!$A$2:$A$5000,0)))/(AF514*4),"0%")&amp;" de 4 meses",""))</f>
        <v/>
      </c>
      <c r="AD514" s="62" t="str">
        <f t="shared" si="7"/>
        <v>SÍ — 250 m vs 497 m</v>
      </c>
      <c r="AE514" s="62" t="str">
        <f t="array" ref="AE514">IF(X514="","",IF(AND(E514=0,AVERAGE(INDEX(Ventas!$C$2:$I$5000,MATCH($A514,Ventas!$A$2:$A$5000,0),0))&gt;0,INDEX(Ventas!$J$2:$J$5000,MATCH($A514,Ventas!$A$2:$A$5000,0))&lt;0.5*AVERAGE(INDEX(Ventas!$C$2:$I$5000,MATCH($A514,Ventas!$A$2:$A$5000,0),0))),"SÍ — stock 0 y Sep cayó (prom Feb-Ago "&amp;TEXT(AVERAGE(INDEX(Ventas!$C$2:$I$5000,MATCH($A514,Ventas!$A$2:$A$5000,0),0)),"#,##0")&amp;")",""))</f>
        <v/>
      </c>
      <c r="AF514" s="60">
        <f t="array" ref="AF514">IF(X514="","",IF(AE514&lt;&gt;"",MAX(X514,AVERAGE(INDEX(Ventas!$C$2:$I$5000,MATCH($A514,Ventas!$A$2:$A$5000,0),0))),X514))</f>
        <v>937.5</v>
      </c>
      <c r="AG514" s="60">
        <f t="shared" si="8"/>
        <v>3500</v>
      </c>
      <c r="AH514" s="63" t="str">
        <f t="shared" si="9"/>
        <v>COMPRAR</v>
      </c>
    </row>
    <row r="515" ht="13.5" customHeight="1">
      <c r="A515" s="49" t="s">
        <v>1803</v>
      </c>
      <c r="B515" s="50"/>
      <c r="C515" s="50" t="s">
        <v>3895</v>
      </c>
      <c r="D515" s="50" t="s">
        <v>336</v>
      </c>
      <c r="E515" s="51">
        <v>0.0</v>
      </c>
      <c r="F515" s="52"/>
      <c r="G515" s="53"/>
      <c r="H515" s="55"/>
      <c r="I515" s="55"/>
      <c r="J515" s="53"/>
      <c r="K515" s="53"/>
      <c r="L515" s="55"/>
      <c r="M515" s="53"/>
      <c r="N515" s="74"/>
      <c r="O515" s="57" t="str">
        <f t="shared" si="1"/>
        <v>COMPRAR — faltan 750 m para 4 meses</v>
      </c>
      <c r="P515" s="58">
        <f t="shared" si="2"/>
        <v>0</v>
      </c>
      <c r="Q515" s="1"/>
      <c r="R515" s="1"/>
      <c r="S515" s="1"/>
      <c r="T515" s="1"/>
      <c r="U515" s="1"/>
      <c r="V515" s="1"/>
      <c r="W515" s="1"/>
      <c r="X515" s="60">
        <f>IFERROR(VLOOKUP($A515,Ventas!$A$2:$L$5000,12,FALSE()),"")</f>
        <v>187.5</v>
      </c>
      <c r="Y515" s="60">
        <f t="shared" si="3"/>
        <v>750</v>
      </c>
      <c r="Z515" s="61">
        <f t="shared" si="4"/>
        <v>0</v>
      </c>
      <c r="AA515" s="60">
        <f t="shared" si="5"/>
        <v>750</v>
      </c>
      <c r="AB515" s="62" t="str">
        <f t="shared" si="6"/>
        <v/>
      </c>
      <c r="AC515" s="62" t="str">
        <f t="array" ref="AC515">IF(AH515&lt;&gt;"COMPRAR","",IF(MAX(INDEX(Ventas!$G$2:$G$5000,MATCH($A515,Ventas!$A$2:$A$5000,0)),INDEX(Ventas!$H$2:$H$5000,MATCH($A515,Ventas!$A$2:$A$5000,0)),INDEX(Ventas!$I$2:$I$5000,MATCH($A515,Ventas!$A$2:$A$5000,0)),INDEX(Ventas!$J$2:$J$5000,MATCH($A515,Ventas!$A$2:$A$5000,0)))&gt;0.5*AF515*4,"1 mes = "&amp;TEXT(MAX(INDEX(Ventas!$G$2:$G$5000,MATCH($A515,Ventas!$A$2:$A$5000,0)),INDEX(Ventas!$H$2:$H$5000,MATCH($A515,Ventas!$A$2:$A$5000,0)),INDEX(Ventas!$I$2:$I$5000,MATCH($A515,Ventas!$A$2:$A$5000,0)),INDEX(Ventas!$J$2:$J$5000,MATCH($A515,Ventas!$A$2:$A$5000,0)))/(AF515*4),"0%")&amp;" de 4 meses",""))</f>
        <v>1 mes = 67% de 4 meses</v>
      </c>
      <c r="AD515" s="62" t="str">
        <f t="shared" si="7"/>
        <v>SÍ — 0 m vs 99 m</v>
      </c>
      <c r="AE515" s="62" t="str">
        <f t="array" ref="AE515">IF(X515="","",IF(AND(E515=0,AVERAGE(INDEX(Ventas!$C$2:$I$5000,MATCH($A515,Ventas!$A$2:$A$5000,0),0))&gt;0,INDEX(Ventas!$J$2:$J$5000,MATCH($A515,Ventas!$A$2:$A$5000,0))&lt;0.5*AVERAGE(INDEX(Ventas!$C$2:$I$5000,MATCH($A515,Ventas!$A$2:$A$5000,0),0))),"SÍ — stock 0 y Sep cayó (prom Feb-Ago "&amp;TEXT(AVERAGE(INDEX(Ventas!$C$2:$I$5000,MATCH($A515,Ventas!$A$2:$A$5000,0),0)),"#,##0")&amp;")",""))</f>
        <v/>
      </c>
      <c r="AF515" s="60">
        <f t="array" ref="AF515">IF(X515="","",IF(AE515&lt;&gt;"",MAX(X515,AVERAGE(INDEX(Ventas!$C$2:$I$5000,MATCH($A515,Ventas!$A$2:$A$5000,0),0))),X515))</f>
        <v>187.5</v>
      </c>
      <c r="AG515" s="60">
        <f t="shared" si="8"/>
        <v>750</v>
      </c>
      <c r="AH515" s="63" t="str">
        <f t="shared" si="9"/>
        <v>COMPRAR</v>
      </c>
    </row>
    <row r="516" ht="13.5" customHeight="1">
      <c r="A516" s="64" t="s">
        <v>1801</v>
      </c>
      <c r="B516" s="65"/>
      <c r="C516" s="65" t="s">
        <v>3895</v>
      </c>
      <c r="D516" s="65" t="s">
        <v>2949</v>
      </c>
      <c r="E516" s="51">
        <v>0.0</v>
      </c>
      <c r="F516" s="66"/>
      <c r="G516" s="53"/>
      <c r="H516" s="55"/>
      <c r="I516" s="55"/>
      <c r="J516" s="53"/>
      <c r="K516" s="53"/>
      <c r="L516" s="55"/>
      <c r="M516" s="53"/>
      <c r="N516" s="73"/>
      <c r="O516" s="57" t="str">
        <f t="shared" si="1"/>
        <v>COMPRAR — faltan 970 m para 4 meses</v>
      </c>
      <c r="P516" s="58">
        <f t="shared" si="2"/>
        <v>0</v>
      </c>
      <c r="Q516" s="1"/>
      <c r="R516" s="1"/>
      <c r="S516" s="1"/>
      <c r="T516" s="1"/>
      <c r="U516" s="1"/>
      <c r="V516" s="1"/>
      <c r="W516" s="1"/>
      <c r="X516" s="60">
        <f>IFERROR(VLOOKUP($A516,Ventas!$A$2:$L$5000,12,FALSE()),"")</f>
        <v>242.5</v>
      </c>
      <c r="Y516" s="60">
        <f t="shared" si="3"/>
        <v>970</v>
      </c>
      <c r="Z516" s="61">
        <f t="shared" si="4"/>
        <v>0</v>
      </c>
      <c r="AA516" s="60">
        <f t="shared" si="5"/>
        <v>970</v>
      </c>
      <c r="AB516" s="62" t="str">
        <f t="shared" si="6"/>
        <v/>
      </c>
      <c r="AC516" s="62" t="str">
        <f t="array" ref="AC516">IF(AH516&lt;&gt;"COMPRAR","",IF(MAX(INDEX(Ventas!$G$2:$G$5000,MATCH($A516,Ventas!$A$2:$A$5000,0)),INDEX(Ventas!$H$2:$H$5000,MATCH($A516,Ventas!$A$2:$A$5000,0)),INDEX(Ventas!$I$2:$I$5000,MATCH($A516,Ventas!$A$2:$A$5000,0)),INDEX(Ventas!$J$2:$J$5000,MATCH($A516,Ventas!$A$2:$A$5000,0)))&gt;0.5*AF516*4,"1 mes = "&amp;TEXT(MAX(INDEX(Ventas!$G$2:$G$5000,MATCH($A516,Ventas!$A$2:$A$5000,0)),INDEX(Ventas!$H$2:$H$5000,MATCH($A516,Ventas!$A$2:$A$5000,0)),INDEX(Ventas!$I$2:$I$5000,MATCH($A516,Ventas!$A$2:$A$5000,0)),INDEX(Ventas!$J$2:$J$5000,MATCH($A516,Ventas!$A$2:$A$5000,0)))/(AF516*4),"0%")&amp;" de 4 meses",""))</f>
        <v/>
      </c>
      <c r="AD516" s="62" t="str">
        <f t="shared" si="7"/>
        <v>SÍ — 0 m vs 129 m</v>
      </c>
      <c r="AE516" s="62" t="str">
        <f t="array" ref="AE516">IF(X516="","",IF(AND(E516=0,AVERAGE(INDEX(Ventas!$C$2:$I$5000,MATCH($A516,Ventas!$A$2:$A$5000,0),0))&gt;0,INDEX(Ventas!$J$2:$J$5000,MATCH($A516,Ventas!$A$2:$A$5000,0))&lt;0.5*AVERAGE(INDEX(Ventas!$C$2:$I$5000,MATCH($A516,Ventas!$A$2:$A$5000,0),0))),"SÍ — stock 0 y Sep cayó (prom Feb-Ago "&amp;TEXT(AVERAGE(INDEX(Ventas!$C$2:$I$5000,MATCH($A516,Ventas!$A$2:$A$5000,0),0)),"#,##0")&amp;")",""))</f>
        <v>SÍ — stock 0 y Sep cayó (prom Feb-Ago 424)</v>
      </c>
      <c r="AF516" s="60">
        <f t="array" ref="AF516">IF(X516="","",IF(AE516&lt;&gt;"",MAX(X516,AVERAGE(INDEX(Ventas!$C$2:$I$5000,MATCH($A516,Ventas!$A$2:$A$5000,0),0))),X516))</f>
        <v>424.2857143</v>
      </c>
      <c r="AG516" s="60">
        <f t="shared" si="8"/>
        <v>1697</v>
      </c>
      <c r="AH516" s="63" t="str">
        <f t="shared" si="9"/>
        <v>COMPRAR</v>
      </c>
    </row>
    <row r="517" ht="13.5" customHeight="1">
      <c r="A517" s="49" t="s">
        <v>1807</v>
      </c>
      <c r="B517" s="50"/>
      <c r="C517" s="50" t="s">
        <v>3895</v>
      </c>
      <c r="D517" s="50" t="s">
        <v>3896</v>
      </c>
      <c r="E517" s="51">
        <v>0.0</v>
      </c>
      <c r="F517" s="52"/>
      <c r="G517" s="53"/>
      <c r="H517" s="55"/>
      <c r="I517" s="55"/>
      <c r="J517" s="53"/>
      <c r="K517" s="53"/>
      <c r="L517" s="55"/>
      <c r="M517" s="53"/>
      <c r="N517" s="74"/>
      <c r="O517" s="57" t="str">
        <f t="shared" si="1"/>
        <v>SIN VENTAS Jun-Sep — no comprar</v>
      </c>
      <c r="P517" s="58">
        <f t="shared" si="2"/>
        <v>0</v>
      </c>
      <c r="Q517" s="1"/>
      <c r="R517" s="1"/>
      <c r="S517" s="1"/>
      <c r="T517" s="1"/>
      <c r="U517" s="1"/>
      <c r="V517" s="1"/>
      <c r="W517" s="1"/>
      <c r="X517" s="60">
        <f>IFERROR(VLOOKUP($A517,Ventas!$A$2:$L$5000,12,FALSE()),"")</f>
        <v>0</v>
      </c>
      <c r="Y517" s="60">
        <f t="shared" si="3"/>
        <v>0</v>
      </c>
      <c r="Z517" s="61" t="str">
        <f t="shared" si="4"/>
        <v/>
      </c>
      <c r="AA517" s="60">
        <f t="shared" si="5"/>
        <v>0</v>
      </c>
      <c r="AB517" s="62" t="str">
        <f t="shared" si="6"/>
        <v/>
      </c>
      <c r="AC517" s="62" t="str">
        <f t="array" ref="AC517">IF(AH517&lt;&gt;"COMPRAR","",IF(MAX(INDEX(Ventas!$G$2:$G$5000,MATCH($A517,Ventas!$A$2:$A$5000,0)),INDEX(Ventas!$H$2:$H$5000,MATCH($A517,Ventas!$A$2:$A$5000,0)),INDEX(Ventas!$I$2:$I$5000,MATCH($A517,Ventas!$A$2:$A$5000,0)),INDEX(Ventas!$J$2:$J$5000,MATCH($A517,Ventas!$A$2:$A$5000,0)))&gt;0.5*AF517*4,"1 mes = "&amp;TEXT(MAX(INDEX(Ventas!$G$2:$G$5000,MATCH($A517,Ventas!$A$2:$A$5000,0)),INDEX(Ventas!$H$2:$H$5000,MATCH($A517,Ventas!$A$2:$A$5000,0)),INDEX(Ventas!$I$2:$I$5000,MATCH($A517,Ventas!$A$2:$A$5000,0)),INDEX(Ventas!$J$2:$J$5000,MATCH($A517,Ventas!$A$2:$A$5000,0)))/(AF517*4),"0%")&amp;" de 4 meses",""))</f>
        <v/>
      </c>
      <c r="AD517" s="62" t="str">
        <f t="shared" si="7"/>
        <v/>
      </c>
      <c r="AE517" s="62" t="str">
        <f t="array" ref="AE517">IF(X517="","",IF(AND(E517=0,AVERAGE(INDEX(Ventas!$C$2:$I$5000,MATCH($A517,Ventas!$A$2:$A$5000,0),0))&gt;0,INDEX(Ventas!$J$2:$J$5000,MATCH($A517,Ventas!$A$2:$A$5000,0))&lt;0.5*AVERAGE(INDEX(Ventas!$C$2:$I$5000,MATCH($A517,Ventas!$A$2:$A$5000,0),0))),"SÍ — stock 0 y Sep cayó (prom Feb-Ago "&amp;TEXT(AVERAGE(INDEX(Ventas!$C$2:$I$5000,MATCH($A517,Ventas!$A$2:$A$5000,0),0)),"#,##0")&amp;")",""))</f>
        <v/>
      </c>
      <c r="AF517" s="60">
        <f t="array" ref="AF517">IF(X517="","",IF(AE517&lt;&gt;"",MAX(X517,AVERAGE(INDEX(Ventas!$C$2:$I$5000,MATCH($A517,Ventas!$A$2:$A$5000,0),0))),X517))</f>
        <v>0</v>
      </c>
      <c r="AG517" s="60">
        <f t="shared" si="8"/>
        <v>0</v>
      </c>
      <c r="AH517" s="63" t="str">
        <f t="shared" si="9"/>
        <v>SIN VENTAS</v>
      </c>
    </row>
    <row r="518" ht="13.5" customHeight="1">
      <c r="A518" s="64" t="s">
        <v>1476</v>
      </c>
      <c r="B518" s="65" t="s">
        <v>3897</v>
      </c>
      <c r="C518" s="65" t="s">
        <v>3898</v>
      </c>
      <c r="D518" s="65" t="s">
        <v>336</v>
      </c>
      <c r="E518" s="51">
        <v>100.0</v>
      </c>
      <c r="F518" s="66"/>
      <c r="G518" s="53"/>
      <c r="H518" s="55"/>
      <c r="I518" s="55"/>
      <c r="J518" s="53"/>
      <c r="K518" s="53"/>
      <c r="L518" s="55"/>
      <c r="M518" s="53"/>
      <c r="N518" s="73"/>
      <c r="O518" s="57" t="str">
        <f t="shared" si="1"/>
        <v>COMPRAR — faltan 1,750 m para 4 meses</v>
      </c>
      <c r="P518" s="58">
        <f t="shared" si="2"/>
        <v>100</v>
      </c>
      <c r="Q518" s="1"/>
      <c r="R518" s="1"/>
      <c r="S518" s="1"/>
      <c r="T518" s="1"/>
      <c r="U518" s="1"/>
      <c r="V518" s="1"/>
      <c r="W518" s="1"/>
      <c r="X518" s="60">
        <f>IFERROR(VLOOKUP($A518,Ventas!$A$2:$L$5000,12,FALSE()),"")</f>
        <v>462.5</v>
      </c>
      <c r="Y518" s="60">
        <f t="shared" si="3"/>
        <v>1850</v>
      </c>
      <c r="Z518" s="61">
        <f t="shared" si="4"/>
        <v>0.2</v>
      </c>
      <c r="AA518" s="60">
        <f t="shared" si="5"/>
        <v>1750</v>
      </c>
      <c r="AB518" s="62" t="str">
        <f t="shared" si="6"/>
        <v/>
      </c>
      <c r="AC518" s="62" t="str">
        <f t="array" ref="AC518">IF(AH518&lt;&gt;"COMPRAR","",IF(MAX(INDEX(Ventas!$G$2:$G$5000,MATCH($A518,Ventas!$A$2:$A$5000,0)),INDEX(Ventas!$H$2:$H$5000,MATCH($A518,Ventas!$A$2:$A$5000,0)),INDEX(Ventas!$I$2:$I$5000,MATCH($A518,Ventas!$A$2:$A$5000,0)),INDEX(Ventas!$J$2:$J$5000,MATCH($A518,Ventas!$A$2:$A$5000,0)))&gt;0.5*AF518*4,"1 mes = "&amp;TEXT(MAX(INDEX(Ventas!$G$2:$G$5000,MATCH($A518,Ventas!$A$2:$A$5000,0)),INDEX(Ventas!$H$2:$H$5000,MATCH($A518,Ventas!$A$2:$A$5000,0)),INDEX(Ventas!$I$2:$I$5000,MATCH($A518,Ventas!$A$2:$A$5000,0)),INDEX(Ventas!$J$2:$J$5000,MATCH($A518,Ventas!$A$2:$A$5000,0)))/(AF518*4),"0%")&amp;" de 4 meses",""))</f>
        <v/>
      </c>
      <c r="AD518" s="62" t="str">
        <f t="shared" si="7"/>
        <v>SÍ — 100 m vs 245 m</v>
      </c>
      <c r="AE518" s="62" t="str">
        <f t="array" ref="AE518">IF(X518="","",IF(AND(E518=0,AVERAGE(INDEX(Ventas!$C$2:$I$5000,MATCH($A518,Ventas!$A$2:$A$5000,0),0))&gt;0,INDEX(Ventas!$J$2:$J$5000,MATCH($A518,Ventas!$A$2:$A$5000,0))&lt;0.5*AVERAGE(INDEX(Ventas!$C$2:$I$5000,MATCH($A518,Ventas!$A$2:$A$5000,0),0))),"SÍ — stock 0 y Sep cayó (prom Feb-Ago "&amp;TEXT(AVERAGE(INDEX(Ventas!$C$2:$I$5000,MATCH($A518,Ventas!$A$2:$A$5000,0),0)),"#,##0")&amp;")",""))</f>
        <v/>
      </c>
      <c r="AF518" s="60">
        <f t="array" ref="AF518">IF(X518="","",IF(AE518&lt;&gt;"",MAX(X518,AVERAGE(INDEX(Ventas!$C$2:$I$5000,MATCH($A518,Ventas!$A$2:$A$5000,0),0))),X518))</f>
        <v>462.5</v>
      </c>
      <c r="AG518" s="60">
        <f t="shared" si="8"/>
        <v>1750</v>
      </c>
      <c r="AH518" s="63" t="str">
        <f t="shared" si="9"/>
        <v>COMPRAR</v>
      </c>
    </row>
    <row r="519" ht="13.5" customHeight="1">
      <c r="A519" s="49" t="s">
        <v>1478</v>
      </c>
      <c r="B519" s="50" t="s">
        <v>3897</v>
      </c>
      <c r="C519" s="50" t="s">
        <v>3898</v>
      </c>
      <c r="D519" s="50" t="s">
        <v>1329</v>
      </c>
      <c r="E519" s="51">
        <v>720.0</v>
      </c>
      <c r="F519" s="52"/>
      <c r="G519" s="53"/>
      <c r="H519" s="55"/>
      <c r="I519" s="55"/>
      <c r="J519" s="53"/>
      <c r="K519" s="53"/>
      <c r="L519" s="55"/>
      <c r="M519" s="53"/>
      <c r="N519" s="74"/>
      <c r="O519" s="57" t="str">
        <f t="shared" si="1"/>
        <v>COMPRAR — faltan 2,770 m para 4 meses</v>
      </c>
      <c r="P519" s="58">
        <f t="shared" si="2"/>
        <v>720</v>
      </c>
      <c r="Q519" s="1"/>
      <c r="R519" s="1"/>
      <c r="S519" s="1"/>
      <c r="T519" s="1"/>
      <c r="U519" s="1"/>
      <c r="V519" s="1"/>
      <c r="W519" s="1"/>
      <c r="X519" s="60">
        <f>IFERROR(VLOOKUP($A519,Ventas!$A$2:$L$5000,12,FALSE()),"")</f>
        <v>872.5</v>
      </c>
      <c r="Y519" s="60">
        <f t="shared" si="3"/>
        <v>3490</v>
      </c>
      <c r="Z519" s="61">
        <f t="shared" si="4"/>
        <v>0.8</v>
      </c>
      <c r="AA519" s="60">
        <f t="shared" si="5"/>
        <v>2770</v>
      </c>
      <c r="AB519" s="62" t="str">
        <f t="shared" si="6"/>
        <v/>
      </c>
      <c r="AC519" s="62" t="str">
        <f t="array" ref="AC519">IF(AH519&lt;&gt;"COMPRAR","",IF(MAX(INDEX(Ventas!$G$2:$G$5000,MATCH($A519,Ventas!$A$2:$A$5000,0)),INDEX(Ventas!$H$2:$H$5000,MATCH($A519,Ventas!$A$2:$A$5000,0)),INDEX(Ventas!$I$2:$I$5000,MATCH($A519,Ventas!$A$2:$A$5000,0)),INDEX(Ventas!$J$2:$J$5000,MATCH($A519,Ventas!$A$2:$A$5000,0)))&gt;0.5*AF519*4,"1 mes = "&amp;TEXT(MAX(INDEX(Ventas!$G$2:$G$5000,MATCH($A519,Ventas!$A$2:$A$5000,0)),INDEX(Ventas!$H$2:$H$5000,MATCH($A519,Ventas!$A$2:$A$5000,0)),INDEX(Ventas!$I$2:$I$5000,MATCH($A519,Ventas!$A$2:$A$5000,0)),INDEX(Ventas!$J$2:$J$5000,MATCH($A519,Ventas!$A$2:$A$5000,0)))/(AF519*4),"0%")&amp;" de 4 meses",""))</f>
        <v/>
      </c>
      <c r="AD519" s="62" t="str">
        <f t="shared" si="7"/>
        <v/>
      </c>
      <c r="AE519" s="62" t="str">
        <f t="array" ref="AE519">IF(X519="","",IF(AND(E519=0,AVERAGE(INDEX(Ventas!$C$2:$I$5000,MATCH($A519,Ventas!$A$2:$A$5000,0),0))&gt;0,INDEX(Ventas!$J$2:$J$5000,MATCH($A519,Ventas!$A$2:$A$5000,0))&lt;0.5*AVERAGE(INDEX(Ventas!$C$2:$I$5000,MATCH($A519,Ventas!$A$2:$A$5000,0),0))),"SÍ — stock 0 y Sep cayó (prom Feb-Ago "&amp;TEXT(AVERAGE(INDEX(Ventas!$C$2:$I$5000,MATCH($A519,Ventas!$A$2:$A$5000,0),0)),"#,##0")&amp;")",""))</f>
        <v/>
      </c>
      <c r="AF519" s="60">
        <f t="array" ref="AF519">IF(X519="","",IF(AE519&lt;&gt;"",MAX(X519,AVERAGE(INDEX(Ventas!$C$2:$I$5000,MATCH($A519,Ventas!$A$2:$A$5000,0),0))),X519))</f>
        <v>872.5</v>
      </c>
      <c r="AG519" s="60">
        <f t="shared" si="8"/>
        <v>2770</v>
      </c>
      <c r="AH519" s="63" t="str">
        <f t="shared" si="9"/>
        <v>COMPRAR</v>
      </c>
    </row>
    <row r="520" ht="13.5" customHeight="1">
      <c r="A520" s="64" t="s">
        <v>1484</v>
      </c>
      <c r="B520" s="65" t="s">
        <v>3897</v>
      </c>
      <c r="C520" s="65" t="s">
        <v>3899</v>
      </c>
      <c r="D520" s="65" t="s">
        <v>336</v>
      </c>
      <c r="E520" s="51">
        <v>825.0</v>
      </c>
      <c r="F520" s="66"/>
      <c r="G520" s="53"/>
      <c r="H520" s="55"/>
      <c r="I520" s="55"/>
      <c r="J520" s="53"/>
      <c r="K520" s="53"/>
      <c r="L520" s="55"/>
      <c r="M520" s="53"/>
      <c r="N520" s="73"/>
      <c r="O520" s="57" t="str">
        <f t="shared" si="1"/>
        <v>COMPRAR — faltan 562 m para 4 meses</v>
      </c>
      <c r="P520" s="58">
        <f t="shared" si="2"/>
        <v>825</v>
      </c>
      <c r="Q520" s="1"/>
      <c r="R520" s="1"/>
      <c r="S520" s="1"/>
      <c r="T520" s="1"/>
      <c r="U520" s="1"/>
      <c r="V520" s="1"/>
      <c r="W520" s="1"/>
      <c r="X520" s="60">
        <f>IFERROR(VLOOKUP($A520,Ventas!$A$2:$L$5000,12,FALSE()),"")</f>
        <v>346.75</v>
      </c>
      <c r="Y520" s="60">
        <f t="shared" si="3"/>
        <v>1387</v>
      </c>
      <c r="Z520" s="61">
        <f t="shared" si="4"/>
        <v>2.4</v>
      </c>
      <c r="AA520" s="60">
        <f t="shared" si="5"/>
        <v>562</v>
      </c>
      <c r="AB520" s="62" t="str">
        <f t="shared" si="6"/>
        <v/>
      </c>
      <c r="AC520" s="62" t="str">
        <f t="array" ref="AC520">IF(AH520&lt;&gt;"COMPRAR","",IF(MAX(INDEX(Ventas!$G$2:$G$5000,MATCH($A520,Ventas!$A$2:$A$5000,0)),INDEX(Ventas!$H$2:$H$5000,MATCH($A520,Ventas!$A$2:$A$5000,0)),INDEX(Ventas!$I$2:$I$5000,MATCH($A520,Ventas!$A$2:$A$5000,0)),INDEX(Ventas!$J$2:$J$5000,MATCH($A520,Ventas!$A$2:$A$5000,0)))&gt;0.5*AF520*4,"1 mes = "&amp;TEXT(MAX(INDEX(Ventas!$G$2:$G$5000,MATCH($A520,Ventas!$A$2:$A$5000,0)),INDEX(Ventas!$H$2:$H$5000,MATCH($A520,Ventas!$A$2:$A$5000,0)),INDEX(Ventas!$I$2:$I$5000,MATCH($A520,Ventas!$A$2:$A$5000,0)),INDEX(Ventas!$J$2:$J$5000,MATCH($A520,Ventas!$A$2:$A$5000,0)))/(AF520*4),"0%")&amp;" de 4 meses",""))</f>
        <v/>
      </c>
      <c r="AD520" s="62" t="str">
        <f t="shared" si="7"/>
        <v/>
      </c>
      <c r="AE520" s="62" t="str">
        <f t="array" ref="AE520">IF(X520="","",IF(AND(E520=0,AVERAGE(INDEX(Ventas!$C$2:$I$5000,MATCH($A520,Ventas!$A$2:$A$5000,0),0))&gt;0,INDEX(Ventas!$J$2:$J$5000,MATCH($A520,Ventas!$A$2:$A$5000,0))&lt;0.5*AVERAGE(INDEX(Ventas!$C$2:$I$5000,MATCH($A520,Ventas!$A$2:$A$5000,0),0))),"SÍ — stock 0 y Sep cayó (prom Feb-Ago "&amp;TEXT(AVERAGE(INDEX(Ventas!$C$2:$I$5000,MATCH($A520,Ventas!$A$2:$A$5000,0),0)),"#,##0")&amp;")",""))</f>
        <v/>
      </c>
      <c r="AF520" s="60">
        <f t="array" ref="AF520">IF(X520="","",IF(AE520&lt;&gt;"",MAX(X520,AVERAGE(INDEX(Ventas!$C$2:$I$5000,MATCH($A520,Ventas!$A$2:$A$5000,0),0))),X520))</f>
        <v>346.75</v>
      </c>
      <c r="AG520" s="60">
        <f t="shared" si="8"/>
        <v>562</v>
      </c>
      <c r="AH520" s="63" t="str">
        <f t="shared" si="9"/>
        <v>COMPRAR</v>
      </c>
    </row>
    <row r="521" ht="13.5" customHeight="1">
      <c r="A521" s="49" t="s">
        <v>1488</v>
      </c>
      <c r="B521" s="50" t="s">
        <v>3897</v>
      </c>
      <c r="C521" s="50" t="s">
        <v>3899</v>
      </c>
      <c r="D521" s="50" t="s">
        <v>1329</v>
      </c>
      <c r="E521" s="51">
        <v>7341.0</v>
      </c>
      <c r="F521" s="52"/>
      <c r="G521" s="53"/>
      <c r="H521" s="55"/>
      <c r="I521" s="55"/>
      <c r="J521" s="53"/>
      <c r="K521" s="53"/>
      <c r="L521" s="55"/>
      <c r="M521" s="53"/>
      <c r="N521" s="74"/>
      <c r="O521" s="57" t="str">
        <f t="shared" si="1"/>
        <v>SOBRESTOCK — 26.5 meses de cobertura</v>
      </c>
      <c r="P521" s="58">
        <f t="shared" si="2"/>
        <v>7341</v>
      </c>
      <c r="Q521" s="70" t="s">
        <v>3900</v>
      </c>
      <c r="R521" s="1"/>
      <c r="S521" s="1"/>
      <c r="T521" s="1"/>
      <c r="U521" s="1"/>
      <c r="V521" s="1"/>
      <c r="W521" s="1"/>
      <c r="X521" s="60">
        <f>IFERROR(VLOOKUP($A521,Ventas!$A$2:$L$5000,12,FALSE()),"")</f>
        <v>277.5</v>
      </c>
      <c r="Y521" s="60">
        <f t="shared" si="3"/>
        <v>1110</v>
      </c>
      <c r="Z521" s="61">
        <f t="shared" si="4"/>
        <v>26.5</v>
      </c>
      <c r="AA521" s="60">
        <f t="shared" si="5"/>
        <v>-6231</v>
      </c>
      <c r="AB521" s="62" t="str">
        <f t="shared" si="6"/>
        <v/>
      </c>
      <c r="AC521" s="62" t="str">
        <f t="array" ref="AC521">IF(AH521&lt;&gt;"COMPRAR","",IF(MAX(INDEX(Ventas!$G$2:$G$5000,MATCH($A521,Ventas!$A$2:$A$5000,0)),INDEX(Ventas!$H$2:$H$5000,MATCH($A521,Ventas!$A$2:$A$5000,0)),INDEX(Ventas!$I$2:$I$5000,MATCH($A521,Ventas!$A$2:$A$5000,0)),INDEX(Ventas!$J$2:$J$5000,MATCH($A521,Ventas!$A$2:$A$5000,0)))&gt;0.5*AF521*4,"1 mes = "&amp;TEXT(MAX(INDEX(Ventas!$G$2:$G$5000,MATCH($A521,Ventas!$A$2:$A$5000,0)),INDEX(Ventas!$H$2:$H$5000,MATCH($A521,Ventas!$A$2:$A$5000,0)),INDEX(Ventas!$I$2:$I$5000,MATCH($A521,Ventas!$A$2:$A$5000,0)),INDEX(Ventas!$J$2:$J$5000,MATCH($A521,Ventas!$A$2:$A$5000,0)))/(AF521*4),"0%")&amp;" de 4 meses",""))</f>
        <v/>
      </c>
      <c r="AD521" s="62" t="str">
        <f t="shared" si="7"/>
        <v/>
      </c>
      <c r="AE521" s="62" t="str">
        <f t="array" ref="AE521">IF(X521="","",IF(AND(E521=0,AVERAGE(INDEX(Ventas!$C$2:$I$5000,MATCH($A521,Ventas!$A$2:$A$5000,0),0))&gt;0,INDEX(Ventas!$J$2:$J$5000,MATCH($A521,Ventas!$A$2:$A$5000,0))&lt;0.5*AVERAGE(INDEX(Ventas!$C$2:$I$5000,MATCH($A521,Ventas!$A$2:$A$5000,0),0))),"SÍ — stock 0 y Sep cayó (prom Feb-Ago "&amp;TEXT(AVERAGE(INDEX(Ventas!$C$2:$I$5000,MATCH($A521,Ventas!$A$2:$A$5000,0),0)),"#,##0")&amp;")",""))</f>
        <v/>
      </c>
      <c r="AF521" s="60">
        <f t="array" ref="AF521">IF(X521="","",IF(AE521&lt;&gt;"",MAX(X521,AVERAGE(INDEX(Ventas!$C$2:$I$5000,MATCH($A521,Ventas!$A$2:$A$5000,0),0))),X521))</f>
        <v>277.5</v>
      </c>
      <c r="AG521" s="60">
        <f t="shared" si="8"/>
        <v>-6231</v>
      </c>
      <c r="AH521" s="63" t="str">
        <f t="shared" si="9"/>
        <v>SOBRESTOCK</v>
      </c>
    </row>
    <row r="522" ht="13.5" customHeight="1">
      <c r="A522" s="64" t="s">
        <v>1482</v>
      </c>
      <c r="B522" s="65" t="s">
        <v>3897</v>
      </c>
      <c r="C522" s="65" t="s">
        <v>3899</v>
      </c>
      <c r="D522" s="65" t="s">
        <v>2949</v>
      </c>
      <c r="E522" s="51">
        <v>0.0</v>
      </c>
      <c r="F522" s="66"/>
      <c r="G522" s="53"/>
      <c r="H522" s="55"/>
      <c r="I522" s="55"/>
      <c r="J522" s="53"/>
      <c r="K522" s="53"/>
      <c r="L522" s="55"/>
      <c r="M522" s="53"/>
      <c r="N522" s="73"/>
      <c r="O522" s="57" t="str">
        <f t="shared" si="1"/>
        <v>SIN VENTAS Jun-Sep — no comprar</v>
      </c>
      <c r="P522" s="58">
        <f t="shared" si="2"/>
        <v>0</v>
      </c>
      <c r="Q522" s="1"/>
      <c r="R522" s="1"/>
      <c r="S522" s="1"/>
      <c r="T522" s="1"/>
      <c r="U522" s="1"/>
      <c r="V522" s="1"/>
      <c r="W522" s="1"/>
      <c r="X522" s="60">
        <f>IFERROR(VLOOKUP($A522,Ventas!$A$2:$L$5000,12,FALSE()),"")</f>
        <v>0</v>
      </c>
      <c r="Y522" s="60">
        <f t="shared" si="3"/>
        <v>0</v>
      </c>
      <c r="Z522" s="61" t="str">
        <f t="shared" si="4"/>
        <v/>
      </c>
      <c r="AA522" s="60">
        <f t="shared" si="5"/>
        <v>0</v>
      </c>
      <c r="AB522" s="62" t="str">
        <f t="shared" si="6"/>
        <v/>
      </c>
      <c r="AC522" s="62" t="str">
        <f t="array" ref="AC522">IF(AH522&lt;&gt;"COMPRAR","",IF(MAX(INDEX(Ventas!$G$2:$G$5000,MATCH($A522,Ventas!$A$2:$A$5000,0)),INDEX(Ventas!$H$2:$H$5000,MATCH($A522,Ventas!$A$2:$A$5000,0)),INDEX(Ventas!$I$2:$I$5000,MATCH($A522,Ventas!$A$2:$A$5000,0)),INDEX(Ventas!$J$2:$J$5000,MATCH($A522,Ventas!$A$2:$A$5000,0)))&gt;0.5*AF522*4,"1 mes = "&amp;TEXT(MAX(INDEX(Ventas!$G$2:$G$5000,MATCH($A522,Ventas!$A$2:$A$5000,0)),INDEX(Ventas!$H$2:$H$5000,MATCH($A522,Ventas!$A$2:$A$5000,0)),INDEX(Ventas!$I$2:$I$5000,MATCH($A522,Ventas!$A$2:$A$5000,0)),INDEX(Ventas!$J$2:$J$5000,MATCH($A522,Ventas!$A$2:$A$5000,0)))/(AF522*4),"0%")&amp;" de 4 meses",""))</f>
        <v/>
      </c>
      <c r="AD522" s="62" t="str">
        <f t="shared" si="7"/>
        <v/>
      </c>
      <c r="AE522" s="62" t="str">
        <f t="array" ref="AE522">IF(X522="","",IF(AND(E522=0,AVERAGE(INDEX(Ventas!$C$2:$I$5000,MATCH($A522,Ventas!$A$2:$A$5000,0),0))&gt;0,INDEX(Ventas!$J$2:$J$5000,MATCH($A522,Ventas!$A$2:$A$5000,0))&lt;0.5*AVERAGE(INDEX(Ventas!$C$2:$I$5000,MATCH($A522,Ventas!$A$2:$A$5000,0),0))),"SÍ — stock 0 y Sep cayó (prom Feb-Ago "&amp;TEXT(AVERAGE(INDEX(Ventas!$C$2:$I$5000,MATCH($A522,Ventas!$A$2:$A$5000,0),0)),"#,##0")&amp;")",""))</f>
        <v>SÍ — stock 0 y Sep cayó (prom Feb-Ago 4)</v>
      </c>
      <c r="AF522" s="60">
        <f t="array" ref="AF522">IF(X522="","",IF(AE522&lt;&gt;"",MAX(X522,AVERAGE(INDEX(Ventas!$C$2:$I$5000,MATCH($A522,Ventas!$A$2:$A$5000,0),0))),X522))</f>
        <v>4.285714286</v>
      </c>
      <c r="AG522" s="60">
        <f t="shared" si="8"/>
        <v>17</v>
      </c>
      <c r="AH522" s="63" t="str">
        <f t="shared" si="9"/>
        <v>COMPRAR</v>
      </c>
    </row>
    <row r="523" ht="13.5" customHeight="1">
      <c r="A523" s="49" t="s">
        <v>1492</v>
      </c>
      <c r="B523" s="50" t="s">
        <v>3897</v>
      </c>
      <c r="C523" s="50" t="s">
        <v>3901</v>
      </c>
      <c r="D523" s="50" t="s">
        <v>336</v>
      </c>
      <c r="E523" s="51">
        <v>0.0</v>
      </c>
      <c r="F523" s="52"/>
      <c r="G523" s="53"/>
      <c r="H523" s="55"/>
      <c r="I523" s="55"/>
      <c r="J523" s="53"/>
      <c r="K523" s="53"/>
      <c r="L523" s="55"/>
      <c r="M523" s="53"/>
      <c r="N523" s="74"/>
      <c r="O523" s="57" t="str">
        <f t="shared" si="1"/>
        <v>COMPRAR — faltan 907 m para 4 meses</v>
      </c>
      <c r="P523" s="58">
        <f t="shared" si="2"/>
        <v>0</v>
      </c>
      <c r="Q523" s="1"/>
      <c r="R523" s="1"/>
      <c r="S523" s="1"/>
      <c r="T523" s="1"/>
      <c r="U523" s="1"/>
      <c r="V523" s="1"/>
      <c r="W523" s="1"/>
      <c r="X523" s="60">
        <f>IFERROR(VLOOKUP($A523,Ventas!$A$2:$L$5000,12,FALSE()),"")</f>
        <v>226.75</v>
      </c>
      <c r="Y523" s="60">
        <f t="shared" si="3"/>
        <v>907</v>
      </c>
      <c r="Z523" s="61">
        <f t="shared" si="4"/>
        <v>0</v>
      </c>
      <c r="AA523" s="60">
        <f t="shared" si="5"/>
        <v>907</v>
      </c>
      <c r="AB523" s="62" t="str">
        <f t="shared" si="6"/>
        <v/>
      </c>
      <c r="AC523" s="62" t="str">
        <f t="array" ref="AC523">IF(AH523&lt;&gt;"COMPRAR","",IF(MAX(INDEX(Ventas!$G$2:$G$5000,MATCH($A523,Ventas!$A$2:$A$5000,0)),INDEX(Ventas!$H$2:$H$5000,MATCH($A523,Ventas!$A$2:$A$5000,0)),INDEX(Ventas!$I$2:$I$5000,MATCH($A523,Ventas!$A$2:$A$5000,0)),INDEX(Ventas!$J$2:$J$5000,MATCH($A523,Ventas!$A$2:$A$5000,0)))&gt;0.5*AF523*4,"1 mes = "&amp;TEXT(MAX(INDEX(Ventas!$G$2:$G$5000,MATCH($A523,Ventas!$A$2:$A$5000,0)),INDEX(Ventas!$H$2:$H$5000,MATCH($A523,Ventas!$A$2:$A$5000,0)),INDEX(Ventas!$I$2:$I$5000,MATCH($A523,Ventas!$A$2:$A$5000,0)),INDEX(Ventas!$J$2:$J$5000,MATCH($A523,Ventas!$A$2:$A$5000,0)))/(AF523*4),"0%")&amp;" de 4 meses",""))</f>
        <v/>
      </c>
      <c r="AD523" s="62" t="str">
        <f t="shared" si="7"/>
        <v>SÍ — 0 m vs 120 m</v>
      </c>
      <c r="AE523" s="62" t="str">
        <f t="array" ref="AE523">IF(X523="","",IF(AND(E523=0,AVERAGE(INDEX(Ventas!$C$2:$I$5000,MATCH($A523,Ventas!$A$2:$A$5000,0),0))&gt;0,INDEX(Ventas!$J$2:$J$5000,MATCH($A523,Ventas!$A$2:$A$5000,0))&lt;0.5*AVERAGE(INDEX(Ventas!$C$2:$I$5000,MATCH($A523,Ventas!$A$2:$A$5000,0),0))),"SÍ — stock 0 y Sep cayó (prom Feb-Ago "&amp;TEXT(AVERAGE(INDEX(Ventas!$C$2:$I$5000,MATCH($A523,Ventas!$A$2:$A$5000,0),0)),"#,##0")&amp;")",""))</f>
        <v>SÍ — stock 0 y Sep cayó (prom Feb-Ago 318)</v>
      </c>
      <c r="AF523" s="60">
        <f t="array" ref="AF523">IF(X523="","",IF(AE523&lt;&gt;"",MAX(X523,AVERAGE(INDEX(Ventas!$C$2:$I$5000,MATCH($A523,Ventas!$A$2:$A$5000,0),0))),X523))</f>
        <v>318.2857143</v>
      </c>
      <c r="AG523" s="60">
        <f t="shared" si="8"/>
        <v>1273</v>
      </c>
      <c r="AH523" s="63" t="str">
        <f t="shared" si="9"/>
        <v>COMPRAR</v>
      </c>
    </row>
    <row r="524" ht="13.5" customHeight="1">
      <c r="A524" s="64" t="s">
        <v>1494</v>
      </c>
      <c r="B524" s="65" t="s">
        <v>3897</v>
      </c>
      <c r="C524" s="65" t="s">
        <v>3901</v>
      </c>
      <c r="D524" s="65" t="s">
        <v>1329</v>
      </c>
      <c r="E524" s="51">
        <v>0.0</v>
      </c>
      <c r="F524" s="66"/>
      <c r="G524" s="53"/>
      <c r="H524" s="55"/>
      <c r="I524" s="55">
        <v>800.0</v>
      </c>
      <c r="J524" s="53"/>
      <c r="K524" s="53"/>
      <c r="L524" s="55"/>
      <c r="M524" s="53"/>
      <c r="N524" s="73"/>
      <c r="O524" s="57" t="str">
        <f t="shared" si="1"/>
        <v>COMPRAR — faltan 358 m para 4 meses (ya contando pedidos)</v>
      </c>
      <c r="P524" s="58">
        <f t="shared" si="2"/>
        <v>800</v>
      </c>
      <c r="Q524" s="1"/>
      <c r="R524" s="1"/>
      <c r="S524" s="1"/>
      <c r="T524" s="1"/>
      <c r="U524" s="1"/>
      <c r="V524" s="1"/>
      <c r="W524" s="1"/>
      <c r="X524" s="60">
        <f>IFERROR(VLOOKUP($A524,Ventas!$A$2:$L$5000,12,FALSE()),"")</f>
        <v>289.5</v>
      </c>
      <c r="Y524" s="60">
        <f t="shared" si="3"/>
        <v>1158</v>
      </c>
      <c r="Z524" s="61">
        <f t="shared" si="4"/>
        <v>2.8</v>
      </c>
      <c r="AA524" s="60">
        <f t="shared" si="5"/>
        <v>358</v>
      </c>
      <c r="AB524" s="62" t="str">
        <f t="shared" si="6"/>
        <v/>
      </c>
      <c r="AC524" s="62" t="str">
        <f t="array" ref="AC524">IF(AH524&lt;&gt;"COMPRAR","",IF(MAX(INDEX(Ventas!$G$2:$G$5000,MATCH($A524,Ventas!$A$2:$A$5000,0)),INDEX(Ventas!$H$2:$H$5000,MATCH($A524,Ventas!$A$2:$A$5000,0)),INDEX(Ventas!$I$2:$I$5000,MATCH($A524,Ventas!$A$2:$A$5000,0)),INDEX(Ventas!$J$2:$J$5000,MATCH($A524,Ventas!$A$2:$A$5000,0)))&gt;0.5*AF524*4,"1 mes = "&amp;TEXT(MAX(INDEX(Ventas!$G$2:$G$5000,MATCH($A524,Ventas!$A$2:$A$5000,0)),INDEX(Ventas!$H$2:$H$5000,MATCH($A524,Ventas!$A$2:$A$5000,0)),INDEX(Ventas!$I$2:$I$5000,MATCH($A524,Ventas!$A$2:$A$5000,0)),INDEX(Ventas!$J$2:$J$5000,MATCH($A524,Ventas!$A$2:$A$5000,0)))/(AF524*4),"0%")&amp;" de 4 meses",""))</f>
        <v/>
      </c>
      <c r="AD524" s="62" t="str">
        <f t="shared" si="7"/>
        <v>SÍ — 0 m vs 153 m</v>
      </c>
      <c r="AE524" s="62" t="str">
        <f t="array" ref="AE524">IF(X524="","",IF(AND(E524=0,AVERAGE(INDEX(Ventas!$C$2:$I$5000,MATCH($A524,Ventas!$A$2:$A$5000,0),0))&gt;0,INDEX(Ventas!$J$2:$J$5000,MATCH($A524,Ventas!$A$2:$A$5000,0))&lt;0.5*AVERAGE(INDEX(Ventas!$C$2:$I$5000,MATCH($A524,Ventas!$A$2:$A$5000,0),0))),"SÍ — stock 0 y Sep cayó (prom Feb-Ago "&amp;TEXT(AVERAGE(INDEX(Ventas!$C$2:$I$5000,MATCH($A524,Ventas!$A$2:$A$5000,0),0)),"#,##0")&amp;")",""))</f>
        <v>SÍ — stock 0 y Sep cayó (prom Feb-Ago 523)</v>
      </c>
      <c r="AF524" s="60">
        <f t="array" ref="AF524">IF(X524="","",IF(AE524&lt;&gt;"",MAX(X524,AVERAGE(INDEX(Ventas!$C$2:$I$5000,MATCH($A524,Ventas!$A$2:$A$5000,0),0))),X524))</f>
        <v>522.5714286</v>
      </c>
      <c r="AG524" s="60">
        <f t="shared" si="8"/>
        <v>1290</v>
      </c>
      <c r="AH524" s="63" t="str">
        <f t="shared" si="9"/>
        <v>COMPRAR</v>
      </c>
    </row>
    <row r="525" ht="13.5" customHeight="1">
      <c r="A525" s="49" t="s">
        <v>1490</v>
      </c>
      <c r="B525" s="50" t="s">
        <v>3897</v>
      </c>
      <c r="C525" s="50" t="s">
        <v>3901</v>
      </c>
      <c r="D525" s="50" t="s">
        <v>2949</v>
      </c>
      <c r="E525" s="51">
        <v>0.0</v>
      </c>
      <c r="F525" s="52"/>
      <c r="G525" s="53"/>
      <c r="H525" s="55"/>
      <c r="I525" s="55"/>
      <c r="J525" s="53"/>
      <c r="K525" s="53"/>
      <c r="L525" s="55"/>
      <c r="M525" s="53"/>
      <c r="N525" s="74"/>
      <c r="O525" s="57" t="str">
        <f t="shared" si="1"/>
        <v>SIN VENTAS Jun-Sep — no comprar</v>
      </c>
      <c r="P525" s="58">
        <f t="shared" si="2"/>
        <v>0</v>
      </c>
      <c r="Q525" s="1"/>
      <c r="R525" s="1"/>
      <c r="S525" s="1"/>
      <c r="T525" s="1"/>
      <c r="U525" s="1"/>
      <c r="V525" s="1"/>
      <c r="W525" s="1"/>
      <c r="X525" s="60">
        <f>IFERROR(VLOOKUP($A525,Ventas!$A$2:$L$5000,12,FALSE()),"")</f>
        <v>0</v>
      </c>
      <c r="Y525" s="60">
        <f t="shared" si="3"/>
        <v>0</v>
      </c>
      <c r="Z525" s="61" t="str">
        <f t="shared" si="4"/>
        <v/>
      </c>
      <c r="AA525" s="60">
        <f t="shared" si="5"/>
        <v>0</v>
      </c>
      <c r="AB525" s="62" t="str">
        <f t="shared" si="6"/>
        <v/>
      </c>
      <c r="AC525" s="62" t="str">
        <f t="array" ref="AC525">IF(AH525&lt;&gt;"COMPRAR","",IF(MAX(INDEX(Ventas!$G$2:$G$5000,MATCH($A525,Ventas!$A$2:$A$5000,0)),INDEX(Ventas!$H$2:$H$5000,MATCH($A525,Ventas!$A$2:$A$5000,0)),INDEX(Ventas!$I$2:$I$5000,MATCH($A525,Ventas!$A$2:$A$5000,0)),INDEX(Ventas!$J$2:$J$5000,MATCH($A525,Ventas!$A$2:$A$5000,0)))&gt;0.5*AF525*4,"1 mes = "&amp;TEXT(MAX(INDEX(Ventas!$G$2:$G$5000,MATCH($A525,Ventas!$A$2:$A$5000,0)),INDEX(Ventas!$H$2:$H$5000,MATCH($A525,Ventas!$A$2:$A$5000,0)),INDEX(Ventas!$I$2:$I$5000,MATCH($A525,Ventas!$A$2:$A$5000,0)),INDEX(Ventas!$J$2:$J$5000,MATCH($A525,Ventas!$A$2:$A$5000,0)))/(AF525*4),"0%")&amp;" de 4 meses",""))</f>
        <v/>
      </c>
      <c r="AD525" s="62" t="str">
        <f t="shared" si="7"/>
        <v/>
      </c>
      <c r="AE525" s="62" t="str">
        <f t="array" ref="AE525">IF(X525="","",IF(AND(E525=0,AVERAGE(INDEX(Ventas!$C$2:$I$5000,MATCH($A525,Ventas!$A$2:$A$5000,0),0))&gt;0,INDEX(Ventas!$J$2:$J$5000,MATCH($A525,Ventas!$A$2:$A$5000,0))&lt;0.5*AVERAGE(INDEX(Ventas!$C$2:$I$5000,MATCH($A525,Ventas!$A$2:$A$5000,0),0))),"SÍ — stock 0 y Sep cayó (prom Feb-Ago "&amp;TEXT(AVERAGE(INDEX(Ventas!$C$2:$I$5000,MATCH($A525,Ventas!$A$2:$A$5000,0),0)),"#,##0")&amp;")",""))</f>
        <v/>
      </c>
      <c r="AF525" s="60">
        <f t="array" ref="AF525">IF(X525="","",IF(AE525&lt;&gt;"",MAX(X525,AVERAGE(INDEX(Ventas!$C$2:$I$5000,MATCH($A525,Ventas!$A$2:$A$5000,0),0))),X525))</f>
        <v>0</v>
      </c>
      <c r="AG525" s="60">
        <f t="shared" si="8"/>
        <v>0</v>
      </c>
      <c r="AH525" s="63" t="str">
        <f t="shared" si="9"/>
        <v>SIN VENTAS</v>
      </c>
    </row>
    <row r="526" ht="13.5" customHeight="1">
      <c r="A526" s="64" t="s">
        <v>1480</v>
      </c>
      <c r="B526" s="65" t="s">
        <v>3897</v>
      </c>
      <c r="C526" s="65" t="s">
        <v>3902</v>
      </c>
      <c r="D526" s="65" t="s">
        <v>1329</v>
      </c>
      <c r="E526" s="51">
        <v>485.0</v>
      </c>
      <c r="F526" s="66"/>
      <c r="G526" s="53"/>
      <c r="H526" s="55"/>
      <c r="I526" s="55"/>
      <c r="J526" s="53"/>
      <c r="K526" s="53"/>
      <c r="L526" s="55"/>
      <c r="M526" s="53"/>
      <c r="N526" s="73"/>
      <c r="O526" s="57" t="str">
        <f t="shared" si="1"/>
        <v>SIN VENTAS Jun-Sep — no comprar (485 m disponibles)</v>
      </c>
      <c r="P526" s="58">
        <f t="shared" si="2"/>
        <v>485</v>
      </c>
      <c r="Q526" s="1"/>
      <c r="R526" s="1"/>
      <c r="S526" s="1"/>
      <c r="T526" s="1"/>
      <c r="U526" s="1"/>
      <c r="V526" s="1"/>
      <c r="W526" s="1"/>
      <c r="X526" s="60">
        <f>IFERROR(VLOOKUP($A526,Ventas!$A$2:$L$5000,12,FALSE()),"")</f>
        <v>0</v>
      </c>
      <c r="Y526" s="60">
        <f t="shared" si="3"/>
        <v>0</v>
      </c>
      <c r="Z526" s="61" t="str">
        <f t="shared" si="4"/>
        <v/>
      </c>
      <c r="AA526" s="60">
        <f t="shared" si="5"/>
        <v>-485</v>
      </c>
      <c r="AB526" s="62" t="str">
        <f t="shared" si="6"/>
        <v/>
      </c>
      <c r="AC526" s="62" t="str">
        <f t="array" ref="AC526">IF(AH526&lt;&gt;"COMPRAR","",IF(MAX(INDEX(Ventas!$G$2:$G$5000,MATCH($A526,Ventas!$A$2:$A$5000,0)),INDEX(Ventas!$H$2:$H$5000,MATCH($A526,Ventas!$A$2:$A$5000,0)),INDEX(Ventas!$I$2:$I$5000,MATCH($A526,Ventas!$A$2:$A$5000,0)),INDEX(Ventas!$J$2:$J$5000,MATCH($A526,Ventas!$A$2:$A$5000,0)))&gt;0.5*AF526*4,"1 mes = "&amp;TEXT(MAX(INDEX(Ventas!$G$2:$G$5000,MATCH($A526,Ventas!$A$2:$A$5000,0)),INDEX(Ventas!$H$2:$H$5000,MATCH($A526,Ventas!$A$2:$A$5000,0)),INDEX(Ventas!$I$2:$I$5000,MATCH($A526,Ventas!$A$2:$A$5000,0)),INDEX(Ventas!$J$2:$J$5000,MATCH($A526,Ventas!$A$2:$A$5000,0)))/(AF526*4),"0%")&amp;" de 4 meses",""))</f>
        <v/>
      </c>
      <c r="AD526" s="62" t="str">
        <f t="shared" si="7"/>
        <v/>
      </c>
      <c r="AE526" s="62" t="str">
        <f t="array" ref="AE526">IF(X526="","",IF(AND(E526=0,AVERAGE(INDEX(Ventas!$C$2:$I$5000,MATCH($A526,Ventas!$A$2:$A$5000,0),0))&gt;0,INDEX(Ventas!$J$2:$J$5000,MATCH($A526,Ventas!$A$2:$A$5000,0))&lt;0.5*AVERAGE(INDEX(Ventas!$C$2:$I$5000,MATCH($A526,Ventas!$A$2:$A$5000,0),0))),"SÍ — stock 0 y Sep cayó (prom Feb-Ago "&amp;TEXT(AVERAGE(INDEX(Ventas!$C$2:$I$5000,MATCH($A526,Ventas!$A$2:$A$5000,0),0)),"#,##0")&amp;")",""))</f>
        <v/>
      </c>
      <c r="AF526" s="60">
        <f t="array" ref="AF526">IF(X526="","",IF(AE526&lt;&gt;"",MAX(X526,AVERAGE(INDEX(Ventas!$C$2:$I$5000,MATCH($A526,Ventas!$A$2:$A$5000,0),0))),X526))</f>
        <v>0</v>
      </c>
      <c r="AG526" s="60">
        <f t="shared" si="8"/>
        <v>-485</v>
      </c>
      <c r="AH526" s="63" t="str">
        <f t="shared" si="9"/>
        <v>SIN VENTAS</v>
      </c>
    </row>
    <row r="527" ht="13.5" customHeight="1">
      <c r="A527" s="49" t="s">
        <v>70</v>
      </c>
      <c r="B527" s="50" t="s">
        <v>3903</v>
      </c>
      <c r="C527" s="50" t="s">
        <v>72</v>
      </c>
      <c r="D527" s="50"/>
      <c r="E527" s="51">
        <v>400.0</v>
      </c>
      <c r="F527" s="52"/>
      <c r="G527" s="53"/>
      <c r="H527" s="55"/>
      <c r="I527" s="55"/>
      <c r="J527" s="53"/>
      <c r="K527" s="53"/>
      <c r="L527" s="55"/>
      <c r="M527" s="53"/>
      <c r="N527" s="74"/>
      <c r="O527" s="57" t="str">
        <f t="shared" si="1"/>
        <v>SIN VENTAS Jun-Sep — no comprar (400 m disponibles)</v>
      </c>
      <c r="P527" s="58">
        <f t="shared" si="2"/>
        <v>400</v>
      </c>
      <c r="Q527" s="1"/>
      <c r="R527" s="1"/>
      <c r="S527" s="1"/>
      <c r="T527" s="1"/>
      <c r="U527" s="1"/>
      <c r="V527" s="1"/>
      <c r="W527" s="1"/>
      <c r="X527" s="60">
        <f>IFERROR(VLOOKUP($A527,Ventas!$A$2:$L$5000,12,FALSE()),"")</f>
        <v>0</v>
      </c>
      <c r="Y527" s="60">
        <f t="shared" si="3"/>
        <v>0</v>
      </c>
      <c r="Z527" s="61" t="str">
        <f t="shared" si="4"/>
        <v/>
      </c>
      <c r="AA527" s="60">
        <f t="shared" si="5"/>
        <v>-400</v>
      </c>
      <c r="AB527" s="62" t="str">
        <f t="shared" si="6"/>
        <v/>
      </c>
      <c r="AC527" s="62" t="str">
        <f t="array" ref="AC527">IF(AH527&lt;&gt;"COMPRAR","",IF(MAX(INDEX(Ventas!$G$2:$G$5000,MATCH($A527,Ventas!$A$2:$A$5000,0)),INDEX(Ventas!$H$2:$H$5000,MATCH($A527,Ventas!$A$2:$A$5000,0)),INDEX(Ventas!$I$2:$I$5000,MATCH($A527,Ventas!$A$2:$A$5000,0)),INDEX(Ventas!$J$2:$J$5000,MATCH($A527,Ventas!$A$2:$A$5000,0)))&gt;0.5*AF527*4,"1 mes = "&amp;TEXT(MAX(INDEX(Ventas!$G$2:$G$5000,MATCH($A527,Ventas!$A$2:$A$5000,0)),INDEX(Ventas!$H$2:$H$5000,MATCH($A527,Ventas!$A$2:$A$5000,0)),INDEX(Ventas!$I$2:$I$5000,MATCH($A527,Ventas!$A$2:$A$5000,0)),INDEX(Ventas!$J$2:$J$5000,MATCH($A527,Ventas!$A$2:$A$5000,0)))/(AF527*4),"0%")&amp;" de 4 meses",""))</f>
        <v/>
      </c>
      <c r="AD527" s="62" t="str">
        <f t="shared" si="7"/>
        <v/>
      </c>
      <c r="AE527" s="62" t="str">
        <f t="array" ref="AE527">IF(X527="","",IF(AND(E527=0,AVERAGE(INDEX(Ventas!$C$2:$I$5000,MATCH($A527,Ventas!$A$2:$A$5000,0),0))&gt;0,INDEX(Ventas!$J$2:$J$5000,MATCH($A527,Ventas!$A$2:$A$5000,0))&lt;0.5*AVERAGE(INDEX(Ventas!$C$2:$I$5000,MATCH($A527,Ventas!$A$2:$A$5000,0),0))),"SÍ — stock 0 y Sep cayó (prom Feb-Ago "&amp;TEXT(AVERAGE(INDEX(Ventas!$C$2:$I$5000,MATCH($A527,Ventas!$A$2:$A$5000,0),0)),"#,##0")&amp;")",""))</f>
        <v/>
      </c>
      <c r="AF527" s="60">
        <f t="array" ref="AF527">IF(X527="","",IF(AE527&lt;&gt;"",MAX(X527,AVERAGE(INDEX(Ventas!$C$2:$I$5000,MATCH($A527,Ventas!$A$2:$A$5000,0),0))),X527))</f>
        <v>0</v>
      </c>
      <c r="AG527" s="60">
        <f t="shared" si="8"/>
        <v>-400</v>
      </c>
      <c r="AH527" s="63" t="str">
        <f t="shared" si="9"/>
        <v>SIN VENTAS</v>
      </c>
    </row>
    <row r="528" ht="13.5" customHeight="1">
      <c r="A528" s="64" t="s">
        <v>92</v>
      </c>
      <c r="B528" s="65" t="s">
        <v>3903</v>
      </c>
      <c r="C528" s="65" t="s">
        <v>93</v>
      </c>
      <c r="D528" s="65"/>
      <c r="E528" s="51">
        <v>0.0</v>
      </c>
      <c r="F528" s="66"/>
      <c r="G528" s="53"/>
      <c r="H528" s="55"/>
      <c r="I528" s="55"/>
      <c r="J528" s="53"/>
      <c r="K528" s="53"/>
      <c r="L528" s="55"/>
      <c r="M528" s="53"/>
      <c r="N528" s="73"/>
      <c r="O528" s="57" t="str">
        <f t="shared" si="1"/>
        <v>SIN VENTAS Jun-Sep — no comprar</v>
      </c>
      <c r="P528" s="58">
        <f t="shared" si="2"/>
        <v>0</v>
      </c>
      <c r="Q528" s="1"/>
      <c r="R528" s="1"/>
      <c r="S528" s="1"/>
      <c r="T528" s="1"/>
      <c r="U528" s="1"/>
      <c r="V528" s="1"/>
      <c r="W528" s="1"/>
      <c r="X528" s="60">
        <f>IFERROR(VLOOKUP($A528,Ventas!$A$2:$L$5000,12,FALSE()),"")</f>
        <v>0</v>
      </c>
      <c r="Y528" s="60">
        <f t="shared" si="3"/>
        <v>0</v>
      </c>
      <c r="Z528" s="61" t="str">
        <f t="shared" si="4"/>
        <v/>
      </c>
      <c r="AA528" s="60">
        <f t="shared" si="5"/>
        <v>0</v>
      </c>
      <c r="AB528" s="62" t="str">
        <f t="shared" si="6"/>
        <v/>
      </c>
      <c r="AC528" s="62" t="str">
        <f t="array" ref="AC528">IF(AH528&lt;&gt;"COMPRAR","",IF(MAX(INDEX(Ventas!$G$2:$G$5000,MATCH($A528,Ventas!$A$2:$A$5000,0)),INDEX(Ventas!$H$2:$H$5000,MATCH($A528,Ventas!$A$2:$A$5000,0)),INDEX(Ventas!$I$2:$I$5000,MATCH($A528,Ventas!$A$2:$A$5000,0)),INDEX(Ventas!$J$2:$J$5000,MATCH($A528,Ventas!$A$2:$A$5000,0)))&gt;0.5*AF528*4,"1 mes = "&amp;TEXT(MAX(INDEX(Ventas!$G$2:$G$5000,MATCH($A528,Ventas!$A$2:$A$5000,0)),INDEX(Ventas!$H$2:$H$5000,MATCH($A528,Ventas!$A$2:$A$5000,0)),INDEX(Ventas!$I$2:$I$5000,MATCH($A528,Ventas!$A$2:$A$5000,0)),INDEX(Ventas!$J$2:$J$5000,MATCH($A528,Ventas!$A$2:$A$5000,0)))/(AF528*4),"0%")&amp;" de 4 meses",""))</f>
        <v/>
      </c>
      <c r="AD528" s="62" t="str">
        <f t="shared" si="7"/>
        <v/>
      </c>
      <c r="AE528" s="62" t="str">
        <f t="array" ref="AE528">IF(X528="","",IF(AND(E528=0,AVERAGE(INDEX(Ventas!$C$2:$I$5000,MATCH($A528,Ventas!$A$2:$A$5000,0),0))&gt;0,INDEX(Ventas!$J$2:$J$5000,MATCH($A528,Ventas!$A$2:$A$5000,0))&lt;0.5*AVERAGE(INDEX(Ventas!$C$2:$I$5000,MATCH($A528,Ventas!$A$2:$A$5000,0),0))),"SÍ — stock 0 y Sep cayó (prom Feb-Ago "&amp;TEXT(AVERAGE(INDEX(Ventas!$C$2:$I$5000,MATCH($A528,Ventas!$A$2:$A$5000,0),0)),"#,##0")&amp;")",""))</f>
        <v/>
      </c>
      <c r="AF528" s="60">
        <f t="array" ref="AF528">IF(X528="","",IF(AE528&lt;&gt;"",MAX(X528,AVERAGE(INDEX(Ventas!$C$2:$I$5000,MATCH($A528,Ventas!$A$2:$A$5000,0),0))),X528))</f>
        <v>0</v>
      </c>
      <c r="AG528" s="60">
        <f t="shared" si="8"/>
        <v>0</v>
      </c>
      <c r="AH528" s="63" t="str">
        <f t="shared" si="9"/>
        <v>SIN VENTAS</v>
      </c>
    </row>
    <row r="529" ht="13.5" customHeight="1">
      <c r="A529" s="49" t="s">
        <v>53</v>
      </c>
      <c r="B529" s="50" t="s">
        <v>3903</v>
      </c>
      <c r="C529" s="50" t="s">
        <v>3904</v>
      </c>
      <c r="D529" s="50"/>
      <c r="E529" s="51">
        <v>0.0</v>
      </c>
      <c r="F529" s="52"/>
      <c r="G529" s="53"/>
      <c r="H529" s="55"/>
      <c r="I529" s="55"/>
      <c r="J529" s="53"/>
      <c r="K529" s="53"/>
      <c r="L529" s="55"/>
      <c r="M529" s="53"/>
      <c r="N529" s="74"/>
      <c r="O529" s="57" t="str">
        <f t="shared" si="1"/>
        <v>SIN VENTAS Jun-Sep — no comprar</v>
      </c>
      <c r="P529" s="58">
        <f t="shared" si="2"/>
        <v>0</v>
      </c>
      <c r="Q529" s="1"/>
      <c r="R529" s="1"/>
      <c r="S529" s="1"/>
      <c r="T529" s="1"/>
      <c r="U529" s="1"/>
      <c r="V529" s="1"/>
      <c r="W529" s="1"/>
      <c r="X529" s="60">
        <f>IFERROR(VLOOKUP($A529,Ventas!$A$2:$L$5000,12,FALSE()),"")</f>
        <v>0</v>
      </c>
      <c r="Y529" s="60">
        <f t="shared" si="3"/>
        <v>0</v>
      </c>
      <c r="Z529" s="61" t="str">
        <f t="shared" si="4"/>
        <v/>
      </c>
      <c r="AA529" s="60">
        <f t="shared" si="5"/>
        <v>0</v>
      </c>
      <c r="AB529" s="62" t="str">
        <f t="shared" si="6"/>
        <v/>
      </c>
      <c r="AC529" s="62" t="str">
        <f t="array" ref="AC529">IF(AH529&lt;&gt;"COMPRAR","",IF(MAX(INDEX(Ventas!$G$2:$G$5000,MATCH($A529,Ventas!$A$2:$A$5000,0)),INDEX(Ventas!$H$2:$H$5000,MATCH($A529,Ventas!$A$2:$A$5000,0)),INDEX(Ventas!$I$2:$I$5000,MATCH($A529,Ventas!$A$2:$A$5000,0)),INDEX(Ventas!$J$2:$J$5000,MATCH($A529,Ventas!$A$2:$A$5000,0)))&gt;0.5*AF529*4,"1 mes = "&amp;TEXT(MAX(INDEX(Ventas!$G$2:$G$5000,MATCH($A529,Ventas!$A$2:$A$5000,0)),INDEX(Ventas!$H$2:$H$5000,MATCH($A529,Ventas!$A$2:$A$5000,0)),INDEX(Ventas!$I$2:$I$5000,MATCH($A529,Ventas!$A$2:$A$5000,0)),INDEX(Ventas!$J$2:$J$5000,MATCH($A529,Ventas!$A$2:$A$5000,0)))/(AF529*4),"0%")&amp;" de 4 meses",""))</f>
        <v/>
      </c>
      <c r="AD529" s="62" t="str">
        <f t="shared" si="7"/>
        <v/>
      </c>
      <c r="AE529" s="62" t="str">
        <f t="array" ref="AE529">IF(X529="","",IF(AND(E529=0,AVERAGE(INDEX(Ventas!$C$2:$I$5000,MATCH($A529,Ventas!$A$2:$A$5000,0),0))&gt;0,INDEX(Ventas!$J$2:$J$5000,MATCH($A529,Ventas!$A$2:$A$5000,0))&lt;0.5*AVERAGE(INDEX(Ventas!$C$2:$I$5000,MATCH($A529,Ventas!$A$2:$A$5000,0),0))),"SÍ — stock 0 y Sep cayó (prom Feb-Ago "&amp;TEXT(AVERAGE(INDEX(Ventas!$C$2:$I$5000,MATCH($A529,Ventas!$A$2:$A$5000,0),0)),"#,##0")&amp;")",""))</f>
        <v/>
      </c>
      <c r="AF529" s="60">
        <f t="array" ref="AF529">IF(X529="","",IF(AE529&lt;&gt;"",MAX(X529,AVERAGE(INDEX(Ventas!$C$2:$I$5000,MATCH($A529,Ventas!$A$2:$A$5000,0),0))),X529))</f>
        <v>0</v>
      </c>
      <c r="AG529" s="60">
        <f t="shared" si="8"/>
        <v>0</v>
      </c>
      <c r="AH529" s="63" t="str">
        <f t="shared" si="9"/>
        <v>SIN VENTAS</v>
      </c>
    </row>
    <row r="530" ht="13.5" customHeight="1">
      <c r="A530" s="64" t="s">
        <v>62</v>
      </c>
      <c r="B530" s="65"/>
      <c r="C530" s="65" t="s">
        <v>3905</v>
      </c>
      <c r="D530" s="65"/>
      <c r="E530" s="51">
        <v>0.0</v>
      </c>
      <c r="F530" s="66"/>
      <c r="G530" s="53"/>
      <c r="H530" s="55"/>
      <c r="I530" s="55"/>
      <c r="J530" s="53"/>
      <c r="K530" s="53"/>
      <c r="L530" s="55"/>
      <c r="M530" s="53"/>
      <c r="N530" s="93"/>
      <c r="O530" s="57" t="str">
        <f t="shared" si="1"/>
        <v>SIN VENTAS Jun-Sep — no comprar</v>
      </c>
      <c r="P530" s="58">
        <f t="shared" si="2"/>
        <v>0</v>
      </c>
      <c r="Q530" s="1"/>
      <c r="R530" s="1"/>
      <c r="S530" s="1"/>
      <c r="T530" s="1"/>
      <c r="U530" s="1"/>
      <c r="V530" s="1"/>
      <c r="W530" s="1"/>
      <c r="X530" s="60">
        <f>IFERROR(VLOOKUP($A530,Ventas!$A$2:$L$5000,12,FALSE()),"")</f>
        <v>0</v>
      </c>
      <c r="Y530" s="60">
        <f t="shared" si="3"/>
        <v>0</v>
      </c>
      <c r="Z530" s="61" t="str">
        <f t="shared" si="4"/>
        <v/>
      </c>
      <c r="AA530" s="60">
        <f t="shared" si="5"/>
        <v>0</v>
      </c>
      <c r="AB530" s="62" t="str">
        <f t="shared" si="6"/>
        <v/>
      </c>
      <c r="AC530" s="62" t="str">
        <f t="array" ref="AC530">IF(AH530&lt;&gt;"COMPRAR","",IF(MAX(INDEX(Ventas!$G$2:$G$5000,MATCH($A530,Ventas!$A$2:$A$5000,0)),INDEX(Ventas!$H$2:$H$5000,MATCH($A530,Ventas!$A$2:$A$5000,0)),INDEX(Ventas!$I$2:$I$5000,MATCH($A530,Ventas!$A$2:$A$5000,0)),INDEX(Ventas!$J$2:$J$5000,MATCH($A530,Ventas!$A$2:$A$5000,0)))&gt;0.5*AF530*4,"1 mes = "&amp;TEXT(MAX(INDEX(Ventas!$G$2:$G$5000,MATCH($A530,Ventas!$A$2:$A$5000,0)),INDEX(Ventas!$H$2:$H$5000,MATCH($A530,Ventas!$A$2:$A$5000,0)),INDEX(Ventas!$I$2:$I$5000,MATCH($A530,Ventas!$A$2:$A$5000,0)),INDEX(Ventas!$J$2:$J$5000,MATCH($A530,Ventas!$A$2:$A$5000,0)))/(AF530*4),"0%")&amp;" de 4 meses",""))</f>
        <v/>
      </c>
      <c r="AD530" s="62" t="str">
        <f t="shared" si="7"/>
        <v/>
      </c>
      <c r="AE530" s="62" t="str">
        <f t="array" ref="AE530">IF(X530="","",IF(AND(E530=0,AVERAGE(INDEX(Ventas!$C$2:$I$5000,MATCH($A530,Ventas!$A$2:$A$5000,0),0))&gt;0,INDEX(Ventas!$J$2:$J$5000,MATCH($A530,Ventas!$A$2:$A$5000,0))&lt;0.5*AVERAGE(INDEX(Ventas!$C$2:$I$5000,MATCH($A530,Ventas!$A$2:$A$5000,0),0))),"SÍ — stock 0 y Sep cayó (prom Feb-Ago "&amp;TEXT(AVERAGE(INDEX(Ventas!$C$2:$I$5000,MATCH($A530,Ventas!$A$2:$A$5000,0),0)),"#,##0")&amp;")",""))</f>
        <v/>
      </c>
      <c r="AF530" s="60">
        <f t="array" ref="AF530">IF(X530="","",IF(AE530&lt;&gt;"",MAX(X530,AVERAGE(INDEX(Ventas!$C$2:$I$5000,MATCH($A530,Ventas!$A$2:$A$5000,0),0))),X530))</f>
        <v>0</v>
      </c>
      <c r="AG530" s="60">
        <f t="shared" si="8"/>
        <v>0</v>
      </c>
      <c r="AH530" s="63" t="str">
        <f t="shared" si="9"/>
        <v>SIN VENTAS</v>
      </c>
    </row>
    <row r="531" ht="13.5" customHeight="1">
      <c r="A531" s="49" t="s">
        <v>84</v>
      </c>
      <c r="B531" s="50"/>
      <c r="C531" s="50" t="s">
        <v>3906</v>
      </c>
      <c r="D531" s="50"/>
      <c r="E531" s="51">
        <v>0.0</v>
      </c>
      <c r="F531" s="52"/>
      <c r="G531" s="53"/>
      <c r="H531" s="55"/>
      <c r="I531" s="55"/>
      <c r="J531" s="53"/>
      <c r="K531" s="53"/>
      <c r="L531" s="55"/>
      <c r="M531" s="53"/>
      <c r="N531" s="94"/>
      <c r="O531" s="57" t="str">
        <f t="shared" si="1"/>
        <v>SIN VENTAS Jun-Sep — no comprar</v>
      </c>
      <c r="P531" s="58">
        <f t="shared" si="2"/>
        <v>0</v>
      </c>
      <c r="Q531" s="1"/>
      <c r="R531" s="1"/>
      <c r="S531" s="1"/>
      <c r="T531" s="1"/>
      <c r="U531" s="1"/>
      <c r="V531" s="1"/>
      <c r="W531" s="1"/>
      <c r="X531" s="60">
        <f>IFERROR(VLOOKUP($A531,Ventas!$A$2:$L$5000,12,FALSE()),"")</f>
        <v>0</v>
      </c>
      <c r="Y531" s="60">
        <f t="shared" si="3"/>
        <v>0</v>
      </c>
      <c r="Z531" s="61" t="str">
        <f t="shared" si="4"/>
        <v/>
      </c>
      <c r="AA531" s="60">
        <f t="shared" si="5"/>
        <v>0</v>
      </c>
      <c r="AB531" s="62" t="str">
        <f t="shared" si="6"/>
        <v/>
      </c>
      <c r="AC531" s="62" t="str">
        <f t="array" ref="AC531">IF(AH531&lt;&gt;"COMPRAR","",IF(MAX(INDEX(Ventas!$G$2:$G$5000,MATCH($A531,Ventas!$A$2:$A$5000,0)),INDEX(Ventas!$H$2:$H$5000,MATCH($A531,Ventas!$A$2:$A$5000,0)),INDEX(Ventas!$I$2:$I$5000,MATCH($A531,Ventas!$A$2:$A$5000,0)),INDEX(Ventas!$J$2:$J$5000,MATCH($A531,Ventas!$A$2:$A$5000,0)))&gt;0.5*AF531*4,"1 mes = "&amp;TEXT(MAX(INDEX(Ventas!$G$2:$G$5000,MATCH($A531,Ventas!$A$2:$A$5000,0)),INDEX(Ventas!$H$2:$H$5000,MATCH($A531,Ventas!$A$2:$A$5000,0)),INDEX(Ventas!$I$2:$I$5000,MATCH($A531,Ventas!$A$2:$A$5000,0)),INDEX(Ventas!$J$2:$J$5000,MATCH($A531,Ventas!$A$2:$A$5000,0)))/(AF531*4),"0%")&amp;" de 4 meses",""))</f>
        <v/>
      </c>
      <c r="AD531" s="62" t="str">
        <f t="shared" si="7"/>
        <v/>
      </c>
      <c r="AE531" s="62" t="str">
        <f t="array" ref="AE531">IF(X531="","",IF(AND(E531=0,AVERAGE(INDEX(Ventas!$C$2:$I$5000,MATCH($A531,Ventas!$A$2:$A$5000,0),0))&gt;0,INDEX(Ventas!$J$2:$J$5000,MATCH($A531,Ventas!$A$2:$A$5000,0))&lt;0.5*AVERAGE(INDEX(Ventas!$C$2:$I$5000,MATCH($A531,Ventas!$A$2:$A$5000,0),0))),"SÍ — stock 0 y Sep cayó (prom Feb-Ago "&amp;TEXT(AVERAGE(INDEX(Ventas!$C$2:$I$5000,MATCH($A531,Ventas!$A$2:$A$5000,0),0)),"#,##0")&amp;")",""))</f>
        <v/>
      </c>
      <c r="AF531" s="60">
        <f t="array" ref="AF531">IF(X531="","",IF(AE531&lt;&gt;"",MAX(X531,AVERAGE(INDEX(Ventas!$C$2:$I$5000,MATCH($A531,Ventas!$A$2:$A$5000,0),0))),X531))</f>
        <v>0</v>
      </c>
      <c r="AG531" s="60">
        <f t="shared" si="8"/>
        <v>0</v>
      </c>
      <c r="AH531" s="63" t="str">
        <f t="shared" si="9"/>
        <v>SIN VENTAS</v>
      </c>
    </row>
    <row r="532" ht="13.5" customHeight="1">
      <c r="A532" s="64" t="s">
        <v>86</v>
      </c>
      <c r="B532" s="65" t="s">
        <v>3903</v>
      </c>
      <c r="C532" s="65" t="s">
        <v>87</v>
      </c>
      <c r="D532" s="65"/>
      <c r="E532" s="51">
        <v>0.0</v>
      </c>
      <c r="F532" s="66"/>
      <c r="G532" s="53"/>
      <c r="H532" s="55"/>
      <c r="I532" s="55"/>
      <c r="J532" s="53"/>
      <c r="K532" s="53"/>
      <c r="L532" s="55"/>
      <c r="M532" s="53"/>
      <c r="N532" s="73"/>
      <c r="O532" s="57" t="str">
        <f t="shared" si="1"/>
        <v>SIN VENTAS Jun-Sep — no comprar</v>
      </c>
      <c r="P532" s="58">
        <f t="shared" si="2"/>
        <v>0</v>
      </c>
      <c r="Q532" s="1"/>
      <c r="R532" s="1"/>
      <c r="S532" s="1"/>
      <c r="T532" s="1"/>
      <c r="U532" s="1"/>
      <c r="V532" s="1"/>
      <c r="W532" s="1"/>
      <c r="X532" s="60">
        <f>IFERROR(VLOOKUP($A532,Ventas!$A$2:$L$5000,12,FALSE()),"")</f>
        <v>0</v>
      </c>
      <c r="Y532" s="60">
        <f t="shared" si="3"/>
        <v>0</v>
      </c>
      <c r="Z532" s="61" t="str">
        <f t="shared" si="4"/>
        <v/>
      </c>
      <c r="AA532" s="60">
        <f t="shared" si="5"/>
        <v>0</v>
      </c>
      <c r="AB532" s="62" t="str">
        <f t="shared" si="6"/>
        <v/>
      </c>
      <c r="AC532" s="62" t="str">
        <f t="array" ref="AC532">IF(AH532&lt;&gt;"COMPRAR","",IF(MAX(INDEX(Ventas!$G$2:$G$5000,MATCH($A532,Ventas!$A$2:$A$5000,0)),INDEX(Ventas!$H$2:$H$5000,MATCH($A532,Ventas!$A$2:$A$5000,0)),INDEX(Ventas!$I$2:$I$5000,MATCH($A532,Ventas!$A$2:$A$5000,0)),INDEX(Ventas!$J$2:$J$5000,MATCH($A532,Ventas!$A$2:$A$5000,0)))&gt;0.5*AF532*4,"1 mes = "&amp;TEXT(MAX(INDEX(Ventas!$G$2:$G$5000,MATCH($A532,Ventas!$A$2:$A$5000,0)),INDEX(Ventas!$H$2:$H$5000,MATCH($A532,Ventas!$A$2:$A$5000,0)),INDEX(Ventas!$I$2:$I$5000,MATCH($A532,Ventas!$A$2:$A$5000,0)),INDEX(Ventas!$J$2:$J$5000,MATCH($A532,Ventas!$A$2:$A$5000,0)))/(AF532*4),"0%")&amp;" de 4 meses",""))</f>
        <v/>
      </c>
      <c r="AD532" s="62" t="str">
        <f t="shared" si="7"/>
        <v/>
      </c>
      <c r="AE532" s="62" t="str">
        <f t="array" ref="AE532">IF(X532="","",IF(AND(E532=0,AVERAGE(INDEX(Ventas!$C$2:$I$5000,MATCH($A532,Ventas!$A$2:$A$5000,0),0))&gt;0,INDEX(Ventas!$J$2:$J$5000,MATCH($A532,Ventas!$A$2:$A$5000,0))&lt;0.5*AVERAGE(INDEX(Ventas!$C$2:$I$5000,MATCH($A532,Ventas!$A$2:$A$5000,0),0))),"SÍ — stock 0 y Sep cayó (prom Feb-Ago "&amp;TEXT(AVERAGE(INDEX(Ventas!$C$2:$I$5000,MATCH($A532,Ventas!$A$2:$A$5000,0),0)),"#,##0")&amp;")",""))</f>
        <v/>
      </c>
      <c r="AF532" s="60">
        <f t="array" ref="AF532">IF(X532="","",IF(AE532&lt;&gt;"",MAX(X532,AVERAGE(INDEX(Ventas!$C$2:$I$5000,MATCH($A532,Ventas!$A$2:$A$5000,0),0))),X532))</f>
        <v>0</v>
      </c>
      <c r="AG532" s="60">
        <f t="shared" si="8"/>
        <v>0</v>
      </c>
      <c r="AH532" s="63" t="str">
        <f t="shared" si="9"/>
        <v>SIN VENTAS</v>
      </c>
    </row>
    <row r="533" ht="13.5" customHeight="1">
      <c r="A533" s="49" t="s">
        <v>1124</v>
      </c>
      <c r="B533" s="95" t="s">
        <v>3907</v>
      </c>
      <c r="C533" s="50" t="s">
        <v>1125</v>
      </c>
      <c r="D533" s="50"/>
      <c r="E533" s="51">
        <v>2070.0</v>
      </c>
      <c r="F533" s="52"/>
      <c r="G533" s="53"/>
      <c r="H533" s="55"/>
      <c r="I533" s="55"/>
      <c r="J533" s="53"/>
      <c r="K533" s="53"/>
      <c r="L533" s="55"/>
      <c r="M533" s="53"/>
      <c r="N533" s="74"/>
      <c r="O533" s="57" t="str">
        <f t="shared" si="1"/>
        <v>SIN VENTAS Jun-Sep — no comprar (2,070 m disponibles)</v>
      </c>
      <c r="P533" s="58">
        <f t="shared" si="2"/>
        <v>2070</v>
      </c>
      <c r="Q533" s="1"/>
      <c r="R533" s="1"/>
      <c r="S533" s="1"/>
      <c r="T533" s="1"/>
      <c r="U533" s="1"/>
      <c r="V533" s="1"/>
      <c r="W533" s="1"/>
      <c r="X533" s="60">
        <f>IFERROR(VLOOKUP($A533,Ventas!$A$2:$L$5000,12,FALSE()),"")</f>
        <v>0</v>
      </c>
      <c r="Y533" s="60">
        <f t="shared" si="3"/>
        <v>0</v>
      </c>
      <c r="Z533" s="61" t="str">
        <f t="shared" si="4"/>
        <v/>
      </c>
      <c r="AA533" s="60">
        <f t="shared" si="5"/>
        <v>-2070</v>
      </c>
      <c r="AB533" s="62" t="str">
        <f t="shared" si="6"/>
        <v/>
      </c>
      <c r="AC533" s="62" t="str">
        <f t="array" ref="AC533">IF(AH533&lt;&gt;"COMPRAR","",IF(MAX(INDEX(Ventas!$G$2:$G$5000,MATCH($A533,Ventas!$A$2:$A$5000,0)),INDEX(Ventas!$H$2:$H$5000,MATCH($A533,Ventas!$A$2:$A$5000,0)),INDEX(Ventas!$I$2:$I$5000,MATCH($A533,Ventas!$A$2:$A$5000,0)),INDEX(Ventas!$J$2:$J$5000,MATCH($A533,Ventas!$A$2:$A$5000,0)))&gt;0.5*AF533*4,"1 mes = "&amp;TEXT(MAX(INDEX(Ventas!$G$2:$G$5000,MATCH($A533,Ventas!$A$2:$A$5000,0)),INDEX(Ventas!$H$2:$H$5000,MATCH($A533,Ventas!$A$2:$A$5000,0)),INDEX(Ventas!$I$2:$I$5000,MATCH($A533,Ventas!$A$2:$A$5000,0)),INDEX(Ventas!$J$2:$J$5000,MATCH($A533,Ventas!$A$2:$A$5000,0)))/(AF533*4),"0%")&amp;" de 4 meses",""))</f>
        <v/>
      </c>
      <c r="AD533" s="62" t="str">
        <f t="shared" si="7"/>
        <v/>
      </c>
      <c r="AE533" s="62" t="str">
        <f t="array" ref="AE533">IF(X533="","",IF(AND(E533=0,AVERAGE(INDEX(Ventas!$C$2:$I$5000,MATCH($A533,Ventas!$A$2:$A$5000,0),0))&gt;0,INDEX(Ventas!$J$2:$J$5000,MATCH($A533,Ventas!$A$2:$A$5000,0))&lt;0.5*AVERAGE(INDEX(Ventas!$C$2:$I$5000,MATCH($A533,Ventas!$A$2:$A$5000,0),0))),"SÍ — stock 0 y Sep cayó (prom Feb-Ago "&amp;TEXT(AVERAGE(INDEX(Ventas!$C$2:$I$5000,MATCH($A533,Ventas!$A$2:$A$5000,0),0)),"#,##0")&amp;")",""))</f>
        <v/>
      </c>
      <c r="AF533" s="60">
        <f t="array" ref="AF533">IF(X533="","",IF(AE533&lt;&gt;"",MAX(X533,AVERAGE(INDEX(Ventas!$C$2:$I$5000,MATCH($A533,Ventas!$A$2:$A$5000,0),0))),X533))</f>
        <v>0</v>
      </c>
      <c r="AG533" s="60">
        <f t="shared" si="8"/>
        <v>-2070</v>
      </c>
      <c r="AH533" s="63" t="str">
        <f t="shared" si="9"/>
        <v>SIN VENTAS</v>
      </c>
    </row>
    <row r="534" ht="13.5" customHeight="1">
      <c r="A534" s="64" t="s">
        <v>1126</v>
      </c>
      <c r="B534" s="96" t="s">
        <v>3907</v>
      </c>
      <c r="C534" s="65" t="s">
        <v>1127</v>
      </c>
      <c r="D534" s="65"/>
      <c r="E534" s="51">
        <v>1080.0</v>
      </c>
      <c r="F534" s="66"/>
      <c r="G534" s="53"/>
      <c r="H534" s="55"/>
      <c r="I534" s="55"/>
      <c r="J534" s="53"/>
      <c r="K534" s="53"/>
      <c r="L534" s="55"/>
      <c r="M534" s="53"/>
      <c r="N534" s="73"/>
      <c r="O534" s="57" t="str">
        <f t="shared" si="1"/>
        <v>SIN VENTAS Jun-Sep — no comprar (1,080 m disponibles)</v>
      </c>
      <c r="P534" s="58">
        <f t="shared" si="2"/>
        <v>1080</v>
      </c>
      <c r="Q534" s="1"/>
      <c r="R534" s="1"/>
      <c r="S534" s="1"/>
      <c r="T534" s="1"/>
      <c r="U534" s="1"/>
      <c r="V534" s="1"/>
      <c r="W534" s="1"/>
      <c r="X534" s="60">
        <f>IFERROR(VLOOKUP($A534,Ventas!$A$2:$L$5000,12,FALSE()),"")</f>
        <v>0</v>
      </c>
      <c r="Y534" s="60">
        <f t="shared" si="3"/>
        <v>0</v>
      </c>
      <c r="Z534" s="61" t="str">
        <f t="shared" si="4"/>
        <v/>
      </c>
      <c r="AA534" s="60">
        <f t="shared" si="5"/>
        <v>-1080</v>
      </c>
      <c r="AB534" s="62" t="str">
        <f t="shared" si="6"/>
        <v/>
      </c>
      <c r="AC534" s="62" t="str">
        <f t="array" ref="AC534">IF(AH534&lt;&gt;"COMPRAR","",IF(MAX(INDEX(Ventas!$G$2:$G$5000,MATCH($A534,Ventas!$A$2:$A$5000,0)),INDEX(Ventas!$H$2:$H$5000,MATCH($A534,Ventas!$A$2:$A$5000,0)),INDEX(Ventas!$I$2:$I$5000,MATCH($A534,Ventas!$A$2:$A$5000,0)),INDEX(Ventas!$J$2:$J$5000,MATCH($A534,Ventas!$A$2:$A$5000,0)))&gt;0.5*AF534*4,"1 mes = "&amp;TEXT(MAX(INDEX(Ventas!$G$2:$G$5000,MATCH($A534,Ventas!$A$2:$A$5000,0)),INDEX(Ventas!$H$2:$H$5000,MATCH($A534,Ventas!$A$2:$A$5000,0)),INDEX(Ventas!$I$2:$I$5000,MATCH($A534,Ventas!$A$2:$A$5000,0)),INDEX(Ventas!$J$2:$J$5000,MATCH($A534,Ventas!$A$2:$A$5000,0)))/(AF534*4),"0%")&amp;" de 4 meses",""))</f>
        <v/>
      </c>
      <c r="AD534" s="62" t="str">
        <f t="shared" si="7"/>
        <v/>
      </c>
      <c r="AE534" s="62" t="str">
        <f t="array" ref="AE534">IF(X534="","",IF(AND(E534=0,AVERAGE(INDEX(Ventas!$C$2:$I$5000,MATCH($A534,Ventas!$A$2:$A$5000,0),0))&gt;0,INDEX(Ventas!$J$2:$J$5000,MATCH($A534,Ventas!$A$2:$A$5000,0))&lt;0.5*AVERAGE(INDEX(Ventas!$C$2:$I$5000,MATCH($A534,Ventas!$A$2:$A$5000,0),0))),"SÍ — stock 0 y Sep cayó (prom Feb-Ago "&amp;TEXT(AVERAGE(INDEX(Ventas!$C$2:$I$5000,MATCH($A534,Ventas!$A$2:$A$5000,0),0)),"#,##0")&amp;")",""))</f>
        <v/>
      </c>
      <c r="AF534" s="60">
        <f t="array" ref="AF534">IF(X534="","",IF(AE534&lt;&gt;"",MAX(X534,AVERAGE(INDEX(Ventas!$C$2:$I$5000,MATCH($A534,Ventas!$A$2:$A$5000,0),0))),X534))</f>
        <v>0</v>
      </c>
      <c r="AG534" s="60">
        <f t="shared" si="8"/>
        <v>-1080</v>
      </c>
      <c r="AH534" s="63" t="str">
        <f t="shared" si="9"/>
        <v>SIN VENTAS</v>
      </c>
    </row>
    <row r="535" ht="13.5" customHeight="1">
      <c r="A535" s="49" t="s">
        <v>1128</v>
      </c>
      <c r="B535" s="95" t="s">
        <v>3907</v>
      </c>
      <c r="C535" s="50" t="s">
        <v>1129</v>
      </c>
      <c r="D535" s="50"/>
      <c r="E535" s="51">
        <v>0.0</v>
      </c>
      <c r="F535" s="52"/>
      <c r="G535" s="53"/>
      <c r="H535" s="55"/>
      <c r="I535" s="55"/>
      <c r="J535" s="53"/>
      <c r="K535" s="53"/>
      <c r="L535" s="55"/>
      <c r="M535" s="53"/>
      <c r="N535" s="74"/>
      <c r="O535" s="57" t="str">
        <f t="shared" si="1"/>
        <v>SIN VENTAS Jun-Sep — no comprar</v>
      </c>
      <c r="P535" s="58">
        <f t="shared" si="2"/>
        <v>0</v>
      </c>
      <c r="Q535" s="1"/>
      <c r="R535" s="1"/>
      <c r="S535" s="1"/>
      <c r="T535" s="1"/>
      <c r="U535" s="1"/>
      <c r="V535" s="1"/>
      <c r="W535" s="1"/>
      <c r="X535" s="60">
        <f>IFERROR(VLOOKUP($A535,Ventas!$A$2:$L$5000,12,FALSE()),"")</f>
        <v>0</v>
      </c>
      <c r="Y535" s="60">
        <f t="shared" si="3"/>
        <v>0</v>
      </c>
      <c r="Z535" s="61" t="str">
        <f t="shared" si="4"/>
        <v/>
      </c>
      <c r="AA535" s="60">
        <f t="shared" si="5"/>
        <v>0</v>
      </c>
      <c r="AB535" s="62" t="str">
        <f t="shared" si="6"/>
        <v/>
      </c>
      <c r="AC535" s="62" t="str">
        <f t="array" ref="AC535">IF(AH535&lt;&gt;"COMPRAR","",IF(MAX(INDEX(Ventas!$G$2:$G$5000,MATCH($A535,Ventas!$A$2:$A$5000,0)),INDEX(Ventas!$H$2:$H$5000,MATCH($A535,Ventas!$A$2:$A$5000,0)),INDEX(Ventas!$I$2:$I$5000,MATCH($A535,Ventas!$A$2:$A$5000,0)),INDEX(Ventas!$J$2:$J$5000,MATCH($A535,Ventas!$A$2:$A$5000,0)))&gt;0.5*AF535*4,"1 mes = "&amp;TEXT(MAX(INDEX(Ventas!$G$2:$G$5000,MATCH($A535,Ventas!$A$2:$A$5000,0)),INDEX(Ventas!$H$2:$H$5000,MATCH($A535,Ventas!$A$2:$A$5000,0)),INDEX(Ventas!$I$2:$I$5000,MATCH($A535,Ventas!$A$2:$A$5000,0)),INDEX(Ventas!$J$2:$J$5000,MATCH($A535,Ventas!$A$2:$A$5000,0)))/(AF535*4),"0%")&amp;" de 4 meses",""))</f>
        <v/>
      </c>
      <c r="AD535" s="62" t="str">
        <f t="shared" si="7"/>
        <v/>
      </c>
      <c r="AE535" s="62" t="str">
        <f t="array" ref="AE535">IF(X535="","",IF(AND(E535=0,AVERAGE(INDEX(Ventas!$C$2:$I$5000,MATCH($A535,Ventas!$A$2:$A$5000,0),0))&gt;0,INDEX(Ventas!$J$2:$J$5000,MATCH($A535,Ventas!$A$2:$A$5000,0))&lt;0.5*AVERAGE(INDEX(Ventas!$C$2:$I$5000,MATCH($A535,Ventas!$A$2:$A$5000,0),0))),"SÍ — stock 0 y Sep cayó (prom Feb-Ago "&amp;TEXT(AVERAGE(INDEX(Ventas!$C$2:$I$5000,MATCH($A535,Ventas!$A$2:$A$5000,0),0)),"#,##0")&amp;")",""))</f>
        <v/>
      </c>
      <c r="AF535" s="60">
        <f t="array" ref="AF535">IF(X535="","",IF(AE535&lt;&gt;"",MAX(X535,AVERAGE(INDEX(Ventas!$C$2:$I$5000,MATCH($A535,Ventas!$A$2:$A$5000,0),0))),X535))</f>
        <v>0</v>
      </c>
      <c r="AG535" s="60">
        <f t="shared" si="8"/>
        <v>0</v>
      </c>
      <c r="AH535" s="63" t="str">
        <f t="shared" si="9"/>
        <v>SIN VENTAS</v>
      </c>
    </row>
    <row r="536" ht="13.5" customHeight="1">
      <c r="A536" s="64" t="s">
        <v>1130</v>
      </c>
      <c r="B536" s="96" t="s">
        <v>3907</v>
      </c>
      <c r="C536" s="65" t="s">
        <v>1131</v>
      </c>
      <c r="D536" s="65"/>
      <c r="E536" s="51">
        <v>4200.0</v>
      </c>
      <c r="F536" s="66"/>
      <c r="G536" s="53"/>
      <c r="H536" s="55"/>
      <c r="I536" s="55"/>
      <c r="J536" s="53"/>
      <c r="K536" s="53"/>
      <c r="L536" s="55"/>
      <c r="M536" s="53"/>
      <c r="N536" s="73"/>
      <c r="O536" s="57" t="str">
        <f t="shared" si="1"/>
        <v>SIN VENTAS Jun-Sep — no comprar (4,200 m disponibles)</v>
      </c>
      <c r="P536" s="58">
        <f t="shared" si="2"/>
        <v>4200</v>
      </c>
      <c r="Q536" s="1"/>
      <c r="R536" s="1"/>
      <c r="S536" s="1"/>
      <c r="T536" s="1"/>
      <c r="U536" s="1"/>
      <c r="V536" s="1"/>
      <c r="W536" s="1"/>
      <c r="X536" s="60">
        <f>IFERROR(VLOOKUP($A536,Ventas!$A$2:$L$5000,12,FALSE()),"")</f>
        <v>0</v>
      </c>
      <c r="Y536" s="60">
        <f t="shared" si="3"/>
        <v>0</v>
      </c>
      <c r="Z536" s="61" t="str">
        <f t="shared" si="4"/>
        <v/>
      </c>
      <c r="AA536" s="60">
        <f t="shared" si="5"/>
        <v>-4200</v>
      </c>
      <c r="AB536" s="62" t="str">
        <f t="shared" si="6"/>
        <v/>
      </c>
      <c r="AC536" s="62" t="str">
        <f t="array" ref="AC536">IF(AH536&lt;&gt;"COMPRAR","",IF(MAX(INDEX(Ventas!$G$2:$G$5000,MATCH($A536,Ventas!$A$2:$A$5000,0)),INDEX(Ventas!$H$2:$H$5000,MATCH($A536,Ventas!$A$2:$A$5000,0)),INDEX(Ventas!$I$2:$I$5000,MATCH($A536,Ventas!$A$2:$A$5000,0)),INDEX(Ventas!$J$2:$J$5000,MATCH($A536,Ventas!$A$2:$A$5000,0)))&gt;0.5*AF536*4,"1 mes = "&amp;TEXT(MAX(INDEX(Ventas!$G$2:$G$5000,MATCH($A536,Ventas!$A$2:$A$5000,0)),INDEX(Ventas!$H$2:$H$5000,MATCH($A536,Ventas!$A$2:$A$5000,0)),INDEX(Ventas!$I$2:$I$5000,MATCH($A536,Ventas!$A$2:$A$5000,0)),INDEX(Ventas!$J$2:$J$5000,MATCH($A536,Ventas!$A$2:$A$5000,0)))/(AF536*4),"0%")&amp;" de 4 meses",""))</f>
        <v/>
      </c>
      <c r="AD536" s="62" t="str">
        <f t="shared" si="7"/>
        <v/>
      </c>
      <c r="AE536" s="62" t="str">
        <f t="array" ref="AE536">IF(X536="","",IF(AND(E536=0,AVERAGE(INDEX(Ventas!$C$2:$I$5000,MATCH($A536,Ventas!$A$2:$A$5000,0),0))&gt;0,INDEX(Ventas!$J$2:$J$5000,MATCH($A536,Ventas!$A$2:$A$5000,0))&lt;0.5*AVERAGE(INDEX(Ventas!$C$2:$I$5000,MATCH($A536,Ventas!$A$2:$A$5000,0),0))),"SÍ — stock 0 y Sep cayó (prom Feb-Ago "&amp;TEXT(AVERAGE(INDEX(Ventas!$C$2:$I$5000,MATCH($A536,Ventas!$A$2:$A$5000,0),0)),"#,##0")&amp;")",""))</f>
        <v/>
      </c>
      <c r="AF536" s="60">
        <f t="array" ref="AF536">IF(X536="","",IF(AE536&lt;&gt;"",MAX(X536,AVERAGE(INDEX(Ventas!$C$2:$I$5000,MATCH($A536,Ventas!$A$2:$A$5000,0),0))),X536))</f>
        <v>0</v>
      </c>
      <c r="AG536" s="60">
        <f t="shared" si="8"/>
        <v>-4200</v>
      </c>
      <c r="AH536" s="63" t="str">
        <f t="shared" si="9"/>
        <v>SIN VENTAS</v>
      </c>
    </row>
    <row r="537" ht="13.5" customHeight="1">
      <c r="A537" s="49" t="s">
        <v>1132</v>
      </c>
      <c r="B537" s="95" t="s">
        <v>3907</v>
      </c>
      <c r="C537" s="50" t="s">
        <v>1133</v>
      </c>
      <c r="D537" s="50"/>
      <c r="E537" s="51">
        <v>0.0</v>
      </c>
      <c r="F537" s="52"/>
      <c r="G537" s="53"/>
      <c r="H537" s="55"/>
      <c r="I537" s="55"/>
      <c r="J537" s="53"/>
      <c r="K537" s="53"/>
      <c r="L537" s="55"/>
      <c r="M537" s="53"/>
      <c r="N537" s="74"/>
      <c r="O537" s="57" t="str">
        <f t="shared" si="1"/>
        <v>SIN VENTAS Jun-Sep — no comprar</v>
      </c>
      <c r="P537" s="58">
        <f t="shared" si="2"/>
        <v>0</v>
      </c>
      <c r="Q537" s="1"/>
      <c r="R537" s="1"/>
      <c r="S537" s="1"/>
      <c r="T537" s="1"/>
      <c r="U537" s="1"/>
      <c r="V537" s="1"/>
      <c r="W537" s="1"/>
      <c r="X537" s="60">
        <f>IFERROR(VLOOKUP($A537,Ventas!$A$2:$L$5000,12,FALSE()),"")</f>
        <v>0</v>
      </c>
      <c r="Y537" s="60">
        <f t="shared" si="3"/>
        <v>0</v>
      </c>
      <c r="Z537" s="61" t="str">
        <f t="shared" si="4"/>
        <v/>
      </c>
      <c r="AA537" s="60">
        <f t="shared" si="5"/>
        <v>0</v>
      </c>
      <c r="AB537" s="62" t="str">
        <f t="shared" si="6"/>
        <v/>
      </c>
      <c r="AC537" s="62" t="str">
        <f t="array" ref="AC537">IF(AH537&lt;&gt;"COMPRAR","",IF(MAX(INDEX(Ventas!$G$2:$G$5000,MATCH($A537,Ventas!$A$2:$A$5000,0)),INDEX(Ventas!$H$2:$H$5000,MATCH($A537,Ventas!$A$2:$A$5000,0)),INDEX(Ventas!$I$2:$I$5000,MATCH($A537,Ventas!$A$2:$A$5000,0)),INDEX(Ventas!$J$2:$J$5000,MATCH($A537,Ventas!$A$2:$A$5000,0)))&gt;0.5*AF537*4,"1 mes = "&amp;TEXT(MAX(INDEX(Ventas!$G$2:$G$5000,MATCH($A537,Ventas!$A$2:$A$5000,0)),INDEX(Ventas!$H$2:$H$5000,MATCH($A537,Ventas!$A$2:$A$5000,0)),INDEX(Ventas!$I$2:$I$5000,MATCH($A537,Ventas!$A$2:$A$5000,0)),INDEX(Ventas!$J$2:$J$5000,MATCH($A537,Ventas!$A$2:$A$5000,0)))/(AF537*4),"0%")&amp;" de 4 meses",""))</f>
        <v/>
      </c>
      <c r="AD537" s="62" t="str">
        <f t="shared" si="7"/>
        <v/>
      </c>
      <c r="AE537" s="62" t="str">
        <f t="array" ref="AE537">IF(X537="","",IF(AND(E537=0,AVERAGE(INDEX(Ventas!$C$2:$I$5000,MATCH($A537,Ventas!$A$2:$A$5000,0),0))&gt;0,INDEX(Ventas!$J$2:$J$5000,MATCH($A537,Ventas!$A$2:$A$5000,0))&lt;0.5*AVERAGE(INDEX(Ventas!$C$2:$I$5000,MATCH($A537,Ventas!$A$2:$A$5000,0),0))),"SÍ — stock 0 y Sep cayó (prom Feb-Ago "&amp;TEXT(AVERAGE(INDEX(Ventas!$C$2:$I$5000,MATCH($A537,Ventas!$A$2:$A$5000,0),0)),"#,##0")&amp;")",""))</f>
        <v/>
      </c>
      <c r="AF537" s="60">
        <f t="array" ref="AF537">IF(X537="","",IF(AE537&lt;&gt;"",MAX(X537,AVERAGE(INDEX(Ventas!$C$2:$I$5000,MATCH($A537,Ventas!$A$2:$A$5000,0),0))),X537))</f>
        <v>0</v>
      </c>
      <c r="AG537" s="60">
        <f t="shared" si="8"/>
        <v>0</v>
      </c>
      <c r="AH537" s="63" t="str">
        <f t="shared" si="9"/>
        <v>SIN VENTAS</v>
      </c>
    </row>
    <row r="538" ht="13.5" customHeight="1">
      <c r="A538" s="64" t="s">
        <v>2681</v>
      </c>
      <c r="B538" s="96" t="s">
        <v>3907</v>
      </c>
      <c r="C538" s="65" t="s">
        <v>2682</v>
      </c>
      <c r="D538" s="65"/>
      <c r="E538" s="51">
        <v>753.0</v>
      </c>
      <c r="F538" s="66"/>
      <c r="G538" s="53"/>
      <c r="H538" s="55"/>
      <c r="I538" s="55"/>
      <c r="J538" s="53"/>
      <c r="K538" s="53"/>
      <c r="L538" s="55"/>
      <c r="M538" s="53"/>
      <c r="N538" s="73"/>
      <c r="O538" s="57" t="str">
        <f t="shared" si="1"/>
        <v>OK — cubierto (6.0 meses)</v>
      </c>
      <c r="P538" s="58">
        <f t="shared" si="2"/>
        <v>753</v>
      </c>
      <c r="Q538" s="1"/>
      <c r="R538" s="1"/>
      <c r="S538" s="1"/>
      <c r="T538" s="1"/>
      <c r="U538" s="1"/>
      <c r="V538" s="1"/>
      <c r="W538" s="1"/>
      <c r="X538" s="60">
        <f>IFERROR(VLOOKUP($A538,Ventas!$A$2:$L$5000,12,FALSE()),"")</f>
        <v>126</v>
      </c>
      <c r="Y538" s="60">
        <f t="shared" si="3"/>
        <v>504</v>
      </c>
      <c r="Z538" s="61">
        <f t="shared" si="4"/>
        <v>6</v>
      </c>
      <c r="AA538" s="60">
        <f t="shared" si="5"/>
        <v>-249</v>
      </c>
      <c r="AB538" s="62" t="str">
        <f t="shared" si="6"/>
        <v/>
      </c>
      <c r="AC538" s="62" t="str">
        <f t="array" ref="AC538">IF(AH538&lt;&gt;"COMPRAR","",IF(MAX(INDEX(Ventas!$G$2:$G$5000,MATCH($A538,Ventas!$A$2:$A$5000,0)),INDEX(Ventas!$H$2:$H$5000,MATCH($A538,Ventas!$A$2:$A$5000,0)),INDEX(Ventas!$I$2:$I$5000,MATCH($A538,Ventas!$A$2:$A$5000,0)),INDEX(Ventas!$J$2:$J$5000,MATCH($A538,Ventas!$A$2:$A$5000,0)))&gt;0.5*AF538*4,"1 mes = "&amp;TEXT(MAX(INDEX(Ventas!$G$2:$G$5000,MATCH($A538,Ventas!$A$2:$A$5000,0)),INDEX(Ventas!$H$2:$H$5000,MATCH($A538,Ventas!$A$2:$A$5000,0)),INDEX(Ventas!$I$2:$I$5000,MATCH($A538,Ventas!$A$2:$A$5000,0)),INDEX(Ventas!$J$2:$J$5000,MATCH($A538,Ventas!$A$2:$A$5000,0)))/(AF538*4),"0%")&amp;" de 4 meses",""))</f>
        <v/>
      </c>
      <c r="AD538" s="62" t="str">
        <f t="shared" si="7"/>
        <v/>
      </c>
      <c r="AE538" s="62" t="str">
        <f t="array" ref="AE538">IF(X538="","",IF(AND(E538=0,AVERAGE(INDEX(Ventas!$C$2:$I$5000,MATCH($A538,Ventas!$A$2:$A$5000,0),0))&gt;0,INDEX(Ventas!$J$2:$J$5000,MATCH($A538,Ventas!$A$2:$A$5000,0))&lt;0.5*AVERAGE(INDEX(Ventas!$C$2:$I$5000,MATCH($A538,Ventas!$A$2:$A$5000,0),0))),"SÍ — stock 0 y Sep cayó (prom Feb-Ago "&amp;TEXT(AVERAGE(INDEX(Ventas!$C$2:$I$5000,MATCH($A538,Ventas!$A$2:$A$5000,0),0)),"#,##0")&amp;")",""))</f>
        <v/>
      </c>
      <c r="AF538" s="60">
        <f t="array" ref="AF538">IF(X538="","",IF(AE538&lt;&gt;"",MAX(X538,AVERAGE(INDEX(Ventas!$C$2:$I$5000,MATCH($A538,Ventas!$A$2:$A$5000,0),0))),X538))</f>
        <v>126</v>
      </c>
      <c r="AG538" s="60">
        <f t="shared" si="8"/>
        <v>-249</v>
      </c>
      <c r="AH538" s="63" t="str">
        <f t="shared" si="9"/>
        <v>OK</v>
      </c>
    </row>
    <row r="539" ht="13.5" customHeight="1">
      <c r="A539" s="49" t="s">
        <v>2679</v>
      </c>
      <c r="B539" s="95" t="s">
        <v>3907</v>
      </c>
      <c r="C539" s="50" t="s">
        <v>2680</v>
      </c>
      <c r="D539" s="50"/>
      <c r="E539" s="51">
        <v>440.0</v>
      </c>
      <c r="F539" s="52"/>
      <c r="G539" s="53"/>
      <c r="H539" s="55"/>
      <c r="I539" s="55"/>
      <c r="J539" s="53"/>
      <c r="K539" s="53"/>
      <c r="L539" s="55"/>
      <c r="M539" s="53"/>
      <c r="N539" s="74"/>
      <c r="O539" s="57" t="str">
        <f t="shared" si="1"/>
        <v>SIN VENTAS Jun-Sep — no comprar (440 m disponibles)</v>
      </c>
      <c r="P539" s="58">
        <f t="shared" si="2"/>
        <v>440</v>
      </c>
      <c r="Q539" s="1"/>
      <c r="R539" s="1"/>
      <c r="S539" s="1"/>
      <c r="T539" s="1"/>
      <c r="U539" s="1"/>
      <c r="V539" s="1"/>
      <c r="W539" s="1"/>
      <c r="X539" s="60">
        <f>IFERROR(VLOOKUP($A539,Ventas!$A$2:$L$5000,12,FALSE()),"")</f>
        <v>0</v>
      </c>
      <c r="Y539" s="60">
        <f t="shared" si="3"/>
        <v>0</v>
      </c>
      <c r="Z539" s="61" t="str">
        <f t="shared" si="4"/>
        <v/>
      </c>
      <c r="AA539" s="60">
        <f t="shared" si="5"/>
        <v>-440</v>
      </c>
      <c r="AB539" s="62" t="str">
        <f t="shared" si="6"/>
        <v/>
      </c>
      <c r="AC539" s="62" t="str">
        <f t="array" ref="AC539">IF(AH539&lt;&gt;"COMPRAR","",IF(MAX(INDEX(Ventas!$G$2:$G$5000,MATCH($A539,Ventas!$A$2:$A$5000,0)),INDEX(Ventas!$H$2:$H$5000,MATCH($A539,Ventas!$A$2:$A$5000,0)),INDEX(Ventas!$I$2:$I$5000,MATCH($A539,Ventas!$A$2:$A$5000,0)),INDEX(Ventas!$J$2:$J$5000,MATCH($A539,Ventas!$A$2:$A$5000,0)))&gt;0.5*AF539*4,"1 mes = "&amp;TEXT(MAX(INDEX(Ventas!$G$2:$G$5000,MATCH($A539,Ventas!$A$2:$A$5000,0)),INDEX(Ventas!$H$2:$H$5000,MATCH($A539,Ventas!$A$2:$A$5000,0)),INDEX(Ventas!$I$2:$I$5000,MATCH($A539,Ventas!$A$2:$A$5000,0)),INDEX(Ventas!$J$2:$J$5000,MATCH($A539,Ventas!$A$2:$A$5000,0)))/(AF539*4),"0%")&amp;" de 4 meses",""))</f>
        <v/>
      </c>
      <c r="AD539" s="62" t="str">
        <f t="shared" si="7"/>
        <v/>
      </c>
      <c r="AE539" s="62" t="str">
        <f t="array" ref="AE539">IF(X539="","",IF(AND(E539=0,AVERAGE(INDEX(Ventas!$C$2:$I$5000,MATCH($A539,Ventas!$A$2:$A$5000,0),0))&gt;0,INDEX(Ventas!$J$2:$J$5000,MATCH($A539,Ventas!$A$2:$A$5000,0))&lt;0.5*AVERAGE(INDEX(Ventas!$C$2:$I$5000,MATCH($A539,Ventas!$A$2:$A$5000,0),0))),"SÍ — stock 0 y Sep cayó (prom Feb-Ago "&amp;TEXT(AVERAGE(INDEX(Ventas!$C$2:$I$5000,MATCH($A539,Ventas!$A$2:$A$5000,0),0)),"#,##0")&amp;")",""))</f>
        <v/>
      </c>
      <c r="AF539" s="60">
        <f t="array" ref="AF539">IF(X539="","",IF(AE539&lt;&gt;"",MAX(X539,AVERAGE(INDEX(Ventas!$C$2:$I$5000,MATCH($A539,Ventas!$A$2:$A$5000,0),0))),X539))</f>
        <v>0</v>
      </c>
      <c r="AG539" s="60">
        <f t="shared" si="8"/>
        <v>-440</v>
      </c>
      <c r="AH539" s="63" t="str">
        <f t="shared" si="9"/>
        <v>SIN VENTAS</v>
      </c>
    </row>
    <row r="540" ht="13.5" customHeight="1">
      <c r="A540" s="64" t="s">
        <v>2675</v>
      </c>
      <c r="B540" s="65"/>
      <c r="C540" s="65" t="s">
        <v>2676</v>
      </c>
      <c r="D540" s="65"/>
      <c r="E540" s="51">
        <v>40.0</v>
      </c>
      <c r="F540" s="66"/>
      <c r="G540" s="53"/>
      <c r="H540" s="55"/>
      <c r="I540" s="55"/>
      <c r="J540" s="53"/>
      <c r="K540" s="53"/>
      <c r="L540" s="55"/>
      <c r="M540" s="53"/>
      <c r="N540" s="73"/>
      <c r="O540" s="57" t="str">
        <f t="shared" si="1"/>
        <v>SIN VENTAS Jun-Sep — no comprar (40 m disponibles)</v>
      </c>
      <c r="P540" s="58">
        <f t="shared" si="2"/>
        <v>40</v>
      </c>
      <c r="Q540" s="1"/>
      <c r="R540" s="1"/>
      <c r="S540" s="1"/>
      <c r="T540" s="1"/>
      <c r="U540" s="1"/>
      <c r="V540" s="1"/>
      <c r="W540" s="1"/>
      <c r="X540" s="60">
        <f>IFERROR(VLOOKUP($A540,Ventas!$A$2:$L$5000,12,FALSE()),"")</f>
        <v>0</v>
      </c>
      <c r="Y540" s="60">
        <f t="shared" si="3"/>
        <v>0</v>
      </c>
      <c r="Z540" s="61" t="str">
        <f t="shared" si="4"/>
        <v/>
      </c>
      <c r="AA540" s="60">
        <f t="shared" si="5"/>
        <v>-40</v>
      </c>
      <c r="AB540" s="62" t="str">
        <f t="shared" si="6"/>
        <v/>
      </c>
      <c r="AC540" s="62" t="str">
        <f t="array" ref="AC540">IF(AH540&lt;&gt;"COMPRAR","",IF(MAX(INDEX(Ventas!$G$2:$G$5000,MATCH($A540,Ventas!$A$2:$A$5000,0)),INDEX(Ventas!$H$2:$H$5000,MATCH($A540,Ventas!$A$2:$A$5000,0)),INDEX(Ventas!$I$2:$I$5000,MATCH($A540,Ventas!$A$2:$A$5000,0)),INDEX(Ventas!$J$2:$J$5000,MATCH($A540,Ventas!$A$2:$A$5000,0)))&gt;0.5*AF540*4,"1 mes = "&amp;TEXT(MAX(INDEX(Ventas!$G$2:$G$5000,MATCH($A540,Ventas!$A$2:$A$5000,0)),INDEX(Ventas!$H$2:$H$5000,MATCH($A540,Ventas!$A$2:$A$5000,0)),INDEX(Ventas!$I$2:$I$5000,MATCH($A540,Ventas!$A$2:$A$5000,0)),INDEX(Ventas!$J$2:$J$5000,MATCH($A540,Ventas!$A$2:$A$5000,0)))/(AF540*4),"0%")&amp;" de 4 meses",""))</f>
        <v/>
      </c>
      <c r="AD540" s="62" t="str">
        <f t="shared" si="7"/>
        <v/>
      </c>
      <c r="AE540" s="62" t="str">
        <f t="array" ref="AE540">IF(X540="","",IF(AND(E540=0,AVERAGE(INDEX(Ventas!$C$2:$I$5000,MATCH($A540,Ventas!$A$2:$A$5000,0),0))&gt;0,INDEX(Ventas!$J$2:$J$5000,MATCH($A540,Ventas!$A$2:$A$5000,0))&lt;0.5*AVERAGE(INDEX(Ventas!$C$2:$I$5000,MATCH($A540,Ventas!$A$2:$A$5000,0),0))),"SÍ — stock 0 y Sep cayó (prom Feb-Ago "&amp;TEXT(AVERAGE(INDEX(Ventas!$C$2:$I$5000,MATCH($A540,Ventas!$A$2:$A$5000,0),0)),"#,##0")&amp;")",""))</f>
        <v/>
      </c>
      <c r="AF540" s="60">
        <f t="array" ref="AF540">IF(X540="","",IF(AE540&lt;&gt;"",MAX(X540,AVERAGE(INDEX(Ventas!$C$2:$I$5000,MATCH($A540,Ventas!$A$2:$A$5000,0),0))),X540))</f>
        <v>0</v>
      </c>
      <c r="AG540" s="60">
        <f t="shared" si="8"/>
        <v>-40</v>
      </c>
      <c r="AH540" s="63" t="str">
        <f t="shared" si="9"/>
        <v>SIN VENTAS</v>
      </c>
    </row>
    <row r="541" ht="13.5" customHeight="1">
      <c r="A541" s="49" t="s">
        <v>2673</v>
      </c>
      <c r="B541" s="50"/>
      <c r="C541" s="50" t="s">
        <v>2674</v>
      </c>
      <c r="D541" s="50"/>
      <c r="E541" s="51">
        <v>20.0</v>
      </c>
      <c r="F541" s="52"/>
      <c r="G541" s="53"/>
      <c r="H541" s="55"/>
      <c r="I541" s="55"/>
      <c r="J541" s="53"/>
      <c r="K541" s="53"/>
      <c r="L541" s="55"/>
      <c r="M541" s="53"/>
      <c r="N541" s="74"/>
      <c r="O541" s="57" t="str">
        <f t="shared" si="1"/>
        <v>SIN VENTAS Jun-Sep — no comprar (20 m disponibles)</v>
      </c>
      <c r="P541" s="58">
        <f t="shared" si="2"/>
        <v>20</v>
      </c>
      <c r="Q541" s="1"/>
      <c r="R541" s="1"/>
      <c r="S541" s="1"/>
      <c r="T541" s="1"/>
      <c r="U541" s="1"/>
      <c r="V541" s="1"/>
      <c r="W541" s="1"/>
      <c r="X541" s="60">
        <f>IFERROR(VLOOKUP($A541,Ventas!$A$2:$L$5000,12,FALSE()),"")</f>
        <v>0</v>
      </c>
      <c r="Y541" s="60">
        <f t="shared" si="3"/>
        <v>0</v>
      </c>
      <c r="Z541" s="61" t="str">
        <f t="shared" si="4"/>
        <v/>
      </c>
      <c r="AA541" s="60">
        <f t="shared" si="5"/>
        <v>-20</v>
      </c>
      <c r="AB541" s="62" t="str">
        <f t="shared" si="6"/>
        <v/>
      </c>
      <c r="AC541" s="62" t="str">
        <f t="array" ref="AC541">IF(AH541&lt;&gt;"COMPRAR","",IF(MAX(INDEX(Ventas!$G$2:$G$5000,MATCH($A541,Ventas!$A$2:$A$5000,0)),INDEX(Ventas!$H$2:$H$5000,MATCH($A541,Ventas!$A$2:$A$5000,0)),INDEX(Ventas!$I$2:$I$5000,MATCH($A541,Ventas!$A$2:$A$5000,0)),INDEX(Ventas!$J$2:$J$5000,MATCH($A541,Ventas!$A$2:$A$5000,0)))&gt;0.5*AF541*4,"1 mes = "&amp;TEXT(MAX(INDEX(Ventas!$G$2:$G$5000,MATCH($A541,Ventas!$A$2:$A$5000,0)),INDEX(Ventas!$H$2:$H$5000,MATCH($A541,Ventas!$A$2:$A$5000,0)),INDEX(Ventas!$I$2:$I$5000,MATCH($A541,Ventas!$A$2:$A$5000,0)),INDEX(Ventas!$J$2:$J$5000,MATCH($A541,Ventas!$A$2:$A$5000,0)))/(AF541*4),"0%")&amp;" de 4 meses",""))</f>
        <v/>
      </c>
      <c r="AD541" s="62" t="str">
        <f t="shared" si="7"/>
        <v/>
      </c>
      <c r="AE541" s="62" t="str">
        <f t="array" ref="AE541">IF(X541="","",IF(AND(E541=0,AVERAGE(INDEX(Ventas!$C$2:$I$5000,MATCH($A541,Ventas!$A$2:$A$5000,0),0))&gt;0,INDEX(Ventas!$J$2:$J$5000,MATCH($A541,Ventas!$A$2:$A$5000,0))&lt;0.5*AVERAGE(INDEX(Ventas!$C$2:$I$5000,MATCH($A541,Ventas!$A$2:$A$5000,0),0))),"SÍ — stock 0 y Sep cayó (prom Feb-Ago "&amp;TEXT(AVERAGE(INDEX(Ventas!$C$2:$I$5000,MATCH($A541,Ventas!$A$2:$A$5000,0),0)),"#,##0")&amp;")",""))</f>
        <v/>
      </c>
      <c r="AF541" s="60">
        <f t="array" ref="AF541">IF(X541="","",IF(AE541&lt;&gt;"",MAX(X541,AVERAGE(INDEX(Ventas!$C$2:$I$5000,MATCH($A541,Ventas!$A$2:$A$5000,0),0))),X541))</f>
        <v>0</v>
      </c>
      <c r="AG541" s="60">
        <f t="shared" si="8"/>
        <v>-20</v>
      </c>
      <c r="AH541" s="63" t="str">
        <f t="shared" si="9"/>
        <v>SIN VENTAS</v>
      </c>
    </row>
    <row r="542" ht="13.5" customHeight="1">
      <c r="A542" s="64" t="s">
        <v>2697</v>
      </c>
      <c r="B542" s="65"/>
      <c r="C542" s="65" t="s">
        <v>2698</v>
      </c>
      <c r="D542" s="65"/>
      <c r="E542" s="51">
        <v>400.0</v>
      </c>
      <c r="F542" s="66"/>
      <c r="G542" s="53"/>
      <c r="H542" s="55"/>
      <c r="I542" s="55"/>
      <c r="J542" s="53"/>
      <c r="K542" s="53"/>
      <c r="L542" s="55"/>
      <c r="M542" s="53"/>
      <c r="N542" s="93"/>
      <c r="O542" s="57" t="str">
        <f t="shared" si="1"/>
        <v>SIN VENTAS Jun-Sep — no comprar (400 m disponibles)</v>
      </c>
      <c r="P542" s="58">
        <f t="shared" si="2"/>
        <v>400</v>
      </c>
      <c r="Q542" s="70"/>
      <c r="R542" s="70"/>
      <c r="S542" s="1"/>
      <c r="T542" s="1"/>
      <c r="U542" s="1"/>
      <c r="V542" s="1"/>
      <c r="W542" s="1"/>
      <c r="X542" s="60">
        <f>IFERROR(VLOOKUP($A542,Ventas!$A$2:$L$5000,12,FALSE()),"")</f>
        <v>0</v>
      </c>
      <c r="Y542" s="60">
        <f t="shared" si="3"/>
        <v>0</v>
      </c>
      <c r="Z542" s="61" t="str">
        <f t="shared" si="4"/>
        <v/>
      </c>
      <c r="AA542" s="60">
        <f t="shared" si="5"/>
        <v>-400</v>
      </c>
      <c r="AB542" s="62" t="str">
        <f t="shared" si="6"/>
        <v/>
      </c>
      <c r="AC542" s="62" t="str">
        <f t="array" ref="AC542">IF(AH542&lt;&gt;"COMPRAR","",IF(MAX(INDEX(Ventas!$G$2:$G$5000,MATCH($A542,Ventas!$A$2:$A$5000,0)),INDEX(Ventas!$H$2:$H$5000,MATCH($A542,Ventas!$A$2:$A$5000,0)),INDEX(Ventas!$I$2:$I$5000,MATCH($A542,Ventas!$A$2:$A$5000,0)),INDEX(Ventas!$J$2:$J$5000,MATCH($A542,Ventas!$A$2:$A$5000,0)))&gt;0.5*AF542*4,"1 mes = "&amp;TEXT(MAX(INDEX(Ventas!$G$2:$G$5000,MATCH($A542,Ventas!$A$2:$A$5000,0)),INDEX(Ventas!$H$2:$H$5000,MATCH($A542,Ventas!$A$2:$A$5000,0)),INDEX(Ventas!$I$2:$I$5000,MATCH($A542,Ventas!$A$2:$A$5000,0)),INDEX(Ventas!$J$2:$J$5000,MATCH($A542,Ventas!$A$2:$A$5000,0)))/(AF542*4),"0%")&amp;" de 4 meses",""))</f>
        <v/>
      </c>
      <c r="AD542" s="62" t="str">
        <f t="shared" si="7"/>
        <v/>
      </c>
      <c r="AE542" s="62" t="str">
        <f t="array" ref="AE542">IF(X542="","",IF(AND(E542=0,AVERAGE(INDEX(Ventas!$C$2:$I$5000,MATCH($A542,Ventas!$A$2:$A$5000,0),0))&gt;0,INDEX(Ventas!$J$2:$J$5000,MATCH($A542,Ventas!$A$2:$A$5000,0))&lt;0.5*AVERAGE(INDEX(Ventas!$C$2:$I$5000,MATCH($A542,Ventas!$A$2:$A$5000,0),0))),"SÍ — stock 0 y Sep cayó (prom Feb-Ago "&amp;TEXT(AVERAGE(INDEX(Ventas!$C$2:$I$5000,MATCH($A542,Ventas!$A$2:$A$5000,0),0)),"#,##0")&amp;")",""))</f>
        <v/>
      </c>
      <c r="AF542" s="60">
        <f t="array" ref="AF542">IF(X542="","",IF(AE542&lt;&gt;"",MAX(X542,AVERAGE(INDEX(Ventas!$C$2:$I$5000,MATCH($A542,Ventas!$A$2:$A$5000,0),0))),X542))</f>
        <v>0</v>
      </c>
      <c r="AG542" s="60">
        <f t="shared" si="8"/>
        <v>-400</v>
      </c>
      <c r="AH542" s="63" t="str">
        <f t="shared" si="9"/>
        <v>SIN VENTAS</v>
      </c>
    </row>
    <row r="543" ht="13.5" customHeight="1">
      <c r="A543" s="49" t="s">
        <v>2699</v>
      </c>
      <c r="B543" s="50"/>
      <c r="C543" s="50" t="s">
        <v>2700</v>
      </c>
      <c r="D543" s="50"/>
      <c r="E543" s="51">
        <v>400.0</v>
      </c>
      <c r="F543" s="52"/>
      <c r="G543" s="53"/>
      <c r="H543" s="55"/>
      <c r="I543" s="55"/>
      <c r="J543" s="53"/>
      <c r="K543" s="53"/>
      <c r="L543" s="55"/>
      <c r="M543" s="53"/>
      <c r="N543" s="94"/>
      <c r="O543" s="57" t="str">
        <f t="shared" si="1"/>
        <v>SIN VENTAS Jun-Sep — no comprar (400 m disponibles)</v>
      </c>
      <c r="P543" s="58">
        <f t="shared" si="2"/>
        <v>400</v>
      </c>
      <c r="Q543" s="70"/>
      <c r="R543" s="70"/>
      <c r="S543" s="1"/>
      <c r="T543" s="1"/>
      <c r="U543" s="1"/>
      <c r="V543" s="1"/>
      <c r="W543" s="1"/>
      <c r="X543" s="60">
        <f>IFERROR(VLOOKUP($A543,Ventas!$A$2:$L$5000,12,FALSE()),"")</f>
        <v>0</v>
      </c>
      <c r="Y543" s="60">
        <f t="shared" si="3"/>
        <v>0</v>
      </c>
      <c r="Z543" s="61" t="str">
        <f t="shared" si="4"/>
        <v/>
      </c>
      <c r="AA543" s="60">
        <f t="shared" si="5"/>
        <v>-400</v>
      </c>
      <c r="AB543" s="62" t="str">
        <f t="shared" si="6"/>
        <v/>
      </c>
      <c r="AC543" s="62" t="str">
        <f t="array" ref="AC543">IF(AH543&lt;&gt;"COMPRAR","",IF(MAX(INDEX(Ventas!$G$2:$G$5000,MATCH($A543,Ventas!$A$2:$A$5000,0)),INDEX(Ventas!$H$2:$H$5000,MATCH($A543,Ventas!$A$2:$A$5000,0)),INDEX(Ventas!$I$2:$I$5000,MATCH($A543,Ventas!$A$2:$A$5000,0)),INDEX(Ventas!$J$2:$J$5000,MATCH($A543,Ventas!$A$2:$A$5000,0)))&gt;0.5*AF543*4,"1 mes = "&amp;TEXT(MAX(INDEX(Ventas!$G$2:$G$5000,MATCH($A543,Ventas!$A$2:$A$5000,0)),INDEX(Ventas!$H$2:$H$5000,MATCH($A543,Ventas!$A$2:$A$5000,0)),INDEX(Ventas!$I$2:$I$5000,MATCH($A543,Ventas!$A$2:$A$5000,0)),INDEX(Ventas!$J$2:$J$5000,MATCH($A543,Ventas!$A$2:$A$5000,0)))/(AF543*4),"0%")&amp;" de 4 meses",""))</f>
        <v/>
      </c>
      <c r="AD543" s="62" t="str">
        <f t="shared" si="7"/>
        <v/>
      </c>
      <c r="AE543" s="62" t="str">
        <f t="array" ref="AE543">IF(X543="","",IF(AND(E543=0,AVERAGE(INDEX(Ventas!$C$2:$I$5000,MATCH($A543,Ventas!$A$2:$A$5000,0),0))&gt;0,INDEX(Ventas!$J$2:$J$5000,MATCH($A543,Ventas!$A$2:$A$5000,0))&lt;0.5*AVERAGE(INDEX(Ventas!$C$2:$I$5000,MATCH($A543,Ventas!$A$2:$A$5000,0),0))),"SÍ — stock 0 y Sep cayó (prom Feb-Ago "&amp;TEXT(AVERAGE(INDEX(Ventas!$C$2:$I$5000,MATCH($A543,Ventas!$A$2:$A$5000,0),0)),"#,##0")&amp;")",""))</f>
        <v/>
      </c>
      <c r="AF543" s="60">
        <f t="array" ref="AF543">IF(X543="","",IF(AE543&lt;&gt;"",MAX(X543,AVERAGE(INDEX(Ventas!$C$2:$I$5000,MATCH($A543,Ventas!$A$2:$A$5000,0),0))),X543))</f>
        <v>0</v>
      </c>
      <c r="AG543" s="60">
        <f t="shared" si="8"/>
        <v>-400</v>
      </c>
      <c r="AH543" s="63" t="str">
        <f t="shared" si="9"/>
        <v>SIN VENTAS</v>
      </c>
    </row>
    <row r="544" ht="13.5" customHeight="1">
      <c r="A544" s="64" t="s">
        <v>2701</v>
      </c>
      <c r="B544" s="65"/>
      <c r="C544" s="65" t="s">
        <v>2702</v>
      </c>
      <c r="D544" s="65"/>
      <c r="E544" s="51">
        <v>400.0</v>
      </c>
      <c r="F544" s="66"/>
      <c r="G544" s="53"/>
      <c r="H544" s="55"/>
      <c r="I544" s="55"/>
      <c r="J544" s="53"/>
      <c r="K544" s="53"/>
      <c r="L544" s="55"/>
      <c r="M544" s="53"/>
      <c r="N544" s="93"/>
      <c r="O544" s="57" t="str">
        <f t="shared" si="1"/>
        <v>SIN VENTAS Jun-Sep — no comprar (400 m disponibles)</v>
      </c>
      <c r="P544" s="58">
        <f t="shared" si="2"/>
        <v>400</v>
      </c>
      <c r="Q544" s="70"/>
      <c r="R544" s="70"/>
      <c r="S544" s="1"/>
      <c r="T544" s="1"/>
      <c r="U544" s="1"/>
      <c r="V544" s="1"/>
      <c r="W544" s="1"/>
      <c r="X544" s="60">
        <f>IFERROR(VLOOKUP($A544,Ventas!$A$2:$L$5000,12,FALSE()),"")</f>
        <v>0</v>
      </c>
      <c r="Y544" s="60">
        <f t="shared" si="3"/>
        <v>0</v>
      </c>
      <c r="Z544" s="61" t="str">
        <f t="shared" si="4"/>
        <v/>
      </c>
      <c r="AA544" s="60">
        <f t="shared" si="5"/>
        <v>-400</v>
      </c>
      <c r="AB544" s="62" t="str">
        <f t="shared" si="6"/>
        <v/>
      </c>
      <c r="AC544" s="62" t="str">
        <f t="array" ref="AC544">IF(AH544&lt;&gt;"COMPRAR","",IF(MAX(INDEX(Ventas!$G$2:$G$5000,MATCH($A544,Ventas!$A$2:$A$5000,0)),INDEX(Ventas!$H$2:$H$5000,MATCH($A544,Ventas!$A$2:$A$5000,0)),INDEX(Ventas!$I$2:$I$5000,MATCH($A544,Ventas!$A$2:$A$5000,0)),INDEX(Ventas!$J$2:$J$5000,MATCH($A544,Ventas!$A$2:$A$5000,0)))&gt;0.5*AF544*4,"1 mes = "&amp;TEXT(MAX(INDEX(Ventas!$G$2:$G$5000,MATCH($A544,Ventas!$A$2:$A$5000,0)),INDEX(Ventas!$H$2:$H$5000,MATCH($A544,Ventas!$A$2:$A$5000,0)),INDEX(Ventas!$I$2:$I$5000,MATCH($A544,Ventas!$A$2:$A$5000,0)),INDEX(Ventas!$J$2:$J$5000,MATCH($A544,Ventas!$A$2:$A$5000,0)))/(AF544*4),"0%")&amp;" de 4 meses",""))</f>
        <v/>
      </c>
      <c r="AD544" s="62" t="str">
        <f t="shared" si="7"/>
        <v/>
      </c>
      <c r="AE544" s="62" t="str">
        <f t="array" ref="AE544">IF(X544="","",IF(AND(E544=0,AVERAGE(INDEX(Ventas!$C$2:$I$5000,MATCH($A544,Ventas!$A$2:$A$5000,0),0))&gt;0,INDEX(Ventas!$J$2:$J$5000,MATCH($A544,Ventas!$A$2:$A$5000,0))&lt;0.5*AVERAGE(INDEX(Ventas!$C$2:$I$5000,MATCH($A544,Ventas!$A$2:$A$5000,0),0))),"SÍ — stock 0 y Sep cayó (prom Feb-Ago "&amp;TEXT(AVERAGE(INDEX(Ventas!$C$2:$I$5000,MATCH($A544,Ventas!$A$2:$A$5000,0),0)),"#,##0")&amp;")",""))</f>
        <v/>
      </c>
      <c r="AF544" s="60">
        <f t="array" ref="AF544">IF(X544="","",IF(AE544&lt;&gt;"",MAX(X544,AVERAGE(INDEX(Ventas!$C$2:$I$5000,MATCH($A544,Ventas!$A$2:$A$5000,0),0))),X544))</f>
        <v>0</v>
      </c>
      <c r="AG544" s="60">
        <f t="shared" si="8"/>
        <v>-400</v>
      </c>
      <c r="AH544" s="63" t="str">
        <f t="shared" si="9"/>
        <v>SIN VENTAS</v>
      </c>
    </row>
    <row r="545" ht="13.5" customHeight="1">
      <c r="A545" s="49" t="s">
        <v>2690</v>
      </c>
      <c r="B545" s="50"/>
      <c r="C545" s="50" t="s">
        <v>2691</v>
      </c>
      <c r="D545" s="50"/>
      <c r="E545" s="51">
        <v>200.0</v>
      </c>
      <c r="F545" s="52"/>
      <c r="G545" s="53"/>
      <c r="H545" s="55"/>
      <c r="I545" s="55"/>
      <c r="J545" s="53"/>
      <c r="K545" s="53"/>
      <c r="L545" s="55"/>
      <c r="M545" s="53"/>
      <c r="N545" s="94"/>
      <c r="O545" s="57" t="str">
        <f t="shared" si="1"/>
        <v>SIN VENTAS Jun-Sep — no comprar (200 m disponibles)</v>
      </c>
      <c r="P545" s="58">
        <f t="shared" si="2"/>
        <v>200</v>
      </c>
      <c r="Q545" s="70"/>
      <c r="R545" s="70"/>
      <c r="S545" s="1"/>
      <c r="T545" s="1"/>
      <c r="U545" s="1"/>
      <c r="V545" s="1"/>
      <c r="W545" s="1"/>
      <c r="X545" s="60">
        <f>IFERROR(VLOOKUP($A545,Ventas!$A$2:$L$5000,12,FALSE()),"")</f>
        <v>0</v>
      </c>
      <c r="Y545" s="60">
        <f t="shared" si="3"/>
        <v>0</v>
      </c>
      <c r="Z545" s="61" t="str">
        <f t="shared" si="4"/>
        <v/>
      </c>
      <c r="AA545" s="60">
        <f t="shared" si="5"/>
        <v>-200</v>
      </c>
      <c r="AB545" s="62" t="str">
        <f t="shared" si="6"/>
        <v/>
      </c>
      <c r="AC545" s="62" t="str">
        <f t="array" ref="AC545">IF(AH545&lt;&gt;"COMPRAR","",IF(MAX(INDEX(Ventas!$G$2:$G$5000,MATCH($A545,Ventas!$A$2:$A$5000,0)),INDEX(Ventas!$H$2:$H$5000,MATCH($A545,Ventas!$A$2:$A$5000,0)),INDEX(Ventas!$I$2:$I$5000,MATCH($A545,Ventas!$A$2:$A$5000,0)),INDEX(Ventas!$J$2:$J$5000,MATCH($A545,Ventas!$A$2:$A$5000,0)))&gt;0.5*AF545*4,"1 mes = "&amp;TEXT(MAX(INDEX(Ventas!$G$2:$G$5000,MATCH($A545,Ventas!$A$2:$A$5000,0)),INDEX(Ventas!$H$2:$H$5000,MATCH($A545,Ventas!$A$2:$A$5000,0)),INDEX(Ventas!$I$2:$I$5000,MATCH($A545,Ventas!$A$2:$A$5000,0)),INDEX(Ventas!$J$2:$J$5000,MATCH($A545,Ventas!$A$2:$A$5000,0)))/(AF545*4),"0%")&amp;" de 4 meses",""))</f>
        <v/>
      </c>
      <c r="AD545" s="62" t="str">
        <f t="shared" si="7"/>
        <v/>
      </c>
      <c r="AE545" s="62" t="str">
        <f t="array" ref="AE545">IF(X545="","",IF(AND(E545=0,AVERAGE(INDEX(Ventas!$C$2:$I$5000,MATCH($A545,Ventas!$A$2:$A$5000,0),0))&gt;0,INDEX(Ventas!$J$2:$J$5000,MATCH($A545,Ventas!$A$2:$A$5000,0))&lt;0.5*AVERAGE(INDEX(Ventas!$C$2:$I$5000,MATCH($A545,Ventas!$A$2:$A$5000,0),0))),"SÍ — stock 0 y Sep cayó (prom Feb-Ago "&amp;TEXT(AVERAGE(INDEX(Ventas!$C$2:$I$5000,MATCH($A545,Ventas!$A$2:$A$5000,0),0)),"#,##0")&amp;")",""))</f>
        <v/>
      </c>
      <c r="AF545" s="60">
        <f t="array" ref="AF545">IF(X545="","",IF(AE545&lt;&gt;"",MAX(X545,AVERAGE(INDEX(Ventas!$C$2:$I$5000,MATCH($A545,Ventas!$A$2:$A$5000,0),0))),X545))</f>
        <v>0</v>
      </c>
      <c r="AG545" s="60">
        <f t="shared" si="8"/>
        <v>-200</v>
      </c>
      <c r="AH545" s="63" t="str">
        <f t="shared" si="9"/>
        <v>SIN VENTAS</v>
      </c>
    </row>
    <row r="546" ht="13.5" customHeight="1">
      <c r="A546" s="64" t="s">
        <v>2693</v>
      </c>
      <c r="B546" s="65"/>
      <c r="C546" s="65" t="s">
        <v>2694</v>
      </c>
      <c r="D546" s="65"/>
      <c r="E546" s="51">
        <v>200.0</v>
      </c>
      <c r="F546" s="66"/>
      <c r="G546" s="53"/>
      <c r="H546" s="55"/>
      <c r="I546" s="55"/>
      <c r="J546" s="53"/>
      <c r="K546" s="53"/>
      <c r="L546" s="55"/>
      <c r="M546" s="53"/>
      <c r="N546" s="93"/>
      <c r="O546" s="57" t="str">
        <f t="shared" si="1"/>
        <v>SIN VENTAS Jun-Sep — no comprar (200 m disponibles)</v>
      </c>
      <c r="P546" s="58">
        <f t="shared" si="2"/>
        <v>200</v>
      </c>
      <c r="Q546" s="70"/>
      <c r="R546" s="70"/>
      <c r="S546" s="1"/>
      <c r="T546" s="1"/>
      <c r="U546" s="1"/>
      <c r="V546" s="1"/>
      <c r="W546" s="1"/>
      <c r="X546" s="60">
        <f>IFERROR(VLOOKUP($A546,Ventas!$A$2:$L$5000,12,FALSE()),"")</f>
        <v>0</v>
      </c>
      <c r="Y546" s="60">
        <f t="shared" si="3"/>
        <v>0</v>
      </c>
      <c r="Z546" s="61" t="str">
        <f t="shared" si="4"/>
        <v/>
      </c>
      <c r="AA546" s="60">
        <f t="shared" si="5"/>
        <v>-200</v>
      </c>
      <c r="AB546" s="62" t="str">
        <f t="shared" si="6"/>
        <v/>
      </c>
      <c r="AC546" s="62" t="str">
        <f t="array" ref="AC546">IF(AH546&lt;&gt;"COMPRAR","",IF(MAX(INDEX(Ventas!$G$2:$G$5000,MATCH($A546,Ventas!$A$2:$A$5000,0)),INDEX(Ventas!$H$2:$H$5000,MATCH($A546,Ventas!$A$2:$A$5000,0)),INDEX(Ventas!$I$2:$I$5000,MATCH($A546,Ventas!$A$2:$A$5000,0)),INDEX(Ventas!$J$2:$J$5000,MATCH($A546,Ventas!$A$2:$A$5000,0)))&gt;0.5*AF546*4,"1 mes = "&amp;TEXT(MAX(INDEX(Ventas!$G$2:$G$5000,MATCH($A546,Ventas!$A$2:$A$5000,0)),INDEX(Ventas!$H$2:$H$5000,MATCH($A546,Ventas!$A$2:$A$5000,0)),INDEX(Ventas!$I$2:$I$5000,MATCH($A546,Ventas!$A$2:$A$5000,0)),INDEX(Ventas!$J$2:$J$5000,MATCH($A546,Ventas!$A$2:$A$5000,0)))/(AF546*4),"0%")&amp;" de 4 meses",""))</f>
        <v/>
      </c>
      <c r="AD546" s="62" t="str">
        <f t="shared" si="7"/>
        <v/>
      </c>
      <c r="AE546" s="62" t="str">
        <f t="array" ref="AE546">IF(X546="","",IF(AND(E546=0,AVERAGE(INDEX(Ventas!$C$2:$I$5000,MATCH($A546,Ventas!$A$2:$A$5000,0),0))&gt;0,INDEX(Ventas!$J$2:$J$5000,MATCH($A546,Ventas!$A$2:$A$5000,0))&lt;0.5*AVERAGE(INDEX(Ventas!$C$2:$I$5000,MATCH($A546,Ventas!$A$2:$A$5000,0),0))),"SÍ — stock 0 y Sep cayó (prom Feb-Ago "&amp;TEXT(AVERAGE(INDEX(Ventas!$C$2:$I$5000,MATCH($A546,Ventas!$A$2:$A$5000,0),0)),"#,##0")&amp;")",""))</f>
        <v/>
      </c>
      <c r="AF546" s="60">
        <f t="array" ref="AF546">IF(X546="","",IF(AE546&lt;&gt;"",MAX(X546,AVERAGE(INDEX(Ventas!$C$2:$I$5000,MATCH($A546,Ventas!$A$2:$A$5000,0),0))),X546))</f>
        <v>0</v>
      </c>
      <c r="AG546" s="60">
        <f t="shared" si="8"/>
        <v>-200</v>
      </c>
      <c r="AH546" s="63" t="str">
        <f t="shared" si="9"/>
        <v>SIN VENTAS</v>
      </c>
    </row>
    <row r="547" ht="13.5" customHeight="1">
      <c r="A547" s="49" t="s">
        <v>2695</v>
      </c>
      <c r="B547" s="50"/>
      <c r="C547" s="50" t="s">
        <v>2696</v>
      </c>
      <c r="D547" s="50"/>
      <c r="E547" s="51">
        <v>200.0</v>
      </c>
      <c r="F547" s="52"/>
      <c r="G547" s="53"/>
      <c r="H547" s="55"/>
      <c r="I547" s="55"/>
      <c r="J547" s="53"/>
      <c r="K547" s="53"/>
      <c r="L547" s="55"/>
      <c r="M547" s="53"/>
      <c r="N547" s="94"/>
      <c r="O547" s="57" t="str">
        <f t="shared" si="1"/>
        <v>SIN VENTAS Jun-Sep — no comprar (200 m disponibles)</v>
      </c>
      <c r="P547" s="58">
        <f t="shared" si="2"/>
        <v>200</v>
      </c>
      <c r="Q547" s="70"/>
      <c r="R547" s="70"/>
      <c r="S547" s="1"/>
      <c r="T547" s="1"/>
      <c r="U547" s="1"/>
      <c r="V547" s="1"/>
      <c r="W547" s="1"/>
      <c r="X547" s="60">
        <f>IFERROR(VLOOKUP($A547,Ventas!$A$2:$L$5000,12,FALSE()),"")</f>
        <v>0</v>
      </c>
      <c r="Y547" s="60">
        <f t="shared" si="3"/>
        <v>0</v>
      </c>
      <c r="Z547" s="61" t="str">
        <f t="shared" si="4"/>
        <v/>
      </c>
      <c r="AA547" s="60">
        <f t="shared" si="5"/>
        <v>-200</v>
      </c>
      <c r="AB547" s="62" t="str">
        <f t="shared" si="6"/>
        <v/>
      </c>
      <c r="AC547" s="62" t="str">
        <f t="array" ref="AC547">IF(AH547&lt;&gt;"COMPRAR","",IF(MAX(INDEX(Ventas!$G$2:$G$5000,MATCH($A547,Ventas!$A$2:$A$5000,0)),INDEX(Ventas!$H$2:$H$5000,MATCH($A547,Ventas!$A$2:$A$5000,0)),INDEX(Ventas!$I$2:$I$5000,MATCH($A547,Ventas!$A$2:$A$5000,0)),INDEX(Ventas!$J$2:$J$5000,MATCH($A547,Ventas!$A$2:$A$5000,0)))&gt;0.5*AF547*4,"1 mes = "&amp;TEXT(MAX(INDEX(Ventas!$G$2:$G$5000,MATCH($A547,Ventas!$A$2:$A$5000,0)),INDEX(Ventas!$H$2:$H$5000,MATCH($A547,Ventas!$A$2:$A$5000,0)),INDEX(Ventas!$I$2:$I$5000,MATCH($A547,Ventas!$A$2:$A$5000,0)),INDEX(Ventas!$J$2:$J$5000,MATCH($A547,Ventas!$A$2:$A$5000,0)))/(AF547*4),"0%")&amp;" de 4 meses",""))</f>
        <v/>
      </c>
      <c r="AD547" s="62" t="str">
        <f t="shared" si="7"/>
        <v/>
      </c>
      <c r="AE547" s="62" t="str">
        <f t="array" ref="AE547">IF(X547="","",IF(AND(E547=0,AVERAGE(INDEX(Ventas!$C$2:$I$5000,MATCH($A547,Ventas!$A$2:$A$5000,0),0))&gt;0,INDEX(Ventas!$J$2:$J$5000,MATCH($A547,Ventas!$A$2:$A$5000,0))&lt;0.5*AVERAGE(INDEX(Ventas!$C$2:$I$5000,MATCH($A547,Ventas!$A$2:$A$5000,0),0))),"SÍ — stock 0 y Sep cayó (prom Feb-Ago "&amp;TEXT(AVERAGE(INDEX(Ventas!$C$2:$I$5000,MATCH($A547,Ventas!$A$2:$A$5000,0),0)),"#,##0")&amp;")",""))</f>
        <v/>
      </c>
      <c r="AF547" s="60">
        <f t="array" ref="AF547">IF(X547="","",IF(AE547&lt;&gt;"",MAX(X547,AVERAGE(INDEX(Ventas!$C$2:$I$5000,MATCH($A547,Ventas!$A$2:$A$5000,0),0))),X547))</f>
        <v>0</v>
      </c>
      <c r="AG547" s="60">
        <f t="shared" si="8"/>
        <v>-200</v>
      </c>
      <c r="AH547" s="63" t="str">
        <f t="shared" si="9"/>
        <v>SIN VENTAS</v>
      </c>
    </row>
    <row r="548" ht="13.5" customHeight="1">
      <c r="A548" s="64" t="s">
        <v>2683</v>
      </c>
      <c r="B548" s="65" t="s">
        <v>3908</v>
      </c>
      <c r="C548" s="65" t="s">
        <v>2684</v>
      </c>
      <c r="D548" s="65"/>
      <c r="E548" s="51">
        <v>100.0</v>
      </c>
      <c r="F548" s="66"/>
      <c r="G548" s="53"/>
      <c r="H548" s="55"/>
      <c r="I548" s="55"/>
      <c r="J548" s="53"/>
      <c r="K548" s="53"/>
      <c r="L548" s="55"/>
      <c r="M548" s="53"/>
      <c r="N548" s="73"/>
      <c r="O548" s="57" t="str">
        <f t="shared" si="1"/>
        <v>SIN VENTAS Jun-Sep — no comprar (100 m disponibles)</v>
      </c>
      <c r="P548" s="58">
        <f t="shared" si="2"/>
        <v>100</v>
      </c>
      <c r="Q548" s="88">
        <v>2058.0</v>
      </c>
      <c r="R548" s="88">
        <v>4119.0</v>
      </c>
      <c r="S548" s="72">
        <v>3000.0</v>
      </c>
      <c r="T548" s="72">
        <v>2250.0</v>
      </c>
      <c r="U548" s="1"/>
      <c r="V548" s="1"/>
      <c r="W548" s="1"/>
      <c r="X548" s="60">
        <f>IFERROR(VLOOKUP($A548,Ventas!$A$2:$L$5000,12,FALSE()),"")</f>
        <v>0</v>
      </c>
      <c r="Y548" s="60">
        <f t="shared" si="3"/>
        <v>0</v>
      </c>
      <c r="Z548" s="61" t="str">
        <f t="shared" si="4"/>
        <v/>
      </c>
      <c r="AA548" s="60">
        <f t="shared" si="5"/>
        <v>-100</v>
      </c>
      <c r="AB548" s="62" t="str">
        <f t="shared" si="6"/>
        <v/>
      </c>
      <c r="AC548" s="62" t="str">
        <f t="array" ref="AC548">IF(AH548&lt;&gt;"COMPRAR","",IF(MAX(INDEX(Ventas!$G$2:$G$5000,MATCH($A548,Ventas!$A$2:$A$5000,0)),INDEX(Ventas!$H$2:$H$5000,MATCH($A548,Ventas!$A$2:$A$5000,0)),INDEX(Ventas!$I$2:$I$5000,MATCH($A548,Ventas!$A$2:$A$5000,0)),INDEX(Ventas!$J$2:$J$5000,MATCH($A548,Ventas!$A$2:$A$5000,0)))&gt;0.5*AF548*4,"1 mes = "&amp;TEXT(MAX(INDEX(Ventas!$G$2:$G$5000,MATCH($A548,Ventas!$A$2:$A$5000,0)),INDEX(Ventas!$H$2:$H$5000,MATCH($A548,Ventas!$A$2:$A$5000,0)),INDEX(Ventas!$I$2:$I$5000,MATCH($A548,Ventas!$A$2:$A$5000,0)),INDEX(Ventas!$J$2:$J$5000,MATCH($A548,Ventas!$A$2:$A$5000,0)))/(AF548*4),"0%")&amp;" de 4 meses",""))</f>
        <v/>
      </c>
      <c r="AD548" s="62" t="str">
        <f t="shared" si="7"/>
        <v/>
      </c>
      <c r="AE548" s="62" t="str">
        <f t="array" ref="AE548">IF(X548="","",IF(AND(E548=0,AVERAGE(INDEX(Ventas!$C$2:$I$5000,MATCH($A548,Ventas!$A$2:$A$5000,0),0))&gt;0,INDEX(Ventas!$J$2:$J$5000,MATCH($A548,Ventas!$A$2:$A$5000,0))&lt;0.5*AVERAGE(INDEX(Ventas!$C$2:$I$5000,MATCH($A548,Ventas!$A$2:$A$5000,0),0))),"SÍ — stock 0 y Sep cayó (prom Feb-Ago "&amp;TEXT(AVERAGE(INDEX(Ventas!$C$2:$I$5000,MATCH($A548,Ventas!$A$2:$A$5000,0),0)),"#,##0")&amp;")",""))</f>
        <v/>
      </c>
      <c r="AF548" s="60">
        <f t="array" ref="AF548">IF(X548="","",IF(AE548&lt;&gt;"",MAX(X548,AVERAGE(INDEX(Ventas!$C$2:$I$5000,MATCH($A548,Ventas!$A$2:$A$5000,0),0))),X548))</f>
        <v>0</v>
      </c>
      <c r="AG548" s="60">
        <f t="shared" si="8"/>
        <v>-100</v>
      </c>
      <c r="AH548" s="63" t="str">
        <f t="shared" si="9"/>
        <v>SIN VENTAS</v>
      </c>
    </row>
    <row r="549" ht="13.5" customHeight="1">
      <c r="A549" s="49" t="s">
        <v>2685</v>
      </c>
      <c r="B549" s="50" t="s">
        <v>3908</v>
      </c>
      <c r="C549" s="50" t="s">
        <v>2686</v>
      </c>
      <c r="D549" s="50"/>
      <c r="E549" s="51">
        <v>200.0</v>
      </c>
      <c r="F549" s="52"/>
      <c r="G549" s="53"/>
      <c r="H549" s="55"/>
      <c r="I549" s="55"/>
      <c r="J549" s="53"/>
      <c r="K549" s="53"/>
      <c r="L549" s="55"/>
      <c r="M549" s="53"/>
      <c r="N549" s="74"/>
      <c r="O549" s="57" t="str">
        <f t="shared" si="1"/>
        <v>SIN VENTAS Jun-Sep — no comprar (200 m disponibles)</v>
      </c>
      <c r="P549" s="58">
        <f t="shared" si="2"/>
        <v>200</v>
      </c>
      <c r="Q549" s="70"/>
      <c r="R549" s="1"/>
      <c r="S549" s="72">
        <v>6000.0</v>
      </c>
      <c r="T549" s="72">
        <v>4500.0</v>
      </c>
      <c r="U549" s="1"/>
      <c r="V549" s="1"/>
      <c r="W549" s="1"/>
      <c r="X549" s="60">
        <f>IFERROR(VLOOKUP($A549,Ventas!$A$2:$L$5000,12,FALSE()),"")</f>
        <v>0</v>
      </c>
      <c r="Y549" s="60">
        <f t="shared" si="3"/>
        <v>0</v>
      </c>
      <c r="Z549" s="61" t="str">
        <f t="shared" si="4"/>
        <v/>
      </c>
      <c r="AA549" s="60">
        <f t="shared" si="5"/>
        <v>-200</v>
      </c>
      <c r="AB549" s="62" t="str">
        <f t="shared" si="6"/>
        <v/>
      </c>
      <c r="AC549" s="62" t="str">
        <f t="array" ref="AC549">IF(AH549&lt;&gt;"COMPRAR","",IF(MAX(INDEX(Ventas!$G$2:$G$5000,MATCH($A549,Ventas!$A$2:$A$5000,0)),INDEX(Ventas!$H$2:$H$5000,MATCH($A549,Ventas!$A$2:$A$5000,0)),INDEX(Ventas!$I$2:$I$5000,MATCH($A549,Ventas!$A$2:$A$5000,0)),INDEX(Ventas!$J$2:$J$5000,MATCH($A549,Ventas!$A$2:$A$5000,0)))&gt;0.5*AF549*4,"1 mes = "&amp;TEXT(MAX(INDEX(Ventas!$G$2:$G$5000,MATCH($A549,Ventas!$A$2:$A$5000,0)),INDEX(Ventas!$H$2:$H$5000,MATCH($A549,Ventas!$A$2:$A$5000,0)),INDEX(Ventas!$I$2:$I$5000,MATCH($A549,Ventas!$A$2:$A$5000,0)),INDEX(Ventas!$J$2:$J$5000,MATCH($A549,Ventas!$A$2:$A$5000,0)))/(AF549*4),"0%")&amp;" de 4 meses",""))</f>
        <v/>
      </c>
      <c r="AD549" s="62" t="str">
        <f t="shared" si="7"/>
        <v/>
      </c>
      <c r="AE549" s="62" t="str">
        <f t="array" ref="AE549">IF(X549="","",IF(AND(E549=0,AVERAGE(INDEX(Ventas!$C$2:$I$5000,MATCH($A549,Ventas!$A$2:$A$5000,0),0))&gt;0,INDEX(Ventas!$J$2:$J$5000,MATCH($A549,Ventas!$A$2:$A$5000,0))&lt;0.5*AVERAGE(INDEX(Ventas!$C$2:$I$5000,MATCH($A549,Ventas!$A$2:$A$5000,0),0))),"SÍ — stock 0 y Sep cayó (prom Feb-Ago "&amp;TEXT(AVERAGE(INDEX(Ventas!$C$2:$I$5000,MATCH($A549,Ventas!$A$2:$A$5000,0),0)),"#,##0")&amp;")",""))</f>
        <v/>
      </c>
      <c r="AF549" s="60">
        <f t="array" ref="AF549">IF(X549="","",IF(AE549&lt;&gt;"",MAX(X549,AVERAGE(INDEX(Ventas!$C$2:$I$5000,MATCH($A549,Ventas!$A$2:$A$5000,0),0))),X549))</f>
        <v>0</v>
      </c>
      <c r="AG549" s="60">
        <f t="shared" si="8"/>
        <v>-200</v>
      </c>
      <c r="AH549" s="63" t="str">
        <f t="shared" si="9"/>
        <v>SIN VENTAS</v>
      </c>
    </row>
    <row r="550" ht="13.5" customHeight="1">
      <c r="A550" s="64" t="s">
        <v>2687</v>
      </c>
      <c r="B550" s="65" t="s">
        <v>3908</v>
      </c>
      <c r="C550" s="65" t="s">
        <v>2688</v>
      </c>
      <c r="D550" s="65"/>
      <c r="E550" s="51">
        <v>200.0</v>
      </c>
      <c r="F550" s="66"/>
      <c r="G550" s="53"/>
      <c r="H550" s="55"/>
      <c r="I550" s="55"/>
      <c r="J550" s="53"/>
      <c r="K550" s="53"/>
      <c r="L550" s="55"/>
      <c r="M550" s="53"/>
      <c r="N550" s="73"/>
      <c r="O550" s="57" t="str">
        <f t="shared" si="1"/>
        <v>SIN VENTAS Jun-Sep — no comprar (200 m disponibles)</v>
      </c>
      <c r="P550" s="58">
        <f t="shared" si="2"/>
        <v>200</v>
      </c>
      <c r="Q550" s="70"/>
      <c r="R550" s="1"/>
      <c r="S550" s="72">
        <v>6000.0</v>
      </c>
      <c r="T550" s="72">
        <v>4500.0</v>
      </c>
      <c r="U550" s="1"/>
      <c r="V550" s="1"/>
      <c r="W550" s="1"/>
      <c r="X550" s="60">
        <f>IFERROR(VLOOKUP($A550,Ventas!$A$2:$L$5000,12,FALSE()),"")</f>
        <v>0</v>
      </c>
      <c r="Y550" s="60">
        <f t="shared" si="3"/>
        <v>0</v>
      </c>
      <c r="Z550" s="61" t="str">
        <f t="shared" si="4"/>
        <v/>
      </c>
      <c r="AA550" s="60">
        <f t="shared" si="5"/>
        <v>-200</v>
      </c>
      <c r="AB550" s="62" t="str">
        <f t="shared" si="6"/>
        <v/>
      </c>
      <c r="AC550" s="62" t="str">
        <f t="array" ref="AC550">IF(AH550&lt;&gt;"COMPRAR","",IF(MAX(INDEX(Ventas!$G$2:$G$5000,MATCH($A550,Ventas!$A$2:$A$5000,0)),INDEX(Ventas!$H$2:$H$5000,MATCH($A550,Ventas!$A$2:$A$5000,0)),INDEX(Ventas!$I$2:$I$5000,MATCH($A550,Ventas!$A$2:$A$5000,0)),INDEX(Ventas!$J$2:$J$5000,MATCH($A550,Ventas!$A$2:$A$5000,0)))&gt;0.5*AF550*4,"1 mes = "&amp;TEXT(MAX(INDEX(Ventas!$G$2:$G$5000,MATCH($A550,Ventas!$A$2:$A$5000,0)),INDEX(Ventas!$H$2:$H$5000,MATCH($A550,Ventas!$A$2:$A$5000,0)),INDEX(Ventas!$I$2:$I$5000,MATCH($A550,Ventas!$A$2:$A$5000,0)),INDEX(Ventas!$J$2:$J$5000,MATCH($A550,Ventas!$A$2:$A$5000,0)))/(AF550*4),"0%")&amp;" de 4 meses",""))</f>
        <v/>
      </c>
      <c r="AD550" s="62" t="str">
        <f t="shared" si="7"/>
        <v/>
      </c>
      <c r="AE550" s="62" t="str">
        <f t="array" ref="AE550">IF(X550="","",IF(AND(E550=0,AVERAGE(INDEX(Ventas!$C$2:$I$5000,MATCH($A550,Ventas!$A$2:$A$5000,0),0))&gt;0,INDEX(Ventas!$J$2:$J$5000,MATCH($A550,Ventas!$A$2:$A$5000,0))&lt;0.5*AVERAGE(INDEX(Ventas!$C$2:$I$5000,MATCH($A550,Ventas!$A$2:$A$5000,0),0))),"SÍ — stock 0 y Sep cayó (prom Feb-Ago "&amp;TEXT(AVERAGE(INDEX(Ventas!$C$2:$I$5000,MATCH($A550,Ventas!$A$2:$A$5000,0),0)),"#,##0")&amp;")",""))</f>
        <v/>
      </c>
      <c r="AF550" s="60">
        <f t="array" ref="AF550">IF(X550="","",IF(AE550&lt;&gt;"",MAX(X550,AVERAGE(INDEX(Ventas!$C$2:$I$5000,MATCH($A550,Ventas!$A$2:$A$5000,0),0))),X550))</f>
        <v>0</v>
      </c>
      <c r="AG550" s="60">
        <f t="shared" si="8"/>
        <v>-200</v>
      </c>
      <c r="AH550" s="63" t="str">
        <f t="shared" si="9"/>
        <v>SIN VENTAS</v>
      </c>
    </row>
    <row r="551" ht="13.5" customHeight="1">
      <c r="A551" s="49" t="s">
        <v>2765</v>
      </c>
      <c r="B551" s="50" t="s">
        <v>3909</v>
      </c>
      <c r="C551" s="50" t="s">
        <v>2766</v>
      </c>
      <c r="D551" s="50"/>
      <c r="E551" s="51">
        <v>2000.0</v>
      </c>
      <c r="F551" s="52"/>
      <c r="G551" s="53"/>
      <c r="H551" s="55"/>
      <c r="I551" s="55"/>
      <c r="J551" s="53"/>
      <c r="K551" s="53"/>
      <c r="L551" s="55"/>
      <c r="M551" s="53"/>
      <c r="N551" s="74"/>
      <c r="O551" s="57" t="str">
        <f t="shared" si="1"/>
        <v>SIN VENTAS Jun-Sep — no comprar (2,000 m disponibles)</v>
      </c>
      <c r="P551" s="58">
        <f t="shared" si="2"/>
        <v>2000</v>
      </c>
      <c r="Q551" s="1"/>
      <c r="R551" s="1"/>
      <c r="S551" s="1"/>
      <c r="T551" s="1"/>
      <c r="U551" s="1"/>
      <c r="V551" s="1"/>
      <c r="W551" s="1"/>
      <c r="X551" s="60">
        <f>IFERROR(VLOOKUP($A551,Ventas!$A$2:$L$5000,12,FALSE()),"")</f>
        <v>0</v>
      </c>
      <c r="Y551" s="60">
        <f t="shared" si="3"/>
        <v>0</v>
      </c>
      <c r="Z551" s="61" t="str">
        <f t="shared" si="4"/>
        <v/>
      </c>
      <c r="AA551" s="60">
        <f t="shared" si="5"/>
        <v>-2000</v>
      </c>
      <c r="AB551" s="62" t="str">
        <f t="shared" si="6"/>
        <v/>
      </c>
      <c r="AC551" s="62" t="str">
        <f t="array" ref="AC551">IF(AH551&lt;&gt;"COMPRAR","",IF(MAX(INDEX(Ventas!$G$2:$G$5000,MATCH($A551,Ventas!$A$2:$A$5000,0)),INDEX(Ventas!$H$2:$H$5000,MATCH($A551,Ventas!$A$2:$A$5000,0)),INDEX(Ventas!$I$2:$I$5000,MATCH($A551,Ventas!$A$2:$A$5000,0)),INDEX(Ventas!$J$2:$J$5000,MATCH($A551,Ventas!$A$2:$A$5000,0)))&gt;0.5*AF551*4,"1 mes = "&amp;TEXT(MAX(INDEX(Ventas!$G$2:$G$5000,MATCH($A551,Ventas!$A$2:$A$5000,0)),INDEX(Ventas!$H$2:$H$5000,MATCH($A551,Ventas!$A$2:$A$5000,0)),INDEX(Ventas!$I$2:$I$5000,MATCH($A551,Ventas!$A$2:$A$5000,0)),INDEX(Ventas!$J$2:$J$5000,MATCH($A551,Ventas!$A$2:$A$5000,0)))/(AF551*4),"0%")&amp;" de 4 meses",""))</f>
        <v/>
      </c>
      <c r="AD551" s="62" t="str">
        <f t="shared" si="7"/>
        <v/>
      </c>
      <c r="AE551" s="62" t="str">
        <f t="array" ref="AE551">IF(X551="","",IF(AND(E551=0,AVERAGE(INDEX(Ventas!$C$2:$I$5000,MATCH($A551,Ventas!$A$2:$A$5000,0),0))&gt;0,INDEX(Ventas!$J$2:$J$5000,MATCH($A551,Ventas!$A$2:$A$5000,0))&lt;0.5*AVERAGE(INDEX(Ventas!$C$2:$I$5000,MATCH($A551,Ventas!$A$2:$A$5000,0),0))),"SÍ — stock 0 y Sep cayó (prom Feb-Ago "&amp;TEXT(AVERAGE(INDEX(Ventas!$C$2:$I$5000,MATCH($A551,Ventas!$A$2:$A$5000,0),0)),"#,##0")&amp;")",""))</f>
        <v/>
      </c>
      <c r="AF551" s="60">
        <f t="array" ref="AF551">IF(X551="","",IF(AE551&lt;&gt;"",MAX(X551,AVERAGE(INDEX(Ventas!$C$2:$I$5000,MATCH($A551,Ventas!$A$2:$A$5000,0),0))),X551))</f>
        <v>0</v>
      </c>
      <c r="AG551" s="60">
        <f t="shared" si="8"/>
        <v>-2000</v>
      </c>
      <c r="AH551" s="63" t="str">
        <f t="shared" si="9"/>
        <v>SIN VENTAS</v>
      </c>
    </row>
    <row r="552" ht="13.5" customHeight="1">
      <c r="A552" s="64" t="s">
        <v>1270</v>
      </c>
      <c r="B552" s="65" t="s">
        <v>3909</v>
      </c>
      <c r="C552" s="65" t="s">
        <v>1271</v>
      </c>
      <c r="D552" s="65"/>
      <c r="E552" s="51">
        <v>2000.0</v>
      </c>
      <c r="F552" s="66"/>
      <c r="G552" s="53"/>
      <c r="H552" s="55"/>
      <c r="I552" s="55"/>
      <c r="J552" s="53"/>
      <c r="K552" s="53"/>
      <c r="L552" s="55"/>
      <c r="M552" s="53"/>
      <c r="N552" s="73"/>
      <c r="O552" s="57" t="str">
        <f t="shared" si="1"/>
        <v>SIN VENTAS Jun-Sep — no comprar (2,000 m disponibles)</v>
      </c>
      <c r="P552" s="58">
        <f t="shared" si="2"/>
        <v>2000</v>
      </c>
      <c r="Q552" s="1"/>
      <c r="R552" s="1"/>
      <c r="S552" s="1"/>
      <c r="T552" s="1"/>
      <c r="U552" s="1"/>
      <c r="V552" s="1"/>
      <c r="W552" s="1"/>
      <c r="X552" s="60">
        <f>IFERROR(VLOOKUP($A552,Ventas!$A$2:$L$5000,12,FALSE()),"")</f>
        <v>0</v>
      </c>
      <c r="Y552" s="60">
        <f t="shared" si="3"/>
        <v>0</v>
      </c>
      <c r="Z552" s="61" t="str">
        <f t="shared" si="4"/>
        <v/>
      </c>
      <c r="AA552" s="60">
        <f t="shared" si="5"/>
        <v>-2000</v>
      </c>
      <c r="AB552" s="62" t="str">
        <f t="shared" si="6"/>
        <v/>
      </c>
      <c r="AC552" s="62" t="str">
        <f t="array" ref="AC552">IF(AH552&lt;&gt;"COMPRAR","",IF(MAX(INDEX(Ventas!$G$2:$G$5000,MATCH($A552,Ventas!$A$2:$A$5000,0)),INDEX(Ventas!$H$2:$H$5000,MATCH($A552,Ventas!$A$2:$A$5000,0)),INDEX(Ventas!$I$2:$I$5000,MATCH($A552,Ventas!$A$2:$A$5000,0)),INDEX(Ventas!$J$2:$J$5000,MATCH($A552,Ventas!$A$2:$A$5000,0)))&gt;0.5*AF552*4,"1 mes = "&amp;TEXT(MAX(INDEX(Ventas!$G$2:$G$5000,MATCH($A552,Ventas!$A$2:$A$5000,0)),INDEX(Ventas!$H$2:$H$5000,MATCH($A552,Ventas!$A$2:$A$5000,0)),INDEX(Ventas!$I$2:$I$5000,MATCH($A552,Ventas!$A$2:$A$5000,0)),INDEX(Ventas!$J$2:$J$5000,MATCH($A552,Ventas!$A$2:$A$5000,0)))/(AF552*4),"0%")&amp;" de 4 meses",""))</f>
        <v/>
      </c>
      <c r="AD552" s="62" t="str">
        <f t="shared" si="7"/>
        <v/>
      </c>
      <c r="AE552" s="62" t="str">
        <f t="array" ref="AE552">IF(X552="","",IF(AND(E552=0,AVERAGE(INDEX(Ventas!$C$2:$I$5000,MATCH($A552,Ventas!$A$2:$A$5000,0),0))&gt;0,INDEX(Ventas!$J$2:$J$5000,MATCH($A552,Ventas!$A$2:$A$5000,0))&lt;0.5*AVERAGE(INDEX(Ventas!$C$2:$I$5000,MATCH($A552,Ventas!$A$2:$A$5000,0),0))),"SÍ — stock 0 y Sep cayó (prom Feb-Ago "&amp;TEXT(AVERAGE(INDEX(Ventas!$C$2:$I$5000,MATCH($A552,Ventas!$A$2:$A$5000,0),0)),"#,##0")&amp;")",""))</f>
        <v/>
      </c>
      <c r="AF552" s="60">
        <f t="array" ref="AF552">IF(X552="","",IF(AE552&lt;&gt;"",MAX(X552,AVERAGE(INDEX(Ventas!$C$2:$I$5000,MATCH($A552,Ventas!$A$2:$A$5000,0),0))),X552))</f>
        <v>0</v>
      </c>
      <c r="AG552" s="60">
        <f t="shared" si="8"/>
        <v>-2000</v>
      </c>
      <c r="AH552" s="63" t="str">
        <f t="shared" si="9"/>
        <v>SIN VENTAS</v>
      </c>
    </row>
    <row r="553" ht="13.5" customHeight="1">
      <c r="A553" s="49" t="s">
        <v>2663</v>
      </c>
      <c r="B553" s="50" t="s">
        <v>3910</v>
      </c>
      <c r="C553" s="50" t="s">
        <v>3911</v>
      </c>
      <c r="D553" s="50" t="s">
        <v>3912</v>
      </c>
      <c r="E553" s="51">
        <v>2000.0</v>
      </c>
      <c r="F553" s="52"/>
      <c r="G553" s="53"/>
      <c r="H553" s="55"/>
      <c r="I553" s="55"/>
      <c r="J553" s="53"/>
      <c r="K553" s="53"/>
      <c r="L553" s="55"/>
      <c r="M553" s="53"/>
      <c r="N553" s="74"/>
      <c r="O553" s="57" t="str">
        <f t="shared" si="1"/>
        <v>SIN VENTAS Jun-Sep — no comprar (2,000 m disponibles)</v>
      </c>
      <c r="P553" s="58">
        <f t="shared" si="2"/>
        <v>2000</v>
      </c>
      <c r="Q553" s="1"/>
      <c r="R553" s="1"/>
      <c r="S553" s="1"/>
      <c r="T553" s="1"/>
      <c r="U553" s="1"/>
      <c r="V553" s="1"/>
      <c r="W553" s="1"/>
      <c r="X553" s="60">
        <f>IFERROR(VLOOKUP($A553,Ventas!$A$2:$L$5000,12,FALSE()),"")</f>
        <v>0</v>
      </c>
      <c r="Y553" s="60">
        <f t="shared" si="3"/>
        <v>0</v>
      </c>
      <c r="Z553" s="61" t="str">
        <f t="shared" si="4"/>
        <v/>
      </c>
      <c r="AA553" s="60">
        <f t="shared" si="5"/>
        <v>-2000</v>
      </c>
      <c r="AB553" s="62" t="str">
        <f t="shared" si="6"/>
        <v/>
      </c>
      <c r="AC553" s="62" t="str">
        <f t="array" ref="AC553">IF(AH553&lt;&gt;"COMPRAR","",IF(MAX(INDEX(Ventas!$G$2:$G$5000,MATCH($A553,Ventas!$A$2:$A$5000,0)),INDEX(Ventas!$H$2:$H$5000,MATCH($A553,Ventas!$A$2:$A$5000,0)),INDEX(Ventas!$I$2:$I$5000,MATCH($A553,Ventas!$A$2:$A$5000,0)),INDEX(Ventas!$J$2:$J$5000,MATCH($A553,Ventas!$A$2:$A$5000,0)))&gt;0.5*AF553*4,"1 mes = "&amp;TEXT(MAX(INDEX(Ventas!$G$2:$G$5000,MATCH($A553,Ventas!$A$2:$A$5000,0)),INDEX(Ventas!$H$2:$H$5000,MATCH($A553,Ventas!$A$2:$A$5000,0)),INDEX(Ventas!$I$2:$I$5000,MATCH($A553,Ventas!$A$2:$A$5000,0)),INDEX(Ventas!$J$2:$J$5000,MATCH($A553,Ventas!$A$2:$A$5000,0)))/(AF553*4),"0%")&amp;" de 4 meses",""))</f>
        <v/>
      </c>
      <c r="AD553" s="62" t="str">
        <f t="shared" si="7"/>
        <v/>
      </c>
      <c r="AE553" s="62" t="str">
        <f t="array" ref="AE553">IF(X553="","",IF(AND(E553=0,AVERAGE(INDEX(Ventas!$C$2:$I$5000,MATCH($A553,Ventas!$A$2:$A$5000,0),0))&gt;0,INDEX(Ventas!$J$2:$J$5000,MATCH($A553,Ventas!$A$2:$A$5000,0))&lt;0.5*AVERAGE(INDEX(Ventas!$C$2:$I$5000,MATCH($A553,Ventas!$A$2:$A$5000,0),0))),"SÍ — stock 0 y Sep cayó (prom Feb-Ago "&amp;TEXT(AVERAGE(INDEX(Ventas!$C$2:$I$5000,MATCH($A553,Ventas!$A$2:$A$5000,0),0)),"#,##0")&amp;")",""))</f>
        <v/>
      </c>
      <c r="AF553" s="60">
        <f t="array" ref="AF553">IF(X553="","",IF(AE553&lt;&gt;"",MAX(X553,AVERAGE(INDEX(Ventas!$C$2:$I$5000,MATCH($A553,Ventas!$A$2:$A$5000,0),0))),X553))</f>
        <v>0</v>
      </c>
      <c r="AG553" s="60">
        <f t="shared" si="8"/>
        <v>-2000</v>
      </c>
      <c r="AH553" s="63" t="str">
        <f t="shared" si="9"/>
        <v>SIN VENTAS</v>
      </c>
    </row>
    <row r="554" ht="13.5" customHeight="1">
      <c r="A554" s="64" t="s">
        <v>2657</v>
      </c>
      <c r="B554" s="65" t="s">
        <v>3910</v>
      </c>
      <c r="C554" s="65" t="s">
        <v>3913</v>
      </c>
      <c r="D554" s="65" t="s">
        <v>3912</v>
      </c>
      <c r="E554" s="51">
        <v>0.0</v>
      </c>
      <c r="F554" s="66"/>
      <c r="G554" s="53"/>
      <c r="H554" s="55"/>
      <c r="I554" s="55"/>
      <c r="J554" s="53"/>
      <c r="K554" s="53"/>
      <c r="L554" s="55"/>
      <c r="M554" s="53"/>
      <c r="N554" s="73"/>
      <c r="O554" s="57" t="str">
        <f t="shared" si="1"/>
        <v>SIN VENTAS Jun-Sep — no comprar</v>
      </c>
      <c r="P554" s="58">
        <f t="shared" si="2"/>
        <v>0</v>
      </c>
      <c r="Q554" s="1"/>
      <c r="R554" s="1"/>
      <c r="S554" s="1"/>
      <c r="T554" s="1"/>
      <c r="U554" s="1"/>
      <c r="V554" s="1"/>
      <c r="W554" s="1"/>
      <c r="X554" s="60">
        <f>IFERROR(VLOOKUP($A554,Ventas!$A$2:$L$5000,12,FALSE()),"")</f>
        <v>0</v>
      </c>
      <c r="Y554" s="60">
        <f t="shared" si="3"/>
        <v>0</v>
      </c>
      <c r="Z554" s="61" t="str">
        <f t="shared" si="4"/>
        <v/>
      </c>
      <c r="AA554" s="60">
        <f t="shared" si="5"/>
        <v>0</v>
      </c>
      <c r="AB554" s="62" t="str">
        <f t="shared" si="6"/>
        <v/>
      </c>
      <c r="AC554" s="62" t="str">
        <f t="array" ref="AC554">IF(AH554&lt;&gt;"COMPRAR","",IF(MAX(INDEX(Ventas!$G$2:$G$5000,MATCH($A554,Ventas!$A$2:$A$5000,0)),INDEX(Ventas!$H$2:$H$5000,MATCH($A554,Ventas!$A$2:$A$5000,0)),INDEX(Ventas!$I$2:$I$5000,MATCH($A554,Ventas!$A$2:$A$5000,0)),INDEX(Ventas!$J$2:$J$5000,MATCH($A554,Ventas!$A$2:$A$5000,0)))&gt;0.5*AF554*4,"1 mes = "&amp;TEXT(MAX(INDEX(Ventas!$G$2:$G$5000,MATCH($A554,Ventas!$A$2:$A$5000,0)),INDEX(Ventas!$H$2:$H$5000,MATCH($A554,Ventas!$A$2:$A$5000,0)),INDEX(Ventas!$I$2:$I$5000,MATCH($A554,Ventas!$A$2:$A$5000,0)),INDEX(Ventas!$J$2:$J$5000,MATCH($A554,Ventas!$A$2:$A$5000,0)))/(AF554*4),"0%")&amp;" de 4 meses",""))</f>
        <v/>
      </c>
      <c r="AD554" s="62" t="str">
        <f t="shared" si="7"/>
        <v/>
      </c>
      <c r="AE554" s="62" t="str">
        <f t="array" ref="AE554">IF(X554="","",IF(AND(E554=0,AVERAGE(INDEX(Ventas!$C$2:$I$5000,MATCH($A554,Ventas!$A$2:$A$5000,0),0))&gt;0,INDEX(Ventas!$J$2:$J$5000,MATCH($A554,Ventas!$A$2:$A$5000,0))&lt;0.5*AVERAGE(INDEX(Ventas!$C$2:$I$5000,MATCH($A554,Ventas!$A$2:$A$5000,0),0))),"SÍ — stock 0 y Sep cayó (prom Feb-Ago "&amp;TEXT(AVERAGE(INDEX(Ventas!$C$2:$I$5000,MATCH($A554,Ventas!$A$2:$A$5000,0),0)),"#,##0")&amp;")",""))</f>
        <v/>
      </c>
      <c r="AF554" s="60">
        <f t="array" ref="AF554">IF(X554="","",IF(AE554&lt;&gt;"",MAX(X554,AVERAGE(INDEX(Ventas!$C$2:$I$5000,MATCH($A554,Ventas!$A$2:$A$5000,0),0))),X554))</f>
        <v>0</v>
      </c>
      <c r="AG554" s="60">
        <f t="shared" si="8"/>
        <v>0</v>
      </c>
      <c r="AH554" s="63" t="str">
        <f t="shared" si="9"/>
        <v>SIN VENTAS</v>
      </c>
    </row>
    <row r="555" ht="13.5" customHeight="1">
      <c r="A555" s="49" t="s">
        <v>2665</v>
      </c>
      <c r="B555" s="50" t="s">
        <v>3910</v>
      </c>
      <c r="C555" s="50" t="s">
        <v>3914</v>
      </c>
      <c r="D555" s="50" t="s">
        <v>3734</v>
      </c>
      <c r="E555" s="51">
        <v>0.0</v>
      </c>
      <c r="F555" s="52"/>
      <c r="G555" s="53"/>
      <c r="H555" s="55"/>
      <c r="I555" s="55"/>
      <c r="J555" s="53"/>
      <c r="K555" s="53"/>
      <c r="L555" s="55"/>
      <c r="M555" s="53"/>
      <c r="N555" s="74"/>
      <c r="O555" s="57" t="str">
        <f t="shared" si="1"/>
        <v>SIN VENTAS Jun-Sep — no comprar</v>
      </c>
      <c r="P555" s="58">
        <f t="shared" si="2"/>
        <v>0</v>
      </c>
      <c r="Q555" s="1"/>
      <c r="R555" s="1"/>
      <c r="S555" s="1"/>
      <c r="T555" s="1"/>
      <c r="U555" s="1"/>
      <c r="V555" s="1"/>
      <c r="W555" s="1"/>
      <c r="X555" s="60">
        <f>IFERROR(VLOOKUP($A555,Ventas!$A$2:$L$5000,12,FALSE()),"")</f>
        <v>0</v>
      </c>
      <c r="Y555" s="60">
        <f t="shared" si="3"/>
        <v>0</v>
      </c>
      <c r="Z555" s="61" t="str">
        <f t="shared" si="4"/>
        <v/>
      </c>
      <c r="AA555" s="60">
        <f t="shared" si="5"/>
        <v>0</v>
      </c>
      <c r="AB555" s="62" t="str">
        <f t="shared" si="6"/>
        <v/>
      </c>
      <c r="AC555" s="62" t="str">
        <f t="array" ref="AC555">IF(AH555&lt;&gt;"COMPRAR","",IF(MAX(INDEX(Ventas!$G$2:$G$5000,MATCH($A555,Ventas!$A$2:$A$5000,0)),INDEX(Ventas!$H$2:$H$5000,MATCH($A555,Ventas!$A$2:$A$5000,0)),INDEX(Ventas!$I$2:$I$5000,MATCH($A555,Ventas!$A$2:$A$5000,0)),INDEX(Ventas!$J$2:$J$5000,MATCH($A555,Ventas!$A$2:$A$5000,0)))&gt;0.5*AF555*4,"1 mes = "&amp;TEXT(MAX(INDEX(Ventas!$G$2:$G$5000,MATCH($A555,Ventas!$A$2:$A$5000,0)),INDEX(Ventas!$H$2:$H$5000,MATCH($A555,Ventas!$A$2:$A$5000,0)),INDEX(Ventas!$I$2:$I$5000,MATCH($A555,Ventas!$A$2:$A$5000,0)),INDEX(Ventas!$J$2:$J$5000,MATCH($A555,Ventas!$A$2:$A$5000,0)))/(AF555*4),"0%")&amp;" de 4 meses",""))</f>
        <v/>
      </c>
      <c r="AD555" s="62" t="str">
        <f t="shared" si="7"/>
        <v/>
      </c>
      <c r="AE555" s="62" t="str">
        <f t="array" ref="AE555">IF(X555="","",IF(AND(E555=0,AVERAGE(INDEX(Ventas!$C$2:$I$5000,MATCH($A555,Ventas!$A$2:$A$5000,0),0))&gt;0,INDEX(Ventas!$J$2:$J$5000,MATCH($A555,Ventas!$A$2:$A$5000,0))&lt;0.5*AVERAGE(INDEX(Ventas!$C$2:$I$5000,MATCH($A555,Ventas!$A$2:$A$5000,0),0))),"SÍ — stock 0 y Sep cayó (prom Feb-Ago "&amp;TEXT(AVERAGE(INDEX(Ventas!$C$2:$I$5000,MATCH($A555,Ventas!$A$2:$A$5000,0),0)),"#,##0")&amp;")",""))</f>
        <v/>
      </c>
      <c r="AF555" s="60">
        <f t="array" ref="AF555">IF(X555="","",IF(AE555&lt;&gt;"",MAX(X555,AVERAGE(INDEX(Ventas!$C$2:$I$5000,MATCH($A555,Ventas!$A$2:$A$5000,0),0))),X555))</f>
        <v>0</v>
      </c>
      <c r="AG555" s="60">
        <f t="shared" si="8"/>
        <v>0</v>
      </c>
      <c r="AH555" s="63" t="str">
        <f t="shared" si="9"/>
        <v>SIN VENTAS</v>
      </c>
    </row>
    <row r="556" ht="13.5" customHeight="1">
      <c r="A556" s="64" t="s">
        <v>2661</v>
      </c>
      <c r="B556" s="65" t="s">
        <v>3910</v>
      </c>
      <c r="C556" s="65" t="s">
        <v>3913</v>
      </c>
      <c r="D556" s="65" t="s">
        <v>3734</v>
      </c>
      <c r="E556" s="51">
        <v>40.0</v>
      </c>
      <c r="F556" s="66"/>
      <c r="G556" s="53"/>
      <c r="H556" s="55"/>
      <c r="I556" s="55"/>
      <c r="J556" s="53"/>
      <c r="K556" s="53"/>
      <c r="L556" s="55"/>
      <c r="M556" s="53"/>
      <c r="N556" s="73"/>
      <c r="O556" s="57" t="str">
        <f t="shared" si="1"/>
        <v>SIN VENTAS Jun-Sep — no comprar (40 m disponibles)</v>
      </c>
      <c r="P556" s="58">
        <f t="shared" si="2"/>
        <v>40</v>
      </c>
      <c r="Q556" s="1"/>
      <c r="R556" s="1"/>
      <c r="S556" s="1"/>
      <c r="T556" s="1"/>
      <c r="U556" s="1"/>
      <c r="V556" s="1"/>
      <c r="W556" s="1"/>
      <c r="X556" s="60">
        <f>IFERROR(VLOOKUP($A556,Ventas!$A$2:$L$5000,12,FALSE()),"")</f>
        <v>0</v>
      </c>
      <c r="Y556" s="60">
        <f t="shared" si="3"/>
        <v>0</v>
      </c>
      <c r="Z556" s="61" t="str">
        <f t="shared" si="4"/>
        <v/>
      </c>
      <c r="AA556" s="60">
        <f t="shared" si="5"/>
        <v>-40</v>
      </c>
      <c r="AB556" s="62" t="str">
        <f t="shared" si="6"/>
        <v/>
      </c>
      <c r="AC556" s="62" t="str">
        <f t="array" ref="AC556">IF(AH556&lt;&gt;"COMPRAR","",IF(MAX(INDEX(Ventas!$G$2:$G$5000,MATCH($A556,Ventas!$A$2:$A$5000,0)),INDEX(Ventas!$H$2:$H$5000,MATCH($A556,Ventas!$A$2:$A$5000,0)),INDEX(Ventas!$I$2:$I$5000,MATCH($A556,Ventas!$A$2:$A$5000,0)),INDEX(Ventas!$J$2:$J$5000,MATCH($A556,Ventas!$A$2:$A$5000,0)))&gt;0.5*AF556*4,"1 mes = "&amp;TEXT(MAX(INDEX(Ventas!$G$2:$G$5000,MATCH($A556,Ventas!$A$2:$A$5000,0)),INDEX(Ventas!$H$2:$H$5000,MATCH($A556,Ventas!$A$2:$A$5000,0)),INDEX(Ventas!$I$2:$I$5000,MATCH($A556,Ventas!$A$2:$A$5000,0)),INDEX(Ventas!$J$2:$J$5000,MATCH($A556,Ventas!$A$2:$A$5000,0)))/(AF556*4),"0%")&amp;" de 4 meses",""))</f>
        <v/>
      </c>
      <c r="AD556" s="62" t="str">
        <f t="shared" si="7"/>
        <v/>
      </c>
      <c r="AE556" s="62" t="str">
        <f t="array" ref="AE556">IF(X556="","",IF(AND(E556=0,AVERAGE(INDEX(Ventas!$C$2:$I$5000,MATCH($A556,Ventas!$A$2:$A$5000,0),0))&gt;0,INDEX(Ventas!$J$2:$J$5000,MATCH($A556,Ventas!$A$2:$A$5000,0))&lt;0.5*AVERAGE(INDEX(Ventas!$C$2:$I$5000,MATCH($A556,Ventas!$A$2:$A$5000,0),0))),"SÍ — stock 0 y Sep cayó (prom Feb-Ago "&amp;TEXT(AVERAGE(INDEX(Ventas!$C$2:$I$5000,MATCH($A556,Ventas!$A$2:$A$5000,0),0)),"#,##0")&amp;")",""))</f>
        <v/>
      </c>
      <c r="AF556" s="60">
        <f t="array" ref="AF556">IF(X556="","",IF(AE556&lt;&gt;"",MAX(X556,AVERAGE(INDEX(Ventas!$C$2:$I$5000,MATCH($A556,Ventas!$A$2:$A$5000,0),0))),X556))</f>
        <v>0</v>
      </c>
      <c r="AG556" s="60">
        <f t="shared" si="8"/>
        <v>-40</v>
      </c>
      <c r="AH556" s="63" t="str">
        <f t="shared" si="9"/>
        <v>SIN VENTAS</v>
      </c>
    </row>
    <row r="557" ht="13.5" customHeight="1">
      <c r="A557" s="49" t="s">
        <v>2659</v>
      </c>
      <c r="B557" s="50" t="s">
        <v>3910</v>
      </c>
      <c r="C557" s="50" t="s">
        <v>3913</v>
      </c>
      <c r="D557" s="50" t="s">
        <v>3915</v>
      </c>
      <c r="E557" s="51">
        <v>40.0</v>
      </c>
      <c r="F557" s="52"/>
      <c r="G557" s="53"/>
      <c r="H557" s="55"/>
      <c r="I557" s="55"/>
      <c r="J557" s="53"/>
      <c r="K557" s="53"/>
      <c r="L557" s="55"/>
      <c r="M557" s="53"/>
      <c r="N557" s="74"/>
      <c r="O557" s="57" t="str">
        <f t="shared" si="1"/>
        <v>SIN VENTAS Jun-Sep — no comprar (40 m disponibles)</v>
      </c>
      <c r="P557" s="58">
        <f t="shared" si="2"/>
        <v>40</v>
      </c>
      <c r="Q557" s="1"/>
      <c r="R557" s="1"/>
      <c r="S557" s="1"/>
      <c r="T557" s="1"/>
      <c r="U557" s="1"/>
      <c r="V557" s="1"/>
      <c r="W557" s="1"/>
      <c r="X557" s="60">
        <f>IFERROR(VLOOKUP($A557,Ventas!$A$2:$L$5000,12,FALSE()),"")</f>
        <v>0</v>
      </c>
      <c r="Y557" s="60">
        <f t="shared" si="3"/>
        <v>0</v>
      </c>
      <c r="Z557" s="61" t="str">
        <f t="shared" si="4"/>
        <v/>
      </c>
      <c r="AA557" s="60">
        <f t="shared" si="5"/>
        <v>-40</v>
      </c>
      <c r="AB557" s="62" t="str">
        <f t="shared" si="6"/>
        <v/>
      </c>
      <c r="AC557" s="62" t="str">
        <f t="array" ref="AC557">IF(AH557&lt;&gt;"COMPRAR","",IF(MAX(INDEX(Ventas!$G$2:$G$5000,MATCH($A557,Ventas!$A$2:$A$5000,0)),INDEX(Ventas!$H$2:$H$5000,MATCH($A557,Ventas!$A$2:$A$5000,0)),INDEX(Ventas!$I$2:$I$5000,MATCH($A557,Ventas!$A$2:$A$5000,0)),INDEX(Ventas!$J$2:$J$5000,MATCH($A557,Ventas!$A$2:$A$5000,0)))&gt;0.5*AF557*4,"1 mes = "&amp;TEXT(MAX(INDEX(Ventas!$G$2:$G$5000,MATCH($A557,Ventas!$A$2:$A$5000,0)),INDEX(Ventas!$H$2:$H$5000,MATCH($A557,Ventas!$A$2:$A$5000,0)),INDEX(Ventas!$I$2:$I$5000,MATCH($A557,Ventas!$A$2:$A$5000,0)),INDEX(Ventas!$J$2:$J$5000,MATCH($A557,Ventas!$A$2:$A$5000,0)))/(AF557*4),"0%")&amp;" de 4 meses",""))</f>
        <v/>
      </c>
      <c r="AD557" s="62" t="str">
        <f t="shared" si="7"/>
        <v/>
      </c>
      <c r="AE557" s="62" t="str">
        <f t="array" ref="AE557">IF(X557="","",IF(AND(E557=0,AVERAGE(INDEX(Ventas!$C$2:$I$5000,MATCH($A557,Ventas!$A$2:$A$5000,0),0))&gt;0,INDEX(Ventas!$J$2:$J$5000,MATCH($A557,Ventas!$A$2:$A$5000,0))&lt;0.5*AVERAGE(INDEX(Ventas!$C$2:$I$5000,MATCH($A557,Ventas!$A$2:$A$5000,0),0))),"SÍ — stock 0 y Sep cayó (prom Feb-Ago "&amp;TEXT(AVERAGE(INDEX(Ventas!$C$2:$I$5000,MATCH($A557,Ventas!$A$2:$A$5000,0),0)),"#,##0")&amp;")",""))</f>
        <v/>
      </c>
      <c r="AF557" s="60">
        <f t="array" ref="AF557">IF(X557="","",IF(AE557&lt;&gt;"",MAX(X557,AVERAGE(INDEX(Ventas!$C$2:$I$5000,MATCH($A557,Ventas!$A$2:$A$5000,0),0))),X557))</f>
        <v>0</v>
      </c>
      <c r="AG557" s="60">
        <f t="shared" si="8"/>
        <v>-40</v>
      </c>
      <c r="AH557" s="63" t="str">
        <f t="shared" si="9"/>
        <v>SIN VENTAS</v>
      </c>
    </row>
    <row r="558" ht="13.5" customHeight="1">
      <c r="A558" s="64" t="s">
        <v>2671</v>
      </c>
      <c r="B558" s="65" t="s">
        <v>3910</v>
      </c>
      <c r="C558" s="65" t="s">
        <v>3916</v>
      </c>
      <c r="D558" s="65" t="s">
        <v>3734</v>
      </c>
      <c r="E558" s="51">
        <v>20.0</v>
      </c>
      <c r="F558" s="66"/>
      <c r="G558" s="53"/>
      <c r="H558" s="55"/>
      <c r="I558" s="55"/>
      <c r="J558" s="53"/>
      <c r="K558" s="53"/>
      <c r="L558" s="55"/>
      <c r="M558" s="53"/>
      <c r="N558" s="73"/>
      <c r="O558" s="57" t="str">
        <f t="shared" si="1"/>
        <v>SIN VENTAS Jun-Sep — no comprar (20 m disponibles)</v>
      </c>
      <c r="P558" s="58">
        <f t="shared" si="2"/>
        <v>20</v>
      </c>
      <c r="Q558" s="1"/>
      <c r="R558" s="1"/>
      <c r="S558" s="1"/>
      <c r="T558" s="1"/>
      <c r="U558" s="1"/>
      <c r="V558" s="1"/>
      <c r="W558" s="1"/>
      <c r="X558" s="60">
        <f>IFERROR(VLOOKUP($A558,Ventas!$A$2:$L$5000,12,FALSE()),"")</f>
        <v>0</v>
      </c>
      <c r="Y558" s="60">
        <f t="shared" si="3"/>
        <v>0</v>
      </c>
      <c r="Z558" s="61" t="str">
        <f t="shared" si="4"/>
        <v/>
      </c>
      <c r="AA558" s="60">
        <f t="shared" si="5"/>
        <v>-20</v>
      </c>
      <c r="AB558" s="62" t="str">
        <f t="shared" si="6"/>
        <v/>
      </c>
      <c r="AC558" s="62" t="str">
        <f t="array" ref="AC558">IF(AH558&lt;&gt;"COMPRAR","",IF(MAX(INDEX(Ventas!$G$2:$G$5000,MATCH($A558,Ventas!$A$2:$A$5000,0)),INDEX(Ventas!$H$2:$H$5000,MATCH($A558,Ventas!$A$2:$A$5000,0)),INDEX(Ventas!$I$2:$I$5000,MATCH($A558,Ventas!$A$2:$A$5000,0)),INDEX(Ventas!$J$2:$J$5000,MATCH($A558,Ventas!$A$2:$A$5000,0)))&gt;0.5*AF558*4,"1 mes = "&amp;TEXT(MAX(INDEX(Ventas!$G$2:$G$5000,MATCH($A558,Ventas!$A$2:$A$5000,0)),INDEX(Ventas!$H$2:$H$5000,MATCH($A558,Ventas!$A$2:$A$5000,0)),INDEX(Ventas!$I$2:$I$5000,MATCH($A558,Ventas!$A$2:$A$5000,0)),INDEX(Ventas!$J$2:$J$5000,MATCH($A558,Ventas!$A$2:$A$5000,0)))/(AF558*4),"0%")&amp;" de 4 meses",""))</f>
        <v/>
      </c>
      <c r="AD558" s="62" t="str">
        <f t="shared" si="7"/>
        <v/>
      </c>
      <c r="AE558" s="62" t="str">
        <f t="array" ref="AE558">IF(X558="","",IF(AND(E558=0,AVERAGE(INDEX(Ventas!$C$2:$I$5000,MATCH($A558,Ventas!$A$2:$A$5000,0),0))&gt;0,INDEX(Ventas!$J$2:$J$5000,MATCH($A558,Ventas!$A$2:$A$5000,0))&lt;0.5*AVERAGE(INDEX(Ventas!$C$2:$I$5000,MATCH($A558,Ventas!$A$2:$A$5000,0),0))),"SÍ — stock 0 y Sep cayó (prom Feb-Ago "&amp;TEXT(AVERAGE(INDEX(Ventas!$C$2:$I$5000,MATCH($A558,Ventas!$A$2:$A$5000,0),0)),"#,##0")&amp;")",""))</f>
        <v/>
      </c>
      <c r="AF558" s="60">
        <f t="array" ref="AF558">IF(X558="","",IF(AE558&lt;&gt;"",MAX(X558,AVERAGE(INDEX(Ventas!$C$2:$I$5000,MATCH($A558,Ventas!$A$2:$A$5000,0),0))),X558))</f>
        <v>0</v>
      </c>
      <c r="AG558" s="60">
        <f t="shared" si="8"/>
        <v>-20</v>
      </c>
      <c r="AH558" s="63" t="str">
        <f t="shared" si="9"/>
        <v>SIN VENTAS</v>
      </c>
    </row>
    <row r="559" ht="13.5" customHeight="1">
      <c r="A559" s="49" t="s">
        <v>2667</v>
      </c>
      <c r="B559" s="50" t="s">
        <v>3910</v>
      </c>
      <c r="C559" s="50" t="s">
        <v>3917</v>
      </c>
      <c r="D559" s="50" t="s">
        <v>3912</v>
      </c>
      <c r="E559" s="51">
        <v>20.0</v>
      </c>
      <c r="F559" s="52"/>
      <c r="G559" s="53"/>
      <c r="H559" s="55"/>
      <c r="I559" s="55"/>
      <c r="J559" s="53"/>
      <c r="K559" s="53"/>
      <c r="L559" s="55"/>
      <c r="M559" s="53"/>
      <c r="N559" s="74"/>
      <c r="O559" s="57" t="str">
        <f t="shared" si="1"/>
        <v>SIN VENTAS Jun-Sep — no comprar (20 m disponibles)</v>
      </c>
      <c r="P559" s="58">
        <f t="shared" si="2"/>
        <v>20</v>
      </c>
      <c r="Q559" s="1"/>
      <c r="R559" s="1"/>
      <c r="S559" s="1"/>
      <c r="T559" s="1"/>
      <c r="U559" s="1"/>
      <c r="V559" s="1"/>
      <c r="W559" s="1"/>
      <c r="X559" s="60">
        <f>IFERROR(VLOOKUP($A559,Ventas!$A$2:$L$5000,12,FALSE()),"")</f>
        <v>0</v>
      </c>
      <c r="Y559" s="60">
        <f t="shared" si="3"/>
        <v>0</v>
      </c>
      <c r="Z559" s="61" t="str">
        <f t="shared" si="4"/>
        <v/>
      </c>
      <c r="AA559" s="60">
        <f t="shared" si="5"/>
        <v>-20</v>
      </c>
      <c r="AB559" s="62" t="str">
        <f t="shared" si="6"/>
        <v/>
      </c>
      <c r="AC559" s="62" t="str">
        <f t="array" ref="AC559">IF(AH559&lt;&gt;"COMPRAR","",IF(MAX(INDEX(Ventas!$G$2:$G$5000,MATCH($A559,Ventas!$A$2:$A$5000,0)),INDEX(Ventas!$H$2:$H$5000,MATCH($A559,Ventas!$A$2:$A$5000,0)),INDEX(Ventas!$I$2:$I$5000,MATCH($A559,Ventas!$A$2:$A$5000,0)),INDEX(Ventas!$J$2:$J$5000,MATCH($A559,Ventas!$A$2:$A$5000,0)))&gt;0.5*AF559*4,"1 mes = "&amp;TEXT(MAX(INDEX(Ventas!$G$2:$G$5000,MATCH($A559,Ventas!$A$2:$A$5000,0)),INDEX(Ventas!$H$2:$H$5000,MATCH($A559,Ventas!$A$2:$A$5000,0)),INDEX(Ventas!$I$2:$I$5000,MATCH($A559,Ventas!$A$2:$A$5000,0)),INDEX(Ventas!$J$2:$J$5000,MATCH($A559,Ventas!$A$2:$A$5000,0)))/(AF559*4),"0%")&amp;" de 4 meses",""))</f>
        <v/>
      </c>
      <c r="AD559" s="62" t="str">
        <f t="shared" si="7"/>
        <v/>
      </c>
      <c r="AE559" s="62" t="str">
        <f t="array" ref="AE559">IF(X559="","",IF(AND(E559=0,AVERAGE(INDEX(Ventas!$C$2:$I$5000,MATCH($A559,Ventas!$A$2:$A$5000,0),0))&gt;0,INDEX(Ventas!$J$2:$J$5000,MATCH($A559,Ventas!$A$2:$A$5000,0))&lt;0.5*AVERAGE(INDEX(Ventas!$C$2:$I$5000,MATCH($A559,Ventas!$A$2:$A$5000,0),0))),"SÍ — stock 0 y Sep cayó (prom Feb-Ago "&amp;TEXT(AVERAGE(INDEX(Ventas!$C$2:$I$5000,MATCH($A559,Ventas!$A$2:$A$5000,0),0)),"#,##0")&amp;")",""))</f>
        <v/>
      </c>
      <c r="AF559" s="60">
        <f t="array" ref="AF559">IF(X559="","",IF(AE559&lt;&gt;"",MAX(X559,AVERAGE(INDEX(Ventas!$C$2:$I$5000,MATCH($A559,Ventas!$A$2:$A$5000,0),0))),X559))</f>
        <v>0</v>
      </c>
      <c r="AG559" s="60">
        <f t="shared" si="8"/>
        <v>-20</v>
      </c>
      <c r="AH559" s="63" t="str">
        <f t="shared" si="9"/>
        <v>SIN VENTAS</v>
      </c>
    </row>
    <row r="560" ht="13.5" customHeight="1">
      <c r="A560" s="64" t="s">
        <v>2669</v>
      </c>
      <c r="B560" s="65" t="s">
        <v>3910</v>
      </c>
      <c r="C560" s="65" t="s">
        <v>3917</v>
      </c>
      <c r="D560" s="65" t="s">
        <v>3915</v>
      </c>
      <c r="E560" s="51">
        <v>20.0</v>
      </c>
      <c r="F560" s="66"/>
      <c r="G560" s="53"/>
      <c r="H560" s="55"/>
      <c r="I560" s="55"/>
      <c r="J560" s="53"/>
      <c r="K560" s="53"/>
      <c r="L560" s="55"/>
      <c r="M560" s="53"/>
      <c r="N560" s="73"/>
      <c r="O560" s="57" t="str">
        <f t="shared" si="1"/>
        <v>SIN VENTAS Jun-Sep — no comprar (20 m disponibles)</v>
      </c>
      <c r="P560" s="58">
        <f t="shared" si="2"/>
        <v>20</v>
      </c>
      <c r="Q560" s="1"/>
      <c r="R560" s="1"/>
      <c r="S560" s="1"/>
      <c r="T560" s="1"/>
      <c r="U560" s="1"/>
      <c r="V560" s="1"/>
      <c r="W560" s="1"/>
      <c r="X560" s="60">
        <f>IFERROR(VLOOKUP($A560,Ventas!$A$2:$L$5000,12,FALSE()),"")</f>
        <v>0</v>
      </c>
      <c r="Y560" s="60">
        <f t="shared" si="3"/>
        <v>0</v>
      </c>
      <c r="Z560" s="61" t="str">
        <f t="shared" si="4"/>
        <v/>
      </c>
      <c r="AA560" s="60">
        <f t="shared" si="5"/>
        <v>-20</v>
      </c>
      <c r="AB560" s="62" t="str">
        <f t="shared" si="6"/>
        <v/>
      </c>
      <c r="AC560" s="62" t="str">
        <f t="array" ref="AC560">IF(AH560&lt;&gt;"COMPRAR","",IF(MAX(INDEX(Ventas!$G$2:$G$5000,MATCH($A560,Ventas!$A$2:$A$5000,0)),INDEX(Ventas!$H$2:$H$5000,MATCH($A560,Ventas!$A$2:$A$5000,0)),INDEX(Ventas!$I$2:$I$5000,MATCH($A560,Ventas!$A$2:$A$5000,0)),INDEX(Ventas!$J$2:$J$5000,MATCH($A560,Ventas!$A$2:$A$5000,0)))&gt;0.5*AF560*4,"1 mes = "&amp;TEXT(MAX(INDEX(Ventas!$G$2:$G$5000,MATCH($A560,Ventas!$A$2:$A$5000,0)),INDEX(Ventas!$H$2:$H$5000,MATCH($A560,Ventas!$A$2:$A$5000,0)),INDEX(Ventas!$I$2:$I$5000,MATCH($A560,Ventas!$A$2:$A$5000,0)),INDEX(Ventas!$J$2:$J$5000,MATCH($A560,Ventas!$A$2:$A$5000,0)))/(AF560*4),"0%")&amp;" de 4 meses",""))</f>
        <v/>
      </c>
      <c r="AD560" s="62" t="str">
        <f t="shared" si="7"/>
        <v/>
      </c>
      <c r="AE560" s="62" t="str">
        <f t="array" ref="AE560">IF(X560="","",IF(AND(E560=0,AVERAGE(INDEX(Ventas!$C$2:$I$5000,MATCH($A560,Ventas!$A$2:$A$5000,0),0))&gt;0,INDEX(Ventas!$J$2:$J$5000,MATCH($A560,Ventas!$A$2:$A$5000,0))&lt;0.5*AVERAGE(INDEX(Ventas!$C$2:$I$5000,MATCH($A560,Ventas!$A$2:$A$5000,0),0))),"SÍ — stock 0 y Sep cayó (prom Feb-Ago "&amp;TEXT(AVERAGE(INDEX(Ventas!$C$2:$I$5000,MATCH($A560,Ventas!$A$2:$A$5000,0),0)),"#,##0")&amp;")",""))</f>
        <v/>
      </c>
      <c r="AF560" s="60">
        <f t="array" ref="AF560">IF(X560="","",IF(AE560&lt;&gt;"",MAX(X560,AVERAGE(INDEX(Ventas!$C$2:$I$5000,MATCH($A560,Ventas!$A$2:$A$5000,0),0))),X560))</f>
        <v>0</v>
      </c>
      <c r="AG560" s="60">
        <f t="shared" si="8"/>
        <v>-20</v>
      </c>
      <c r="AH560" s="63" t="str">
        <f t="shared" si="9"/>
        <v>SIN VENTAS</v>
      </c>
    </row>
    <row r="561" ht="13.5" customHeight="1">
      <c r="A561" s="49" t="s">
        <v>2677</v>
      </c>
      <c r="B561" s="50" t="s">
        <v>3910</v>
      </c>
      <c r="C561" s="50" t="s">
        <v>3918</v>
      </c>
      <c r="D561" s="50" t="s">
        <v>3734</v>
      </c>
      <c r="E561" s="51">
        <v>20.0</v>
      </c>
      <c r="F561" s="52"/>
      <c r="G561" s="53"/>
      <c r="H561" s="55"/>
      <c r="I561" s="55"/>
      <c r="J561" s="53"/>
      <c r="K561" s="53"/>
      <c r="L561" s="55"/>
      <c r="M561" s="53"/>
      <c r="N561" s="74"/>
      <c r="O561" s="57" t="str">
        <f t="shared" si="1"/>
        <v>SIN VENTAS Jun-Sep — no comprar (20 m disponibles)</v>
      </c>
      <c r="P561" s="58">
        <f t="shared" si="2"/>
        <v>20</v>
      </c>
      <c r="Q561" s="1"/>
      <c r="R561" s="1"/>
      <c r="S561" s="1"/>
      <c r="T561" s="1"/>
      <c r="U561" s="1"/>
      <c r="V561" s="1"/>
      <c r="W561" s="1"/>
      <c r="X561" s="60">
        <f>IFERROR(VLOOKUP($A561,Ventas!$A$2:$L$5000,12,FALSE()),"")</f>
        <v>0</v>
      </c>
      <c r="Y561" s="60">
        <f t="shared" si="3"/>
        <v>0</v>
      </c>
      <c r="Z561" s="61" t="str">
        <f t="shared" si="4"/>
        <v/>
      </c>
      <c r="AA561" s="60">
        <f t="shared" si="5"/>
        <v>-20</v>
      </c>
      <c r="AB561" s="62" t="str">
        <f t="shared" si="6"/>
        <v/>
      </c>
      <c r="AC561" s="62" t="str">
        <f t="array" ref="AC561">IF(AH561&lt;&gt;"COMPRAR","",IF(MAX(INDEX(Ventas!$G$2:$G$5000,MATCH($A561,Ventas!$A$2:$A$5000,0)),INDEX(Ventas!$H$2:$H$5000,MATCH($A561,Ventas!$A$2:$A$5000,0)),INDEX(Ventas!$I$2:$I$5000,MATCH($A561,Ventas!$A$2:$A$5000,0)),INDEX(Ventas!$J$2:$J$5000,MATCH($A561,Ventas!$A$2:$A$5000,0)))&gt;0.5*AF561*4,"1 mes = "&amp;TEXT(MAX(INDEX(Ventas!$G$2:$G$5000,MATCH($A561,Ventas!$A$2:$A$5000,0)),INDEX(Ventas!$H$2:$H$5000,MATCH($A561,Ventas!$A$2:$A$5000,0)),INDEX(Ventas!$I$2:$I$5000,MATCH($A561,Ventas!$A$2:$A$5000,0)),INDEX(Ventas!$J$2:$J$5000,MATCH($A561,Ventas!$A$2:$A$5000,0)))/(AF561*4),"0%")&amp;" de 4 meses",""))</f>
        <v/>
      </c>
      <c r="AD561" s="62" t="str">
        <f t="shared" si="7"/>
        <v/>
      </c>
      <c r="AE561" s="62" t="str">
        <f t="array" ref="AE561">IF(X561="","",IF(AND(E561=0,AVERAGE(INDEX(Ventas!$C$2:$I$5000,MATCH($A561,Ventas!$A$2:$A$5000,0),0))&gt;0,INDEX(Ventas!$J$2:$J$5000,MATCH($A561,Ventas!$A$2:$A$5000,0))&lt;0.5*AVERAGE(INDEX(Ventas!$C$2:$I$5000,MATCH($A561,Ventas!$A$2:$A$5000,0),0))),"SÍ — stock 0 y Sep cayó (prom Feb-Ago "&amp;TEXT(AVERAGE(INDEX(Ventas!$C$2:$I$5000,MATCH($A561,Ventas!$A$2:$A$5000,0),0)),"#,##0")&amp;")",""))</f>
        <v/>
      </c>
      <c r="AF561" s="60">
        <f t="array" ref="AF561">IF(X561="","",IF(AE561&lt;&gt;"",MAX(X561,AVERAGE(INDEX(Ventas!$C$2:$I$5000,MATCH($A561,Ventas!$A$2:$A$5000,0),0))),X561))</f>
        <v>0</v>
      </c>
      <c r="AG561" s="60">
        <f t="shared" si="8"/>
        <v>-20</v>
      </c>
      <c r="AH561" s="63" t="str">
        <f t="shared" si="9"/>
        <v>SIN VENTAS</v>
      </c>
    </row>
    <row r="562" ht="13.5" customHeight="1">
      <c r="A562" s="64" t="s">
        <v>3047</v>
      </c>
      <c r="B562" s="65" t="s">
        <v>3919</v>
      </c>
      <c r="C562" s="65" t="s">
        <v>3920</v>
      </c>
      <c r="D562" s="65" t="s">
        <v>3921</v>
      </c>
      <c r="E562" s="51">
        <v>3000.0</v>
      </c>
      <c r="F562" s="66"/>
      <c r="G562" s="53"/>
      <c r="H562" s="55"/>
      <c r="I562" s="55"/>
      <c r="J562" s="53"/>
      <c r="K562" s="53"/>
      <c r="L562" s="55"/>
      <c r="M562" s="53"/>
      <c r="N562" s="73"/>
      <c r="O562" s="57" t="str">
        <f t="shared" si="1"/>
        <v>SIN VENTAS Jun-Sep — no comprar (3,000 m disponibles)</v>
      </c>
      <c r="P562" s="58">
        <f t="shared" si="2"/>
        <v>3000</v>
      </c>
      <c r="Q562" s="1"/>
      <c r="R562" s="1"/>
      <c r="S562" s="1"/>
      <c r="T562" s="1"/>
      <c r="U562" s="1"/>
      <c r="V562" s="1"/>
      <c r="W562" s="1"/>
      <c r="X562" s="60">
        <f>IFERROR(VLOOKUP($A562,Ventas!$A$2:$L$5000,12,FALSE()),"")</f>
        <v>0</v>
      </c>
      <c r="Y562" s="60">
        <f t="shared" si="3"/>
        <v>0</v>
      </c>
      <c r="Z562" s="61" t="str">
        <f t="shared" si="4"/>
        <v/>
      </c>
      <c r="AA562" s="60">
        <f t="shared" si="5"/>
        <v>-3000</v>
      </c>
      <c r="AB562" s="62" t="str">
        <f t="shared" si="6"/>
        <v/>
      </c>
      <c r="AC562" s="62" t="str">
        <f t="array" ref="AC562">IF(AH562&lt;&gt;"COMPRAR","",IF(MAX(INDEX(Ventas!$G$2:$G$5000,MATCH($A562,Ventas!$A$2:$A$5000,0)),INDEX(Ventas!$H$2:$H$5000,MATCH($A562,Ventas!$A$2:$A$5000,0)),INDEX(Ventas!$I$2:$I$5000,MATCH($A562,Ventas!$A$2:$A$5000,0)),INDEX(Ventas!$J$2:$J$5000,MATCH($A562,Ventas!$A$2:$A$5000,0)))&gt;0.5*AF562*4,"1 mes = "&amp;TEXT(MAX(INDEX(Ventas!$G$2:$G$5000,MATCH($A562,Ventas!$A$2:$A$5000,0)),INDEX(Ventas!$H$2:$H$5000,MATCH($A562,Ventas!$A$2:$A$5000,0)),INDEX(Ventas!$I$2:$I$5000,MATCH($A562,Ventas!$A$2:$A$5000,0)),INDEX(Ventas!$J$2:$J$5000,MATCH($A562,Ventas!$A$2:$A$5000,0)))/(AF562*4),"0%")&amp;" de 4 meses",""))</f>
        <v/>
      </c>
      <c r="AD562" s="62" t="str">
        <f t="shared" si="7"/>
        <v/>
      </c>
      <c r="AE562" s="62" t="str">
        <f t="array" ref="AE562">IF(X562="","",IF(AND(E562=0,AVERAGE(INDEX(Ventas!$C$2:$I$5000,MATCH($A562,Ventas!$A$2:$A$5000,0),0))&gt;0,INDEX(Ventas!$J$2:$J$5000,MATCH($A562,Ventas!$A$2:$A$5000,0))&lt;0.5*AVERAGE(INDEX(Ventas!$C$2:$I$5000,MATCH($A562,Ventas!$A$2:$A$5000,0),0))),"SÍ — stock 0 y Sep cayó (prom Feb-Ago "&amp;TEXT(AVERAGE(INDEX(Ventas!$C$2:$I$5000,MATCH($A562,Ventas!$A$2:$A$5000,0),0)),"#,##0")&amp;")",""))</f>
        <v/>
      </c>
      <c r="AF562" s="60">
        <f t="array" ref="AF562">IF(X562="","",IF(AE562&lt;&gt;"",MAX(X562,AVERAGE(INDEX(Ventas!$C$2:$I$5000,MATCH($A562,Ventas!$A$2:$A$5000,0),0))),X562))</f>
        <v>0</v>
      </c>
      <c r="AG562" s="60">
        <f t="shared" si="8"/>
        <v>-3000</v>
      </c>
      <c r="AH562" s="63" t="str">
        <f t="shared" si="9"/>
        <v>SIN VENTAS</v>
      </c>
    </row>
    <row r="563" ht="13.5" customHeight="1">
      <c r="A563" s="49" t="s">
        <v>3051</v>
      </c>
      <c r="B563" s="50" t="s">
        <v>3919</v>
      </c>
      <c r="C563" s="50" t="s">
        <v>3052</v>
      </c>
      <c r="D563" s="50" t="s">
        <v>3922</v>
      </c>
      <c r="E563" s="51">
        <v>2000.0</v>
      </c>
      <c r="F563" s="52"/>
      <c r="G563" s="53"/>
      <c r="H563" s="55"/>
      <c r="I563" s="55"/>
      <c r="J563" s="53"/>
      <c r="K563" s="53"/>
      <c r="L563" s="55"/>
      <c r="M563" s="53"/>
      <c r="N563" s="74"/>
      <c r="O563" s="57" t="str">
        <f t="shared" si="1"/>
        <v>SIN VENTAS Jun-Sep — no comprar (2,000 m disponibles)</v>
      </c>
      <c r="P563" s="58">
        <f t="shared" si="2"/>
        <v>2000</v>
      </c>
      <c r="Q563" s="1"/>
      <c r="R563" s="1"/>
      <c r="S563" s="1"/>
      <c r="T563" s="1"/>
      <c r="U563" s="1"/>
      <c r="V563" s="1"/>
      <c r="W563" s="1"/>
      <c r="X563" s="60">
        <f>IFERROR(VLOOKUP($A563,Ventas!$A$2:$L$5000,12,FALSE()),"")</f>
        <v>0</v>
      </c>
      <c r="Y563" s="60">
        <f t="shared" si="3"/>
        <v>0</v>
      </c>
      <c r="Z563" s="61" t="str">
        <f t="shared" si="4"/>
        <v/>
      </c>
      <c r="AA563" s="60">
        <f t="shared" si="5"/>
        <v>-2000</v>
      </c>
      <c r="AB563" s="62" t="str">
        <f t="shared" si="6"/>
        <v/>
      </c>
      <c r="AC563" s="62" t="str">
        <f t="array" ref="AC563">IF(AH563&lt;&gt;"COMPRAR","",IF(MAX(INDEX(Ventas!$G$2:$G$5000,MATCH($A563,Ventas!$A$2:$A$5000,0)),INDEX(Ventas!$H$2:$H$5000,MATCH($A563,Ventas!$A$2:$A$5000,0)),INDEX(Ventas!$I$2:$I$5000,MATCH($A563,Ventas!$A$2:$A$5000,0)),INDEX(Ventas!$J$2:$J$5000,MATCH($A563,Ventas!$A$2:$A$5000,0)))&gt;0.5*AF563*4,"1 mes = "&amp;TEXT(MAX(INDEX(Ventas!$G$2:$G$5000,MATCH($A563,Ventas!$A$2:$A$5000,0)),INDEX(Ventas!$H$2:$H$5000,MATCH($A563,Ventas!$A$2:$A$5000,0)),INDEX(Ventas!$I$2:$I$5000,MATCH($A563,Ventas!$A$2:$A$5000,0)),INDEX(Ventas!$J$2:$J$5000,MATCH($A563,Ventas!$A$2:$A$5000,0)))/(AF563*4),"0%")&amp;" de 4 meses",""))</f>
        <v/>
      </c>
      <c r="AD563" s="62" t="str">
        <f t="shared" si="7"/>
        <v/>
      </c>
      <c r="AE563" s="62" t="str">
        <f t="array" ref="AE563">IF(X563="","",IF(AND(E563=0,AVERAGE(INDEX(Ventas!$C$2:$I$5000,MATCH($A563,Ventas!$A$2:$A$5000,0),0))&gt;0,INDEX(Ventas!$J$2:$J$5000,MATCH($A563,Ventas!$A$2:$A$5000,0))&lt;0.5*AVERAGE(INDEX(Ventas!$C$2:$I$5000,MATCH($A563,Ventas!$A$2:$A$5000,0),0))),"SÍ — stock 0 y Sep cayó (prom Feb-Ago "&amp;TEXT(AVERAGE(INDEX(Ventas!$C$2:$I$5000,MATCH($A563,Ventas!$A$2:$A$5000,0),0)),"#,##0")&amp;")",""))</f>
        <v/>
      </c>
      <c r="AF563" s="60">
        <f t="array" ref="AF563">IF(X563="","",IF(AE563&lt;&gt;"",MAX(X563,AVERAGE(INDEX(Ventas!$C$2:$I$5000,MATCH($A563,Ventas!$A$2:$A$5000,0),0))),X563))</f>
        <v>0</v>
      </c>
      <c r="AG563" s="60">
        <f t="shared" si="8"/>
        <v>-2000</v>
      </c>
      <c r="AH563" s="63" t="str">
        <f t="shared" si="9"/>
        <v>SIN VENTAS</v>
      </c>
    </row>
    <row r="564" ht="13.5" customHeight="1">
      <c r="A564" s="64" t="s">
        <v>1324</v>
      </c>
      <c r="B564" s="65" t="s">
        <v>3919</v>
      </c>
      <c r="C564" s="65" t="s">
        <v>1325</v>
      </c>
      <c r="D564" s="65" t="s">
        <v>3923</v>
      </c>
      <c r="E564" s="51">
        <v>1000.0</v>
      </c>
      <c r="F564" s="66"/>
      <c r="G564" s="53"/>
      <c r="H564" s="55"/>
      <c r="I564" s="55"/>
      <c r="J564" s="53"/>
      <c r="K564" s="53"/>
      <c r="L564" s="55"/>
      <c r="M564" s="53"/>
      <c r="N564" s="73"/>
      <c r="O564" s="57" t="str">
        <f t="shared" si="1"/>
        <v>SIN VENTAS Jun-Sep — no comprar (1,000 m disponibles)</v>
      </c>
      <c r="P564" s="58">
        <f t="shared" si="2"/>
        <v>1000</v>
      </c>
      <c r="Q564" s="1"/>
      <c r="R564" s="1"/>
      <c r="S564" s="1"/>
      <c r="T564" s="1"/>
      <c r="U564" s="1"/>
      <c r="V564" s="1"/>
      <c r="W564" s="1"/>
      <c r="X564" s="60">
        <f>IFERROR(VLOOKUP($A564,Ventas!$A$2:$L$5000,12,FALSE()),"")</f>
        <v>0</v>
      </c>
      <c r="Y564" s="60">
        <f t="shared" si="3"/>
        <v>0</v>
      </c>
      <c r="Z564" s="61" t="str">
        <f t="shared" si="4"/>
        <v/>
      </c>
      <c r="AA564" s="60">
        <f t="shared" si="5"/>
        <v>-1000</v>
      </c>
      <c r="AB564" s="62" t="str">
        <f t="shared" si="6"/>
        <v/>
      </c>
      <c r="AC564" s="62" t="str">
        <f t="array" ref="AC564">IF(AH564&lt;&gt;"COMPRAR","",IF(MAX(INDEX(Ventas!$G$2:$G$5000,MATCH($A564,Ventas!$A$2:$A$5000,0)),INDEX(Ventas!$H$2:$H$5000,MATCH($A564,Ventas!$A$2:$A$5000,0)),INDEX(Ventas!$I$2:$I$5000,MATCH($A564,Ventas!$A$2:$A$5000,0)),INDEX(Ventas!$J$2:$J$5000,MATCH($A564,Ventas!$A$2:$A$5000,0)))&gt;0.5*AF564*4,"1 mes = "&amp;TEXT(MAX(INDEX(Ventas!$G$2:$G$5000,MATCH($A564,Ventas!$A$2:$A$5000,0)),INDEX(Ventas!$H$2:$H$5000,MATCH($A564,Ventas!$A$2:$A$5000,0)),INDEX(Ventas!$I$2:$I$5000,MATCH($A564,Ventas!$A$2:$A$5000,0)),INDEX(Ventas!$J$2:$J$5000,MATCH($A564,Ventas!$A$2:$A$5000,0)))/(AF564*4),"0%")&amp;" de 4 meses",""))</f>
        <v/>
      </c>
      <c r="AD564" s="62" t="str">
        <f t="shared" si="7"/>
        <v/>
      </c>
      <c r="AE564" s="62" t="str">
        <f t="array" ref="AE564">IF(X564="","",IF(AND(E564=0,AVERAGE(INDEX(Ventas!$C$2:$I$5000,MATCH($A564,Ventas!$A$2:$A$5000,0),0))&gt;0,INDEX(Ventas!$J$2:$J$5000,MATCH($A564,Ventas!$A$2:$A$5000,0))&lt;0.5*AVERAGE(INDEX(Ventas!$C$2:$I$5000,MATCH($A564,Ventas!$A$2:$A$5000,0),0))),"SÍ — stock 0 y Sep cayó (prom Feb-Ago "&amp;TEXT(AVERAGE(INDEX(Ventas!$C$2:$I$5000,MATCH($A564,Ventas!$A$2:$A$5000,0),0)),"#,##0")&amp;")",""))</f>
        <v/>
      </c>
      <c r="AF564" s="60">
        <f t="array" ref="AF564">IF(X564="","",IF(AE564&lt;&gt;"",MAX(X564,AVERAGE(INDEX(Ventas!$C$2:$I$5000,MATCH($A564,Ventas!$A$2:$A$5000,0),0))),X564))</f>
        <v>0</v>
      </c>
      <c r="AG564" s="60">
        <f t="shared" si="8"/>
        <v>-1000</v>
      </c>
      <c r="AH564" s="63" t="str">
        <f t="shared" si="9"/>
        <v>SIN VENTAS</v>
      </c>
    </row>
    <row r="565" ht="13.5" customHeight="1">
      <c r="A565" s="49" t="s">
        <v>3582</v>
      </c>
      <c r="B565" s="50"/>
      <c r="C565" s="50" t="s">
        <v>3924</v>
      </c>
      <c r="D565" s="50" t="s">
        <v>1329</v>
      </c>
      <c r="E565" s="51">
        <v>0.0</v>
      </c>
      <c r="F565" s="52"/>
      <c r="G565" s="53"/>
      <c r="H565" s="55"/>
      <c r="I565" s="55"/>
      <c r="J565" s="53"/>
      <c r="K565" s="53"/>
      <c r="L565" s="55"/>
      <c r="M565" s="53"/>
      <c r="N565" s="74"/>
      <c r="O565" s="57" t="str">
        <f t="shared" si="1"/>
        <v>SIN VENTAS Jun-Sep — no comprar</v>
      </c>
      <c r="P565" s="58">
        <f t="shared" si="2"/>
        <v>0</v>
      </c>
      <c r="Q565" s="1"/>
      <c r="R565" s="1"/>
      <c r="S565" s="1"/>
      <c r="T565" s="1"/>
      <c r="U565" s="1"/>
      <c r="V565" s="1"/>
      <c r="W565" s="1"/>
      <c r="X565" s="60">
        <f>IFERROR(VLOOKUP($A565,Ventas!$A$2:$L$5000,12,FALSE()),"")</f>
        <v>0</v>
      </c>
      <c r="Y565" s="60">
        <f t="shared" si="3"/>
        <v>0</v>
      </c>
      <c r="Z565" s="61" t="str">
        <f t="shared" si="4"/>
        <v/>
      </c>
      <c r="AA565" s="60">
        <f t="shared" si="5"/>
        <v>0</v>
      </c>
      <c r="AB565" s="62" t="str">
        <f t="shared" si="6"/>
        <v/>
      </c>
      <c r="AC565" s="62" t="str">
        <f t="array" ref="AC565">IF(AH565&lt;&gt;"COMPRAR","",IF(MAX(INDEX(Ventas!$G$2:$G$5000,MATCH($A565,Ventas!$A$2:$A$5000,0)),INDEX(Ventas!$H$2:$H$5000,MATCH($A565,Ventas!$A$2:$A$5000,0)),INDEX(Ventas!$I$2:$I$5000,MATCH($A565,Ventas!$A$2:$A$5000,0)),INDEX(Ventas!$J$2:$J$5000,MATCH($A565,Ventas!$A$2:$A$5000,0)))&gt;0.5*AF565*4,"1 mes = "&amp;TEXT(MAX(INDEX(Ventas!$G$2:$G$5000,MATCH($A565,Ventas!$A$2:$A$5000,0)),INDEX(Ventas!$H$2:$H$5000,MATCH($A565,Ventas!$A$2:$A$5000,0)),INDEX(Ventas!$I$2:$I$5000,MATCH($A565,Ventas!$A$2:$A$5000,0)),INDEX(Ventas!$J$2:$J$5000,MATCH($A565,Ventas!$A$2:$A$5000,0)))/(AF565*4),"0%")&amp;" de 4 meses",""))</f>
        <v/>
      </c>
      <c r="AD565" s="62" t="str">
        <f t="shared" si="7"/>
        <v/>
      </c>
      <c r="AE565" s="62" t="str">
        <f t="array" ref="AE565">IF(X565="","",IF(AND(E565=0,AVERAGE(INDEX(Ventas!$C$2:$I$5000,MATCH($A565,Ventas!$A$2:$A$5000,0),0))&gt;0,INDEX(Ventas!$J$2:$J$5000,MATCH($A565,Ventas!$A$2:$A$5000,0))&lt;0.5*AVERAGE(INDEX(Ventas!$C$2:$I$5000,MATCH($A565,Ventas!$A$2:$A$5000,0),0))),"SÍ — stock 0 y Sep cayó (prom Feb-Ago "&amp;TEXT(AVERAGE(INDEX(Ventas!$C$2:$I$5000,MATCH($A565,Ventas!$A$2:$A$5000,0),0)),"#,##0")&amp;")",""))</f>
        <v/>
      </c>
      <c r="AF565" s="60">
        <f t="array" ref="AF565">IF(X565="","",IF(AE565&lt;&gt;"",MAX(X565,AVERAGE(INDEX(Ventas!$C$2:$I$5000,MATCH($A565,Ventas!$A$2:$A$5000,0),0))),X565))</f>
        <v>0</v>
      </c>
      <c r="AG565" s="60">
        <f t="shared" si="8"/>
        <v>0</v>
      </c>
      <c r="AH565" s="63" t="str">
        <f t="shared" si="9"/>
        <v>SIN VENTAS</v>
      </c>
    </row>
    <row r="566" ht="13.5" customHeight="1">
      <c r="A566" s="64" t="s">
        <v>3580</v>
      </c>
      <c r="B566" s="65"/>
      <c r="C566" s="65" t="s">
        <v>3924</v>
      </c>
      <c r="D566" s="65" t="s">
        <v>336</v>
      </c>
      <c r="E566" s="51">
        <v>0.0</v>
      </c>
      <c r="F566" s="66"/>
      <c r="G566" s="53"/>
      <c r="H566" s="55"/>
      <c r="I566" s="55"/>
      <c r="J566" s="53"/>
      <c r="K566" s="53"/>
      <c r="L566" s="55"/>
      <c r="M566" s="53"/>
      <c r="N566" s="73"/>
      <c r="O566" s="57" t="str">
        <f t="shared" si="1"/>
        <v>SIN VENTAS Jun-Sep — no comprar</v>
      </c>
      <c r="P566" s="58">
        <f t="shared" si="2"/>
        <v>0</v>
      </c>
      <c r="Q566" s="1"/>
      <c r="R566" s="1"/>
      <c r="S566" s="1"/>
      <c r="T566" s="1"/>
      <c r="U566" s="1"/>
      <c r="V566" s="1"/>
      <c r="W566" s="1"/>
      <c r="X566" s="60">
        <f>IFERROR(VLOOKUP($A566,Ventas!$A$2:$L$5000,12,FALSE()),"")</f>
        <v>0</v>
      </c>
      <c r="Y566" s="60">
        <f t="shared" si="3"/>
        <v>0</v>
      </c>
      <c r="Z566" s="61" t="str">
        <f t="shared" si="4"/>
        <v/>
      </c>
      <c r="AA566" s="60">
        <f t="shared" si="5"/>
        <v>0</v>
      </c>
      <c r="AB566" s="62" t="str">
        <f t="shared" si="6"/>
        <v/>
      </c>
      <c r="AC566" s="62" t="str">
        <f t="array" ref="AC566">IF(AH566&lt;&gt;"COMPRAR","",IF(MAX(INDEX(Ventas!$G$2:$G$5000,MATCH($A566,Ventas!$A$2:$A$5000,0)),INDEX(Ventas!$H$2:$H$5000,MATCH($A566,Ventas!$A$2:$A$5000,0)),INDEX(Ventas!$I$2:$I$5000,MATCH($A566,Ventas!$A$2:$A$5000,0)),INDEX(Ventas!$J$2:$J$5000,MATCH($A566,Ventas!$A$2:$A$5000,0)))&gt;0.5*AF566*4,"1 mes = "&amp;TEXT(MAX(INDEX(Ventas!$G$2:$G$5000,MATCH($A566,Ventas!$A$2:$A$5000,0)),INDEX(Ventas!$H$2:$H$5000,MATCH($A566,Ventas!$A$2:$A$5000,0)),INDEX(Ventas!$I$2:$I$5000,MATCH($A566,Ventas!$A$2:$A$5000,0)),INDEX(Ventas!$J$2:$J$5000,MATCH($A566,Ventas!$A$2:$A$5000,0)))/(AF566*4),"0%")&amp;" de 4 meses",""))</f>
        <v/>
      </c>
      <c r="AD566" s="62" t="str">
        <f t="shared" si="7"/>
        <v/>
      </c>
      <c r="AE566" s="62" t="str">
        <f t="array" ref="AE566">IF(X566="","",IF(AND(E566=0,AVERAGE(INDEX(Ventas!$C$2:$I$5000,MATCH($A566,Ventas!$A$2:$A$5000,0),0))&gt;0,INDEX(Ventas!$J$2:$J$5000,MATCH($A566,Ventas!$A$2:$A$5000,0))&lt;0.5*AVERAGE(INDEX(Ventas!$C$2:$I$5000,MATCH($A566,Ventas!$A$2:$A$5000,0),0))),"SÍ — stock 0 y Sep cayó (prom Feb-Ago "&amp;TEXT(AVERAGE(INDEX(Ventas!$C$2:$I$5000,MATCH($A566,Ventas!$A$2:$A$5000,0),0)),"#,##0")&amp;")",""))</f>
        <v>SÍ — stock 0 y Sep cayó (prom Feb-Ago 49)</v>
      </c>
      <c r="AF566" s="60">
        <f t="array" ref="AF566">IF(X566="","",IF(AE566&lt;&gt;"",MAX(X566,AVERAGE(INDEX(Ventas!$C$2:$I$5000,MATCH($A566,Ventas!$A$2:$A$5000,0),0))),X566))</f>
        <v>48.85714286</v>
      </c>
      <c r="AG566" s="60">
        <f t="shared" si="8"/>
        <v>195</v>
      </c>
      <c r="AH566" s="63" t="str">
        <f t="shared" si="9"/>
        <v>COMPRAR</v>
      </c>
    </row>
    <row r="567" ht="13.5" customHeight="1">
      <c r="A567" s="49" t="s">
        <v>3220</v>
      </c>
      <c r="B567" s="50" t="s">
        <v>3925</v>
      </c>
      <c r="C567" s="50" t="s">
        <v>3926</v>
      </c>
      <c r="D567" s="50" t="s">
        <v>1329</v>
      </c>
      <c r="E567" s="51">
        <v>2750.0</v>
      </c>
      <c r="F567" s="52"/>
      <c r="G567" s="53">
        <v>4000.0</v>
      </c>
      <c r="H567" s="55"/>
      <c r="I567" s="55"/>
      <c r="J567" s="53"/>
      <c r="K567" s="53"/>
      <c r="L567" s="55"/>
      <c r="M567" s="53"/>
      <c r="N567" s="74"/>
      <c r="O567" s="57" t="str">
        <f t="shared" si="1"/>
        <v>SOBRESTOCK — 20.4 meses de cobertura</v>
      </c>
      <c r="P567" s="58">
        <f t="shared" si="2"/>
        <v>6750</v>
      </c>
      <c r="Q567" s="1"/>
      <c r="R567" s="1"/>
      <c r="S567" s="1"/>
      <c r="T567" s="1"/>
      <c r="U567" s="1"/>
      <c r="V567" s="1"/>
      <c r="W567" s="1"/>
      <c r="X567" s="60">
        <f>IFERROR(VLOOKUP($A567,Ventas!$A$2:$L$5000,12,FALSE()),"")</f>
        <v>331.375</v>
      </c>
      <c r="Y567" s="60">
        <f t="shared" si="3"/>
        <v>1326</v>
      </c>
      <c r="Z567" s="61">
        <f t="shared" si="4"/>
        <v>20.4</v>
      </c>
      <c r="AA567" s="60">
        <f t="shared" si="5"/>
        <v>-5424</v>
      </c>
      <c r="AB567" s="62" t="str">
        <f t="shared" si="6"/>
        <v/>
      </c>
      <c r="AC567" s="62" t="str">
        <f t="array" ref="AC567">IF(AH567&lt;&gt;"COMPRAR","",IF(MAX(INDEX(Ventas!$G$2:$G$5000,MATCH($A567,Ventas!$A$2:$A$5000,0)),INDEX(Ventas!$H$2:$H$5000,MATCH($A567,Ventas!$A$2:$A$5000,0)),INDEX(Ventas!$I$2:$I$5000,MATCH($A567,Ventas!$A$2:$A$5000,0)),INDEX(Ventas!$J$2:$J$5000,MATCH($A567,Ventas!$A$2:$A$5000,0)))&gt;0.5*AF567*4,"1 mes = "&amp;TEXT(MAX(INDEX(Ventas!$G$2:$G$5000,MATCH($A567,Ventas!$A$2:$A$5000,0)),INDEX(Ventas!$H$2:$H$5000,MATCH($A567,Ventas!$A$2:$A$5000,0)),INDEX(Ventas!$I$2:$I$5000,MATCH($A567,Ventas!$A$2:$A$5000,0)),INDEX(Ventas!$J$2:$J$5000,MATCH($A567,Ventas!$A$2:$A$5000,0)))/(AF567*4),"0%")&amp;" de 4 meses",""))</f>
        <v/>
      </c>
      <c r="AD567" s="62" t="str">
        <f t="shared" si="7"/>
        <v/>
      </c>
      <c r="AE567" s="62" t="str">
        <f t="array" ref="AE567">IF(X567="","",IF(AND(E567=0,AVERAGE(INDEX(Ventas!$C$2:$I$5000,MATCH($A567,Ventas!$A$2:$A$5000,0),0))&gt;0,INDEX(Ventas!$J$2:$J$5000,MATCH($A567,Ventas!$A$2:$A$5000,0))&lt;0.5*AVERAGE(INDEX(Ventas!$C$2:$I$5000,MATCH($A567,Ventas!$A$2:$A$5000,0),0))),"SÍ — stock 0 y Sep cayó (prom Feb-Ago "&amp;TEXT(AVERAGE(INDEX(Ventas!$C$2:$I$5000,MATCH($A567,Ventas!$A$2:$A$5000,0),0)),"#,##0")&amp;")",""))</f>
        <v/>
      </c>
      <c r="AF567" s="60">
        <f t="array" ref="AF567">IF(X567="","",IF(AE567&lt;&gt;"",MAX(X567,AVERAGE(INDEX(Ventas!$C$2:$I$5000,MATCH($A567,Ventas!$A$2:$A$5000,0),0))),X567))</f>
        <v>331.375</v>
      </c>
      <c r="AG567" s="60">
        <f t="shared" si="8"/>
        <v>-5424</v>
      </c>
      <c r="AH567" s="63" t="str">
        <f t="shared" si="9"/>
        <v>SOBRESTOCK</v>
      </c>
    </row>
    <row r="568" ht="13.5" customHeight="1">
      <c r="A568" s="64" t="s">
        <v>3222</v>
      </c>
      <c r="B568" s="65" t="s">
        <v>3925</v>
      </c>
      <c r="C568" s="65" t="s">
        <v>3926</v>
      </c>
      <c r="D568" s="65" t="s">
        <v>3756</v>
      </c>
      <c r="E568" s="51">
        <v>800.0</v>
      </c>
      <c r="F568" s="66"/>
      <c r="G568" s="53">
        <v>2000.0</v>
      </c>
      <c r="H568" s="55"/>
      <c r="I568" s="55"/>
      <c r="J568" s="53"/>
      <c r="K568" s="53"/>
      <c r="L568" s="55"/>
      <c r="M568" s="53"/>
      <c r="N568" s="73"/>
      <c r="O568" s="57" t="str">
        <f t="shared" si="1"/>
        <v>SOBRESTOCK — 8.5 meses de cobertura</v>
      </c>
      <c r="P568" s="58">
        <f t="shared" si="2"/>
        <v>2800</v>
      </c>
      <c r="Q568" s="1"/>
      <c r="R568" s="1"/>
      <c r="S568" s="1"/>
      <c r="T568" s="1"/>
      <c r="U568" s="1"/>
      <c r="V568" s="1"/>
      <c r="W568" s="1"/>
      <c r="X568" s="60">
        <f>IFERROR(VLOOKUP($A568,Ventas!$A$2:$L$5000,12,FALSE()),"")</f>
        <v>329</v>
      </c>
      <c r="Y568" s="60">
        <f t="shared" si="3"/>
        <v>1316</v>
      </c>
      <c r="Z568" s="61">
        <f t="shared" si="4"/>
        <v>8.5</v>
      </c>
      <c r="AA568" s="60">
        <f t="shared" si="5"/>
        <v>-1484</v>
      </c>
      <c r="AB568" s="62" t="str">
        <f t="shared" si="6"/>
        <v/>
      </c>
      <c r="AC568" s="62" t="str">
        <f t="array" ref="AC568">IF(AH568&lt;&gt;"COMPRAR","",IF(MAX(INDEX(Ventas!$G$2:$G$5000,MATCH($A568,Ventas!$A$2:$A$5000,0)),INDEX(Ventas!$H$2:$H$5000,MATCH($A568,Ventas!$A$2:$A$5000,0)),INDEX(Ventas!$I$2:$I$5000,MATCH($A568,Ventas!$A$2:$A$5000,0)),INDEX(Ventas!$J$2:$J$5000,MATCH($A568,Ventas!$A$2:$A$5000,0)))&gt;0.5*AF568*4,"1 mes = "&amp;TEXT(MAX(INDEX(Ventas!$G$2:$G$5000,MATCH($A568,Ventas!$A$2:$A$5000,0)),INDEX(Ventas!$H$2:$H$5000,MATCH($A568,Ventas!$A$2:$A$5000,0)),INDEX(Ventas!$I$2:$I$5000,MATCH($A568,Ventas!$A$2:$A$5000,0)),INDEX(Ventas!$J$2:$J$5000,MATCH($A568,Ventas!$A$2:$A$5000,0)))/(AF568*4),"0%")&amp;" de 4 meses",""))</f>
        <v/>
      </c>
      <c r="AD568" s="62" t="str">
        <f t="shared" si="7"/>
        <v/>
      </c>
      <c r="AE568" s="62" t="str">
        <f t="array" ref="AE568">IF(X568="","",IF(AND(E568=0,AVERAGE(INDEX(Ventas!$C$2:$I$5000,MATCH($A568,Ventas!$A$2:$A$5000,0),0))&gt;0,INDEX(Ventas!$J$2:$J$5000,MATCH($A568,Ventas!$A$2:$A$5000,0))&lt;0.5*AVERAGE(INDEX(Ventas!$C$2:$I$5000,MATCH($A568,Ventas!$A$2:$A$5000,0),0))),"SÍ — stock 0 y Sep cayó (prom Feb-Ago "&amp;TEXT(AVERAGE(INDEX(Ventas!$C$2:$I$5000,MATCH($A568,Ventas!$A$2:$A$5000,0),0)),"#,##0")&amp;")",""))</f>
        <v/>
      </c>
      <c r="AF568" s="60">
        <f t="array" ref="AF568">IF(X568="","",IF(AE568&lt;&gt;"",MAX(X568,AVERAGE(INDEX(Ventas!$C$2:$I$5000,MATCH($A568,Ventas!$A$2:$A$5000,0),0))),X568))</f>
        <v>329</v>
      </c>
      <c r="AG568" s="60">
        <f t="shared" si="8"/>
        <v>-1484</v>
      </c>
      <c r="AH568" s="63" t="str">
        <f t="shared" si="9"/>
        <v>SOBRESTOCK</v>
      </c>
    </row>
    <row r="569" ht="13.5" customHeight="1">
      <c r="A569" s="49" t="s">
        <v>3224</v>
      </c>
      <c r="B569" s="50" t="s">
        <v>3925</v>
      </c>
      <c r="C569" s="50" t="s">
        <v>3926</v>
      </c>
      <c r="D569" s="50" t="s">
        <v>3927</v>
      </c>
      <c r="E569" s="51">
        <v>300.0</v>
      </c>
      <c r="F569" s="52"/>
      <c r="G569" s="53">
        <v>11000.0</v>
      </c>
      <c r="H569" s="55"/>
      <c r="I569" s="55"/>
      <c r="J569" s="53"/>
      <c r="K569" s="53"/>
      <c r="L569" s="55"/>
      <c r="M569" s="53"/>
      <c r="N569" s="74"/>
      <c r="O569" s="57" t="str">
        <f t="shared" si="1"/>
        <v>SOBRESTOCK — 12.7 meses de cobertura</v>
      </c>
      <c r="P569" s="58">
        <f t="shared" si="2"/>
        <v>11300</v>
      </c>
      <c r="Q569" s="1"/>
      <c r="R569" s="1"/>
      <c r="S569" s="1"/>
      <c r="T569" s="1"/>
      <c r="U569" s="1"/>
      <c r="V569" s="1"/>
      <c r="W569" s="1"/>
      <c r="X569" s="60">
        <f>IFERROR(VLOOKUP($A569,Ventas!$A$2:$L$5000,12,FALSE()),"")</f>
        <v>887.5</v>
      </c>
      <c r="Y569" s="60">
        <f t="shared" si="3"/>
        <v>3550</v>
      </c>
      <c r="Z569" s="61">
        <f t="shared" si="4"/>
        <v>12.7</v>
      </c>
      <c r="AA569" s="60">
        <f t="shared" si="5"/>
        <v>-7750</v>
      </c>
      <c r="AB569" s="62" t="str">
        <f t="shared" si="6"/>
        <v/>
      </c>
      <c r="AC569" s="62" t="str">
        <f t="array" ref="AC569">IF(AH569&lt;&gt;"COMPRAR","",IF(MAX(INDEX(Ventas!$G$2:$G$5000,MATCH($A569,Ventas!$A$2:$A$5000,0)),INDEX(Ventas!$H$2:$H$5000,MATCH($A569,Ventas!$A$2:$A$5000,0)),INDEX(Ventas!$I$2:$I$5000,MATCH($A569,Ventas!$A$2:$A$5000,0)),INDEX(Ventas!$J$2:$J$5000,MATCH($A569,Ventas!$A$2:$A$5000,0)))&gt;0.5*AF569*4,"1 mes = "&amp;TEXT(MAX(INDEX(Ventas!$G$2:$G$5000,MATCH($A569,Ventas!$A$2:$A$5000,0)),INDEX(Ventas!$H$2:$H$5000,MATCH($A569,Ventas!$A$2:$A$5000,0)),INDEX(Ventas!$I$2:$I$5000,MATCH($A569,Ventas!$A$2:$A$5000,0)),INDEX(Ventas!$J$2:$J$5000,MATCH($A569,Ventas!$A$2:$A$5000,0)))/(AF569*4),"0%")&amp;" de 4 meses",""))</f>
        <v/>
      </c>
      <c r="AD569" s="62" t="str">
        <f t="shared" si="7"/>
        <v>SÍ — 300 m vs 470 m</v>
      </c>
      <c r="AE569" s="62" t="str">
        <f t="array" ref="AE569">IF(X569="","",IF(AND(E569=0,AVERAGE(INDEX(Ventas!$C$2:$I$5000,MATCH($A569,Ventas!$A$2:$A$5000,0),0))&gt;0,INDEX(Ventas!$J$2:$J$5000,MATCH($A569,Ventas!$A$2:$A$5000,0))&lt;0.5*AVERAGE(INDEX(Ventas!$C$2:$I$5000,MATCH($A569,Ventas!$A$2:$A$5000,0),0))),"SÍ — stock 0 y Sep cayó (prom Feb-Ago "&amp;TEXT(AVERAGE(INDEX(Ventas!$C$2:$I$5000,MATCH($A569,Ventas!$A$2:$A$5000,0),0)),"#,##0")&amp;")",""))</f>
        <v/>
      </c>
      <c r="AF569" s="60">
        <f t="array" ref="AF569">IF(X569="","",IF(AE569&lt;&gt;"",MAX(X569,AVERAGE(INDEX(Ventas!$C$2:$I$5000,MATCH($A569,Ventas!$A$2:$A$5000,0),0))),X569))</f>
        <v>887.5</v>
      </c>
      <c r="AG569" s="60">
        <f t="shared" si="8"/>
        <v>-7750</v>
      </c>
      <c r="AH569" s="63" t="str">
        <f t="shared" si="9"/>
        <v>SOBRESTOCK</v>
      </c>
    </row>
    <row r="570" ht="13.5" customHeight="1">
      <c r="A570" s="64" t="s">
        <v>3226</v>
      </c>
      <c r="B570" s="65" t="s">
        <v>3925</v>
      </c>
      <c r="C570" s="65" t="s">
        <v>3926</v>
      </c>
      <c r="D570" s="65" t="s">
        <v>3757</v>
      </c>
      <c r="E570" s="51">
        <v>1950.0</v>
      </c>
      <c r="F570" s="66"/>
      <c r="G570" s="53">
        <v>1000.0</v>
      </c>
      <c r="H570" s="55"/>
      <c r="I570" s="55"/>
      <c r="J570" s="53"/>
      <c r="K570" s="53"/>
      <c r="L570" s="55"/>
      <c r="M570" s="53"/>
      <c r="N570" s="73"/>
      <c r="O570" s="57" t="str">
        <f t="shared" si="1"/>
        <v>SOBRESTOCK — 12.4 meses de cobertura</v>
      </c>
      <c r="P570" s="58">
        <f t="shared" si="2"/>
        <v>2950</v>
      </c>
      <c r="Q570" s="1"/>
      <c r="R570" s="1"/>
      <c r="S570" s="1"/>
      <c r="T570" s="1"/>
      <c r="U570" s="1"/>
      <c r="V570" s="1"/>
      <c r="W570" s="1"/>
      <c r="X570" s="60">
        <f>IFERROR(VLOOKUP($A570,Ventas!$A$2:$L$5000,12,FALSE()),"")</f>
        <v>237.5</v>
      </c>
      <c r="Y570" s="60">
        <f t="shared" si="3"/>
        <v>950</v>
      </c>
      <c r="Z570" s="61">
        <f t="shared" si="4"/>
        <v>12.4</v>
      </c>
      <c r="AA570" s="60">
        <f t="shared" si="5"/>
        <v>-2000</v>
      </c>
      <c r="AB570" s="62" t="str">
        <f t="shared" si="6"/>
        <v/>
      </c>
      <c r="AC570" s="62" t="str">
        <f t="array" ref="AC570">IF(AH570&lt;&gt;"COMPRAR","",IF(MAX(INDEX(Ventas!$G$2:$G$5000,MATCH($A570,Ventas!$A$2:$A$5000,0)),INDEX(Ventas!$H$2:$H$5000,MATCH($A570,Ventas!$A$2:$A$5000,0)),INDEX(Ventas!$I$2:$I$5000,MATCH($A570,Ventas!$A$2:$A$5000,0)),INDEX(Ventas!$J$2:$J$5000,MATCH($A570,Ventas!$A$2:$A$5000,0)))&gt;0.5*AF570*4,"1 mes = "&amp;TEXT(MAX(INDEX(Ventas!$G$2:$G$5000,MATCH($A570,Ventas!$A$2:$A$5000,0)),INDEX(Ventas!$H$2:$H$5000,MATCH($A570,Ventas!$A$2:$A$5000,0)),INDEX(Ventas!$I$2:$I$5000,MATCH($A570,Ventas!$A$2:$A$5000,0)),INDEX(Ventas!$J$2:$J$5000,MATCH($A570,Ventas!$A$2:$A$5000,0)))/(AF570*4),"0%")&amp;" de 4 meses",""))</f>
        <v/>
      </c>
      <c r="AD570" s="62" t="str">
        <f t="shared" si="7"/>
        <v/>
      </c>
      <c r="AE570" s="62" t="str">
        <f t="array" ref="AE570">IF(X570="","",IF(AND(E570=0,AVERAGE(INDEX(Ventas!$C$2:$I$5000,MATCH($A570,Ventas!$A$2:$A$5000,0),0))&gt;0,INDEX(Ventas!$J$2:$J$5000,MATCH($A570,Ventas!$A$2:$A$5000,0))&lt;0.5*AVERAGE(INDEX(Ventas!$C$2:$I$5000,MATCH($A570,Ventas!$A$2:$A$5000,0),0))),"SÍ — stock 0 y Sep cayó (prom Feb-Ago "&amp;TEXT(AVERAGE(INDEX(Ventas!$C$2:$I$5000,MATCH($A570,Ventas!$A$2:$A$5000,0),0)),"#,##0")&amp;")",""))</f>
        <v/>
      </c>
      <c r="AF570" s="60">
        <f t="array" ref="AF570">IF(X570="","",IF(AE570&lt;&gt;"",MAX(X570,AVERAGE(INDEX(Ventas!$C$2:$I$5000,MATCH($A570,Ventas!$A$2:$A$5000,0),0))),X570))</f>
        <v>237.5</v>
      </c>
      <c r="AG570" s="60">
        <f t="shared" si="8"/>
        <v>-2000</v>
      </c>
      <c r="AH570" s="63" t="str">
        <f t="shared" si="9"/>
        <v>SOBRESTOCK</v>
      </c>
    </row>
    <row r="571" ht="13.5" customHeight="1">
      <c r="A571" s="49" t="s">
        <v>3228</v>
      </c>
      <c r="B571" s="50" t="s">
        <v>3925</v>
      </c>
      <c r="C571" s="50" t="s">
        <v>3926</v>
      </c>
      <c r="D571" s="50" t="s">
        <v>3928</v>
      </c>
      <c r="E571" s="51">
        <v>0.0</v>
      </c>
      <c r="F571" s="52"/>
      <c r="G571" s="53"/>
      <c r="H571" s="55"/>
      <c r="I571" s="55"/>
      <c r="J571" s="53"/>
      <c r="K571" s="53"/>
      <c r="L571" s="55"/>
      <c r="M571" s="53"/>
      <c r="N571" s="74"/>
      <c r="O571" s="57" t="str">
        <f t="shared" si="1"/>
        <v>SIN VENTAS Jun-Sep — no comprar</v>
      </c>
      <c r="P571" s="58">
        <f t="shared" si="2"/>
        <v>0</v>
      </c>
      <c r="Q571" s="1"/>
      <c r="R571" s="1"/>
      <c r="S571" s="1"/>
      <c r="T571" s="1"/>
      <c r="U571" s="1"/>
      <c r="V571" s="1"/>
      <c r="W571" s="1"/>
      <c r="X571" s="60">
        <f>IFERROR(VLOOKUP($A571,Ventas!$A$2:$L$5000,12,FALSE()),"")</f>
        <v>0</v>
      </c>
      <c r="Y571" s="60">
        <f t="shared" si="3"/>
        <v>0</v>
      </c>
      <c r="Z571" s="61" t="str">
        <f t="shared" si="4"/>
        <v/>
      </c>
      <c r="AA571" s="60">
        <f t="shared" si="5"/>
        <v>0</v>
      </c>
      <c r="AB571" s="62" t="str">
        <f t="shared" si="6"/>
        <v/>
      </c>
      <c r="AC571" s="62" t="str">
        <f t="array" ref="AC571">IF(AH571&lt;&gt;"COMPRAR","",IF(MAX(INDEX(Ventas!$G$2:$G$5000,MATCH($A571,Ventas!$A$2:$A$5000,0)),INDEX(Ventas!$H$2:$H$5000,MATCH($A571,Ventas!$A$2:$A$5000,0)),INDEX(Ventas!$I$2:$I$5000,MATCH($A571,Ventas!$A$2:$A$5000,0)),INDEX(Ventas!$J$2:$J$5000,MATCH($A571,Ventas!$A$2:$A$5000,0)))&gt;0.5*AF571*4,"1 mes = "&amp;TEXT(MAX(INDEX(Ventas!$G$2:$G$5000,MATCH($A571,Ventas!$A$2:$A$5000,0)),INDEX(Ventas!$H$2:$H$5000,MATCH($A571,Ventas!$A$2:$A$5000,0)),INDEX(Ventas!$I$2:$I$5000,MATCH($A571,Ventas!$A$2:$A$5000,0)),INDEX(Ventas!$J$2:$J$5000,MATCH($A571,Ventas!$A$2:$A$5000,0)))/(AF571*4),"0%")&amp;" de 4 meses",""))</f>
        <v/>
      </c>
      <c r="AD571" s="62" t="str">
        <f t="shared" si="7"/>
        <v/>
      </c>
      <c r="AE571" s="62" t="str">
        <f t="array" ref="AE571">IF(X571="","",IF(AND(E571=0,AVERAGE(INDEX(Ventas!$C$2:$I$5000,MATCH($A571,Ventas!$A$2:$A$5000,0),0))&gt;0,INDEX(Ventas!$J$2:$J$5000,MATCH($A571,Ventas!$A$2:$A$5000,0))&lt;0.5*AVERAGE(INDEX(Ventas!$C$2:$I$5000,MATCH($A571,Ventas!$A$2:$A$5000,0),0))),"SÍ — stock 0 y Sep cayó (prom Feb-Ago "&amp;TEXT(AVERAGE(INDEX(Ventas!$C$2:$I$5000,MATCH($A571,Ventas!$A$2:$A$5000,0),0)),"#,##0")&amp;")",""))</f>
        <v/>
      </c>
      <c r="AF571" s="60">
        <f t="array" ref="AF571">IF(X571="","",IF(AE571&lt;&gt;"",MAX(X571,AVERAGE(INDEX(Ventas!$C$2:$I$5000,MATCH($A571,Ventas!$A$2:$A$5000,0),0))),X571))</f>
        <v>0</v>
      </c>
      <c r="AG571" s="60">
        <f t="shared" si="8"/>
        <v>0</v>
      </c>
      <c r="AH571" s="63" t="str">
        <f t="shared" si="9"/>
        <v>SIN VENTAS</v>
      </c>
    </row>
    <row r="572" ht="13.5" customHeight="1">
      <c r="A572" s="64" t="s">
        <v>3240</v>
      </c>
      <c r="B572" s="65" t="s">
        <v>3925</v>
      </c>
      <c r="C572" s="65" t="s">
        <v>3929</v>
      </c>
      <c r="D572" s="65" t="s">
        <v>1329</v>
      </c>
      <c r="E572" s="51">
        <v>3900.0</v>
      </c>
      <c r="F572" s="66"/>
      <c r="G572" s="53">
        <v>13000.0</v>
      </c>
      <c r="H572" s="55"/>
      <c r="I572" s="55"/>
      <c r="J572" s="53"/>
      <c r="K572" s="53"/>
      <c r="L572" s="55"/>
      <c r="M572" s="53"/>
      <c r="N572" s="73"/>
      <c r="O572" s="57" t="str">
        <f t="shared" si="1"/>
        <v>SOBRESTOCK — 13.7 meses de cobertura</v>
      </c>
      <c r="P572" s="58">
        <f t="shared" si="2"/>
        <v>16900</v>
      </c>
      <c r="Q572" s="1"/>
      <c r="R572" s="1"/>
      <c r="S572" s="1"/>
      <c r="T572" s="1"/>
      <c r="U572" s="1"/>
      <c r="V572" s="1"/>
      <c r="W572" s="1"/>
      <c r="X572" s="60">
        <f>IFERROR(VLOOKUP($A572,Ventas!$A$2:$L$5000,12,FALSE()),"")</f>
        <v>1237.5</v>
      </c>
      <c r="Y572" s="60">
        <f t="shared" si="3"/>
        <v>4950</v>
      </c>
      <c r="Z572" s="61">
        <f t="shared" si="4"/>
        <v>13.7</v>
      </c>
      <c r="AA572" s="60">
        <f t="shared" si="5"/>
        <v>-11950</v>
      </c>
      <c r="AB572" s="62" t="str">
        <f t="shared" si="6"/>
        <v/>
      </c>
      <c r="AC572" s="62" t="str">
        <f t="array" ref="AC572">IF(AH572&lt;&gt;"COMPRAR","",IF(MAX(INDEX(Ventas!$G$2:$G$5000,MATCH($A572,Ventas!$A$2:$A$5000,0)),INDEX(Ventas!$H$2:$H$5000,MATCH($A572,Ventas!$A$2:$A$5000,0)),INDEX(Ventas!$I$2:$I$5000,MATCH($A572,Ventas!$A$2:$A$5000,0)),INDEX(Ventas!$J$2:$J$5000,MATCH($A572,Ventas!$A$2:$A$5000,0)))&gt;0.5*AF572*4,"1 mes = "&amp;TEXT(MAX(INDEX(Ventas!$G$2:$G$5000,MATCH($A572,Ventas!$A$2:$A$5000,0)),INDEX(Ventas!$H$2:$H$5000,MATCH($A572,Ventas!$A$2:$A$5000,0)),INDEX(Ventas!$I$2:$I$5000,MATCH($A572,Ventas!$A$2:$A$5000,0)),INDEX(Ventas!$J$2:$J$5000,MATCH($A572,Ventas!$A$2:$A$5000,0)))/(AF572*4),"0%")&amp;" de 4 meses",""))</f>
        <v/>
      </c>
      <c r="AD572" s="62" t="str">
        <f t="shared" si="7"/>
        <v/>
      </c>
      <c r="AE572" s="62" t="str">
        <f t="array" ref="AE572">IF(X572="","",IF(AND(E572=0,AVERAGE(INDEX(Ventas!$C$2:$I$5000,MATCH($A572,Ventas!$A$2:$A$5000,0),0))&gt;0,INDEX(Ventas!$J$2:$J$5000,MATCH($A572,Ventas!$A$2:$A$5000,0))&lt;0.5*AVERAGE(INDEX(Ventas!$C$2:$I$5000,MATCH($A572,Ventas!$A$2:$A$5000,0),0))),"SÍ — stock 0 y Sep cayó (prom Feb-Ago "&amp;TEXT(AVERAGE(INDEX(Ventas!$C$2:$I$5000,MATCH($A572,Ventas!$A$2:$A$5000,0),0)),"#,##0")&amp;")",""))</f>
        <v/>
      </c>
      <c r="AF572" s="60">
        <f t="array" ref="AF572">IF(X572="","",IF(AE572&lt;&gt;"",MAX(X572,AVERAGE(INDEX(Ventas!$C$2:$I$5000,MATCH($A572,Ventas!$A$2:$A$5000,0),0))),X572))</f>
        <v>1237.5</v>
      </c>
      <c r="AG572" s="60">
        <f t="shared" si="8"/>
        <v>-11950</v>
      </c>
      <c r="AH572" s="63" t="str">
        <f t="shared" si="9"/>
        <v>SOBRESTOCK</v>
      </c>
    </row>
    <row r="573" ht="13.5" customHeight="1">
      <c r="A573" s="49" t="s">
        <v>3242</v>
      </c>
      <c r="B573" s="50" t="s">
        <v>3925</v>
      </c>
      <c r="C573" s="50" t="s">
        <v>3929</v>
      </c>
      <c r="D573" s="50" t="s">
        <v>3756</v>
      </c>
      <c r="E573" s="51">
        <v>0.0</v>
      </c>
      <c r="F573" s="52"/>
      <c r="G573" s="53">
        <v>8000.0</v>
      </c>
      <c r="H573" s="55"/>
      <c r="I573" s="55"/>
      <c r="J573" s="53"/>
      <c r="K573" s="53"/>
      <c r="L573" s="55"/>
      <c r="M573" s="53"/>
      <c r="N573" s="74"/>
      <c r="O573" s="57" t="str">
        <f t="shared" si="1"/>
        <v>OK — cubierto (6.0 meses)</v>
      </c>
      <c r="P573" s="58">
        <f t="shared" si="2"/>
        <v>8000</v>
      </c>
      <c r="Q573" s="1"/>
      <c r="R573" s="1"/>
      <c r="S573" s="1"/>
      <c r="T573" s="1"/>
      <c r="U573" s="1"/>
      <c r="V573" s="1"/>
      <c r="W573" s="1"/>
      <c r="X573" s="60">
        <f>IFERROR(VLOOKUP($A573,Ventas!$A$2:$L$5000,12,FALSE()),"")</f>
        <v>1325</v>
      </c>
      <c r="Y573" s="60">
        <f t="shared" si="3"/>
        <v>5300</v>
      </c>
      <c r="Z573" s="61">
        <f t="shared" si="4"/>
        <v>6</v>
      </c>
      <c r="AA573" s="60">
        <f t="shared" si="5"/>
        <v>-2700</v>
      </c>
      <c r="AB573" s="62" t="str">
        <f t="shared" si="6"/>
        <v/>
      </c>
      <c r="AC573" s="62" t="str">
        <f t="array" ref="AC573">IF(AH573&lt;&gt;"COMPRAR","",IF(MAX(INDEX(Ventas!$G$2:$G$5000,MATCH($A573,Ventas!$A$2:$A$5000,0)),INDEX(Ventas!$H$2:$H$5000,MATCH($A573,Ventas!$A$2:$A$5000,0)),INDEX(Ventas!$I$2:$I$5000,MATCH($A573,Ventas!$A$2:$A$5000,0)),INDEX(Ventas!$J$2:$J$5000,MATCH($A573,Ventas!$A$2:$A$5000,0)))&gt;0.5*AF573*4,"1 mes = "&amp;TEXT(MAX(INDEX(Ventas!$G$2:$G$5000,MATCH($A573,Ventas!$A$2:$A$5000,0)),INDEX(Ventas!$H$2:$H$5000,MATCH($A573,Ventas!$A$2:$A$5000,0)),INDEX(Ventas!$I$2:$I$5000,MATCH($A573,Ventas!$A$2:$A$5000,0)),INDEX(Ventas!$J$2:$J$5000,MATCH($A573,Ventas!$A$2:$A$5000,0)))/(AF573*4),"0%")&amp;" de 4 meses",""))</f>
        <v/>
      </c>
      <c r="AD573" s="62" t="str">
        <f t="shared" si="7"/>
        <v>SÍ — 0 m vs 702 m</v>
      </c>
      <c r="AE573" s="62" t="str">
        <f t="array" ref="AE573">IF(X573="","",IF(AND(E573=0,AVERAGE(INDEX(Ventas!$C$2:$I$5000,MATCH($A573,Ventas!$A$2:$A$5000,0),0))&gt;0,INDEX(Ventas!$J$2:$J$5000,MATCH($A573,Ventas!$A$2:$A$5000,0))&lt;0.5*AVERAGE(INDEX(Ventas!$C$2:$I$5000,MATCH($A573,Ventas!$A$2:$A$5000,0),0))),"SÍ — stock 0 y Sep cayó (prom Feb-Ago "&amp;TEXT(AVERAGE(INDEX(Ventas!$C$2:$I$5000,MATCH($A573,Ventas!$A$2:$A$5000,0),0)),"#,##0")&amp;")",""))</f>
        <v/>
      </c>
      <c r="AF573" s="60">
        <f t="array" ref="AF573">IF(X573="","",IF(AE573&lt;&gt;"",MAX(X573,AVERAGE(INDEX(Ventas!$C$2:$I$5000,MATCH($A573,Ventas!$A$2:$A$5000,0),0))),X573))</f>
        <v>1325</v>
      </c>
      <c r="AG573" s="60">
        <f t="shared" si="8"/>
        <v>-2700</v>
      </c>
      <c r="AH573" s="63" t="str">
        <f t="shared" si="9"/>
        <v>OK</v>
      </c>
    </row>
    <row r="574" ht="13.5" customHeight="1">
      <c r="A574" s="64" t="s">
        <v>3244</v>
      </c>
      <c r="B574" s="65" t="s">
        <v>3925</v>
      </c>
      <c r="C574" s="65" t="s">
        <v>3929</v>
      </c>
      <c r="D574" s="65" t="s">
        <v>3927</v>
      </c>
      <c r="E574" s="51">
        <v>200.0</v>
      </c>
      <c r="F574" s="66"/>
      <c r="G574" s="53">
        <v>22000.0</v>
      </c>
      <c r="H574" s="55"/>
      <c r="I574" s="55"/>
      <c r="J574" s="53"/>
      <c r="K574" s="53"/>
      <c r="L574" s="55"/>
      <c r="M574" s="53"/>
      <c r="N574" s="73"/>
      <c r="O574" s="57" t="str">
        <f t="shared" si="1"/>
        <v>SOBRESTOCK — 12.7 meses de cobertura</v>
      </c>
      <c r="P574" s="58">
        <f t="shared" si="2"/>
        <v>22200</v>
      </c>
      <c r="Q574" s="1"/>
      <c r="R574" s="1"/>
      <c r="S574" s="1"/>
      <c r="T574" s="1"/>
      <c r="U574" s="1"/>
      <c r="V574" s="1"/>
      <c r="W574" s="1"/>
      <c r="X574" s="60">
        <f>IFERROR(VLOOKUP($A574,Ventas!$A$2:$L$5000,12,FALSE()),"")</f>
        <v>1750</v>
      </c>
      <c r="Y574" s="60">
        <f t="shared" si="3"/>
        <v>7000</v>
      </c>
      <c r="Z574" s="61">
        <f t="shared" si="4"/>
        <v>12.7</v>
      </c>
      <c r="AA574" s="60">
        <f t="shared" si="5"/>
        <v>-15200</v>
      </c>
      <c r="AB574" s="62" t="str">
        <f t="shared" si="6"/>
        <v/>
      </c>
      <c r="AC574" s="62" t="str">
        <f t="array" ref="AC574">IF(AH574&lt;&gt;"COMPRAR","",IF(MAX(INDEX(Ventas!$G$2:$G$5000,MATCH($A574,Ventas!$A$2:$A$5000,0)),INDEX(Ventas!$H$2:$H$5000,MATCH($A574,Ventas!$A$2:$A$5000,0)),INDEX(Ventas!$I$2:$I$5000,MATCH($A574,Ventas!$A$2:$A$5000,0)),INDEX(Ventas!$J$2:$J$5000,MATCH($A574,Ventas!$A$2:$A$5000,0)))&gt;0.5*AF574*4,"1 mes = "&amp;TEXT(MAX(INDEX(Ventas!$G$2:$G$5000,MATCH($A574,Ventas!$A$2:$A$5000,0)),INDEX(Ventas!$H$2:$H$5000,MATCH($A574,Ventas!$A$2:$A$5000,0)),INDEX(Ventas!$I$2:$I$5000,MATCH($A574,Ventas!$A$2:$A$5000,0)),INDEX(Ventas!$J$2:$J$5000,MATCH($A574,Ventas!$A$2:$A$5000,0)))/(AF574*4),"0%")&amp;" de 4 meses",""))</f>
        <v/>
      </c>
      <c r="AD574" s="62" t="str">
        <f t="shared" si="7"/>
        <v>SÍ — 200 m vs 928 m</v>
      </c>
      <c r="AE574" s="62" t="str">
        <f t="array" ref="AE574">IF(X574="","",IF(AND(E574=0,AVERAGE(INDEX(Ventas!$C$2:$I$5000,MATCH($A574,Ventas!$A$2:$A$5000,0),0))&gt;0,INDEX(Ventas!$J$2:$J$5000,MATCH($A574,Ventas!$A$2:$A$5000,0))&lt;0.5*AVERAGE(INDEX(Ventas!$C$2:$I$5000,MATCH($A574,Ventas!$A$2:$A$5000,0),0))),"SÍ — stock 0 y Sep cayó (prom Feb-Ago "&amp;TEXT(AVERAGE(INDEX(Ventas!$C$2:$I$5000,MATCH($A574,Ventas!$A$2:$A$5000,0),0)),"#,##0")&amp;")",""))</f>
        <v/>
      </c>
      <c r="AF574" s="60">
        <f t="array" ref="AF574">IF(X574="","",IF(AE574&lt;&gt;"",MAX(X574,AVERAGE(INDEX(Ventas!$C$2:$I$5000,MATCH($A574,Ventas!$A$2:$A$5000,0),0))),X574))</f>
        <v>1750</v>
      </c>
      <c r="AG574" s="60">
        <f t="shared" si="8"/>
        <v>-15200</v>
      </c>
      <c r="AH574" s="63" t="str">
        <f t="shared" si="9"/>
        <v>SOBRESTOCK</v>
      </c>
    </row>
    <row r="575" ht="13.5" customHeight="1">
      <c r="A575" s="49" t="s">
        <v>3246</v>
      </c>
      <c r="B575" s="50" t="s">
        <v>3925</v>
      </c>
      <c r="C575" s="50" t="s">
        <v>3929</v>
      </c>
      <c r="D575" s="50" t="s">
        <v>3757</v>
      </c>
      <c r="E575" s="51">
        <v>7120.0</v>
      </c>
      <c r="F575" s="52"/>
      <c r="G575" s="53">
        <v>4000.0</v>
      </c>
      <c r="H575" s="55"/>
      <c r="I575" s="55"/>
      <c r="J575" s="53"/>
      <c r="K575" s="53"/>
      <c r="L575" s="55"/>
      <c r="M575" s="53"/>
      <c r="N575" s="74"/>
      <c r="O575" s="57" t="str">
        <f t="shared" si="1"/>
        <v>SOBRESTOCK — 17.8 meses de cobertura</v>
      </c>
      <c r="P575" s="58">
        <f t="shared" si="2"/>
        <v>11120</v>
      </c>
      <c r="Q575" s="1"/>
      <c r="R575" s="1"/>
      <c r="S575" s="1"/>
      <c r="T575" s="1"/>
      <c r="U575" s="1"/>
      <c r="V575" s="1"/>
      <c r="W575" s="1"/>
      <c r="X575" s="60">
        <f>IFERROR(VLOOKUP($A575,Ventas!$A$2:$L$5000,12,FALSE()),"")</f>
        <v>625</v>
      </c>
      <c r="Y575" s="60">
        <f t="shared" si="3"/>
        <v>2500</v>
      </c>
      <c r="Z575" s="61">
        <f t="shared" si="4"/>
        <v>17.8</v>
      </c>
      <c r="AA575" s="60">
        <f t="shared" si="5"/>
        <v>-8620</v>
      </c>
      <c r="AB575" s="62" t="str">
        <f t="shared" si="6"/>
        <v/>
      </c>
      <c r="AC575" s="62" t="str">
        <f t="array" ref="AC575">IF(AH575&lt;&gt;"COMPRAR","",IF(MAX(INDEX(Ventas!$G$2:$G$5000,MATCH($A575,Ventas!$A$2:$A$5000,0)),INDEX(Ventas!$H$2:$H$5000,MATCH($A575,Ventas!$A$2:$A$5000,0)),INDEX(Ventas!$I$2:$I$5000,MATCH($A575,Ventas!$A$2:$A$5000,0)),INDEX(Ventas!$J$2:$J$5000,MATCH($A575,Ventas!$A$2:$A$5000,0)))&gt;0.5*AF575*4,"1 mes = "&amp;TEXT(MAX(INDEX(Ventas!$G$2:$G$5000,MATCH($A575,Ventas!$A$2:$A$5000,0)),INDEX(Ventas!$H$2:$H$5000,MATCH($A575,Ventas!$A$2:$A$5000,0)),INDEX(Ventas!$I$2:$I$5000,MATCH($A575,Ventas!$A$2:$A$5000,0)),INDEX(Ventas!$J$2:$J$5000,MATCH($A575,Ventas!$A$2:$A$5000,0)))/(AF575*4),"0%")&amp;" de 4 meses",""))</f>
        <v/>
      </c>
      <c r="AD575" s="62" t="str">
        <f t="shared" si="7"/>
        <v/>
      </c>
      <c r="AE575" s="62" t="str">
        <f t="array" ref="AE575">IF(X575="","",IF(AND(E575=0,AVERAGE(INDEX(Ventas!$C$2:$I$5000,MATCH($A575,Ventas!$A$2:$A$5000,0),0))&gt;0,INDEX(Ventas!$J$2:$J$5000,MATCH($A575,Ventas!$A$2:$A$5000,0))&lt;0.5*AVERAGE(INDEX(Ventas!$C$2:$I$5000,MATCH($A575,Ventas!$A$2:$A$5000,0),0))),"SÍ — stock 0 y Sep cayó (prom Feb-Ago "&amp;TEXT(AVERAGE(INDEX(Ventas!$C$2:$I$5000,MATCH($A575,Ventas!$A$2:$A$5000,0),0)),"#,##0")&amp;")",""))</f>
        <v/>
      </c>
      <c r="AF575" s="60">
        <f t="array" ref="AF575">IF(X575="","",IF(AE575&lt;&gt;"",MAX(X575,AVERAGE(INDEX(Ventas!$C$2:$I$5000,MATCH($A575,Ventas!$A$2:$A$5000,0),0))),X575))</f>
        <v>625</v>
      </c>
      <c r="AG575" s="60">
        <f t="shared" si="8"/>
        <v>-8620</v>
      </c>
      <c r="AH575" s="63" t="str">
        <f t="shared" si="9"/>
        <v>SOBRESTOCK</v>
      </c>
    </row>
    <row r="576" ht="13.5" customHeight="1">
      <c r="A576" s="64" t="s">
        <v>3351</v>
      </c>
      <c r="B576" s="65" t="s">
        <v>3925</v>
      </c>
      <c r="C576" s="65" t="s">
        <v>3930</v>
      </c>
      <c r="D576" s="65" t="s">
        <v>1329</v>
      </c>
      <c r="E576" s="51">
        <v>1250.0</v>
      </c>
      <c r="F576" s="66"/>
      <c r="G576" s="53"/>
      <c r="H576" s="55"/>
      <c r="I576" s="55"/>
      <c r="J576" s="53"/>
      <c r="K576" s="53"/>
      <c r="L576" s="55"/>
      <c r="M576" s="53"/>
      <c r="N576" s="73"/>
      <c r="O576" s="57" t="str">
        <f t="shared" si="1"/>
        <v>SOBRESTOCK — 100.0 meses de cobertura</v>
      </c>
      <c r="P576" s="58">
        <f t="shared" si="2"/>
        <v>1250</v>
      </c>
      <c r="Q576" s="1"/>
      <c r="R576" s="1"/>
      <c r="S576" s="1"/>
      <c r="T576" s="1"/>
      <c r="U576" s="1"/>
      <c r="V576" s="1"/>
      <c r="W576" s="1"/>
      <c r="X576" s="60">
        <f>IFERROR(VLOOKUP($A576,Ventas!$A$2:$L$5000,12,FALSE()),"")</f>
        <v>12.5</v>
      </c>
      <c r="Y576" s="60">
        <f t="shared" si="3"/>
        <v>50</v>
      </c>
      <c r="Z576" s="61">
        <f t="shared" si="4"/>
        <v>100</v>
      </c>
      <c r="AA576" s="60">
        <f t="shared" si="5"/>
        <v>-1200</v>
      </c>
      <c r="AB576" s="62" t="str">
        <f t="shared" si="6"/>
        <v>DUPLICADO</v>
      </c>
      <c r="AC576" s="62" t="str">
        <f t="array" ref="AC576">IF(AH576&lt;&gt;"COMPRAR","",IF(MAX(INDEX(Ventas!$G$2:$G$5000,MATCH($A576,Ventas!$A$2:$A$5000,0)),INDEX(Ventas!$H$2:$H$5000,MATCH($A576,Ventas!$A$2:$A$5000,0)),INDEX(Ventas!$I$2:$I$5000,MATCH($A576,Ventas!$A$2:$A$5000,0)),INDEX(Ventas!$J$2:$J$5000,MATCH($A576,Ventas!$A$2:$A$5000,0)))&gt;0.5*AF576*4,"1 mes = "&amp;TEXT(MAX(INDEX(Ventas!$G$2:$G$5000,MATCH($A576,Ventas!$A$2:$A$5000,0)),INDEX(Ventas!$H$2:$H$5000,MATCH($A576,Ventas!$A$2:$A$5000,0)),INDEX(Ventas!$I$2:$I$5000,MATCH($A576,Ventas!$A$2:$A$5000,0)),INDEX(Ventas!$J$2:$J$5000,MATCH($A576,Ventas!$A$2:$A$5000,0)))/(AF576*4),"0%")&amp;" de 4 meses",""))</f>
        <v/>
      </c>
      <c r="AD576" s="62" t="str">
        <f t="shared" si="7"/>
        <v/>
      </c>
      <c r="AE576" s="62" t="str">
        <f t="array" ref="AE576">IF(X576="","",IF(AND(E576=0,AVERAGE(INDEX(Ventas!$C$2:$I$5000,MATCH($A576,Ventas!$A$2:$A$5000,0),0))&gt;0,INDEX(Ventas!$J$2:$J$5000,MATCH($A576,Ventas!$A$2:$A$5000,0))&lt;0.5*AVERAGE(INDEX(Ventas!$C$2:$I$5000,MATCH($A576,Ventas!$A$2:$A$5000,0),0))),"SÍ — stock 0 y Sep cayó (prom Feb-Ago "&amp;TEXT(AVERAGE(INDEX(Ventas!$C$2:$I$5000,MATCH($A576,Ventas!$A$2:$A$5000,0),0)),"#,##0")&amp;")",""))</f>
        <v/>
      </c>
      <c r="AF576" s="60">
        <f t="array" ref="AF576">IF(X576="","",IF(AE576&lt;&gt;"",MAX(X576,AVERAGE(INDEX(Ventas!$C$2:$I$5000,MATCH($A576,Ventas!$A$2:$A$5000,0),0))),X576))</f>
        <v>12.5</v>
      </c>
      <c r="AG576" s="60">
        <f t="shared" si="8"/>
        <v>-1200</v>
      </c>
      <c r="AH576" s="63" t="str">
        <f t="shared" si="9"/>
        <v>SOBRESTOCK</v>
      </c>
    </row>
    <row r="577" ht="13.5" customHeight="1">
      <c r="A577" s="49" t="s">
        <v>3355</v>
      </c>
      <c r="B577" s="50" t="s">
        <v>3925</v>
      </c>
      <c r="C577" s="50" t="s">
        <v>3930</v>
      </c>
      <c r="D577" s="50" t="s">
        <v>3756</v>
      </c>
      <c r="E577" s="51">
        <v>1050.0</v>
      </c>
      <c r="F577" s="52"/>
      <c r="G577" s="53"/>
      <c r="H577" s="55"/>
      <c r="I577" s="55"/>
      <c r="J577" s="53"/>
      <c r="K577" s="53"/>
      <c r="L577" s="55"/>
      <c r="M577" s="53"/>
      <c r="N577" s="74"/>
      <c r="O577" s="57" t="str">
        <f t="shared" si="1"/>
        <v>SOBRESTOCK — 28.0 meses de cobertura</v>
      </c>
      <c r="P577" s="58">
        <f t="shared" si="2"/>
        <v>1050</v>
      </c>
      <c r="Q577" s="1"/>
      <c r="R577" s="1"/>
      <c r="S577" s="1"/>
      <c r="T577" s="1"/>
      <c r="U577" s="1"/>
      <c r="V577" s="1"/>
      <c r="W577" s="1"/>
      <c r="X577" s="60">
        <f>IFERROR(VLOOKUP($A577,Ventas!$A$2:$L$5000,12,FALSE()),"")</f>
        <v>37.5</v>
      </c>
      <c r="Y577" s="60">
        <f t="shared" si="3"/>
        <v>150</v>
      </c>
      <c r="Z577" s="61">
        <f t="shared" si="4"/>
        <v>28</v>
      </c>
      <c r="AA577" s="60">
        <f t="shared" si="5"/>
        <v>-900</v>
      </c>
      <c r="AB577" s="62" t="str">
        <f t="shared" si="6"/>
        <v>DUPLICADO</v>
      </c>
      <c r="AC577" s="62" t="str">
        <f t="array" ref="AC577">IF(AH577&lt;&gt;"COMPRAR","",IF(MAX(INDEX(Ventas!$G$2:$G$5000,MATCH($A577,Ventas!$A$2:$A$5000,0)),INDEX(Ventas!$H$2:$H$5000,MATCH($A577,Ventas!$A$2:$A$5000,0)),INDEX(Ventas!$I$2:$I$5000,MATCH($A577,Ventas!$A$2:$A$5000,0)),INDEX(Ventas!$J$2:$J$5000,MATCH($A577,Ventas!$A$2:$A$5000,0)))&gt;0.5*AF577*4,"1 mes = "&amp;TEXT(MAX(INDEX(Ventas!$G$2:$G$5000,MATCH($A577,Ventas!$A$2:$A$5000,0)),INDEX(Ventas!$H$2:$H$5000,MATCH($A577,Ventas!$A$2:$A$5000,0)),INDEX(Ventas!$I$2:$I$5000,MATCH($A577,Ventas!$A$2:$A$5000,0)),INDEX(Ventas!$J$2:$J$5000,MATCH($A577,Ventas!$A$2:$A$5000,0)))/(AF577*4),"0%")&amp;" de 4 meses",""))</f>
        <v/>
      </c>
      <c r="AD577" s="62" t="str">
        <f t="shared" si="7"/>
        <v/>
      </c>
      <c r="AE577" s="62" t="str">
        <f t="array" ref="AE577">IF(X577="","",IF(AND(E577=0,AVERAGE(INDEX(Ventas!$C$2:$I$5000,MATCH($A577,Ventas!$A$2:$A$5000,0),0))&gt;0,INDEX(Ventas!$J$2:$J$5000,MATCH($A577,Ventas!$A$2:$A$5000,0))&lt;0.5*AVERAGE(INDEX(Ventas!$C$2:$I$5000,MATCH($A577,Ventas!$A$2:$A$5000,0),0))),"SÍ — stock 0 y Sep cayó (prom Feb-Ago "&amp;TEXT(AVERAGE(INDEX(Ventas!$C$2:$I$5000,MATCH($A577,Ventas!$A$2:$A$5000,0),0)),"#,##0")&amp;")",""))</f>
        <v/>
      </c>
      <c r="AF577" s="60">
        <f t="array" ref="AF577">IF(X577="","",IF(AE577&lt;&gt;"",MAX(X577,AVERAGE(INDEX(Ventas!$C$2:$I$5000,MATCH($A577,Ventas!$A$2:$A$5000,0),0))),X577))</f>
        <v>37.5</v>
      </c>
      <c r="AG577" s="60">
        <f t="shared" si="8"/>
        <v>-900</v>
      </c>
      <c r="AH577" s="63" t="str">
        <f t="shared" si="9"/>
        <v>SOBRESTOCK</v>
      </c>
    </row>
    <row r="578" ht="13.5" customHeight="1">
      <c r="A578" s="64" t="s">
        <v>3357</v>
      </c>
      <c r="B578" s="65" t="s">
        <v>3925</v>
      </c>
      <c r="C578" s="65" t="s">
        <v>3930</v>
      </c>
      <c r="D578" s="65" t="s">
        <v>3757</v>
      </c>
      <c r="E578" s="51">
        <v>750.0</v>
      </c>
      <c r="F578" s="66"/>
      <c r="G578" s="53"/>
      <c r="H578" s="55"/>
      <c r="I578" s="55"/>
      <c r="J578" s="53"/>
      <c r="K578" s="53"/>
      <c r="L578" s="55"/>
      <c r="M578" s="53"/>
      <c r="N578" s="73"/>
      <c r="O578" s="57" t="str">
        <f t="shared" si="1"/>
        <v>SOBRESTOCK — 60.0 meses de cobertura</v>
      </c>
      <c r="P578" s="58">
        <f t="shared" si="2"/>
        <v>750</v>
      </c>
      <c r="Q578" s="1"/>
      <c r="R578" s="1"/>
      <c r="S578" s="1"/>
      <c r="T578" s="1"/>
      <c r="U578" s="1"/>
      <c r="V578" s="1"/>
      <c r="W578" s="1"/>
      <c r="X578" s="60">
        <f>IFERROR(VLOOKUP($A578,Ventas!$A$2:$L$5000,12,FALSE()),"")</f>
        <v>12.5</v>
      </c>
      <c r="Y578" s="60">
        <f t="shared" si="3"/>
        <v>50</v>
      </c>
      <c r="Z578" s="61">
        <f t="shared" si="4"/>
        <v>60</v>
      </c>
      <c r="AA578" s="60">
        <f t="shared" si="5"/>
        <v>-700</v>
      </c>
      <c r="AB578" s="62" t="str">
        <f t="shared" si="6"/>
        <v>DUPLICADO</v>
      </c>
      <c r="AC578" s="62" t="str">
        <f t="array" ref="AC578">IF(AH578&lt;&gt;"COMPRAR","",IF(MAX(INDEX(Ventas!$G$2:$G$5000,MATCH($A578,Ventas!$A$2:$A$5000,0)),INDEX(Ventas!$H$2:$H$5000,MATCH($A578,Ventas!$A$2:$A$5000,0)),INDEX(Ventas!$I$2:$I$5000,MATCH($A578,Ventas!$A$2:$A$5000,0)),INDEX(Ventas!$J$2:$J$5000,MATCH($A578,Ventas!$A$2:$A$5000,0)))&gt;0.5*AF578*4,"1 mes = "&amp;TEXT(MAX(INDEX(Ventas!$G$2:$G$5000,MATCH($A578,Ventas!$A$2:$A$5000,0)),INDEX(Ventas!$H$2:$H$5000,MATCH($A578,Ventas!$A$2:$A$5000,0)),INDEX(Ventas!$I$2:$I$5000,MATCH($A578,Ventas!$A$2:$A$5000,0)),INDEX(Ventas!$J$2:$J$5000,MATCH($A578,Ventas!$A$2:$A$5000,0)))/(AF578*4),"0%")&amp;" de 4 meses",""))</f>
        <v/>
      </c>
      <c r="AD578" s="62" t="str">
        <f t="shared" si="7"/>
        <v/>
      </c>
      <c r="AE578" s="62" t="str">
        <f t="array" ref="AE578">IF(X578="","",IF(AND(E578=0,AVERAGE(INDEX(Ventas!$C$2:$I$5000,MATCH($A578,Ventas!$A$2:$A$5000,0),0))&gt;0,INDEX(Ventas!$J$2:$J$5000,MATCH($A578,Ventas!$A$2:$A$5000,0))&lt;0.5*AVERAGE(INDEX(Ventas!$C$2:$I$5000,MATCH($A578,Ventas!$A$2:$A$5000,0),0))),"SÍ — stock 0 y Sep cayó (prom Feb-Ago "&amp;TEXT(AVERAGE(INDEX(Ventas!$C$2:$I$5000,MATCH($A578,Ventas!$A$2:$A$5000,0),0)),"#,##0")&amp;")",""))</f>
        <v/>
      </c>
      <c r="AF578" s="60">
        <f t="array" ref="AF578">IF(X578="","",IF(AE578&lt;&gt;"",MAX(X578,AVERAGE(INDEX(Ventas!$C$2:$I$5000,MATCH($A578,Ventas!$A$2:$A$5000,0),0))),X578))</f>
        <v>12.5</v>
      </c>
      <c r="AG578" s="60">
        <f t="shared" si="8"/>
        <v>-700</v>
      </c>
      <c r="AH578" s="63" t="str">
        <f t="shared" si="9"/>
        <v>SOBRESTOCK</v>
      </c>
    </row>
    <row r="579" ht="13.5" customHeight="1">
      <c r="A579" s="49" t="s">
        <v>3359</v>
      </c>
      <c r="B579" s="50" t="s">
        <v>3925</v>
      </c>
      <c r="C579" s="50" t="s">
        <v>3930</v>
      </c>
      <c r="D579" s="50" t="s">
        <v>3931</v>
      </c>
      <c r="E579" s="51">
        <v>542.0</v>
      </c>
      <c r="F579" s="52"/>
      <c r="G579" s="53"/>
      <c r="H579" s="55"/>
      <c r="I579" s="55"/>
      <c r="J579" s="53"/>
      <c r="K579" s="53"/>
      <c r="L579" s="55"/>
      <c r="M579" s="53"/>
      <c r="N579" s="74"/>
      <c r="O579" s="57" t="str">
        <f t="shared" si="1"/>
        <v>SIN VENTAS Jun-Sep — no comprar (542 m disponibles)</v>
      </c>
      <c r="P579" s="58">
        <f t="shared" si="2"/>
        <v>542</v>
      </c>
      <c r="Q579" s="1"/>
      <c r="R579" s="1"/>
      <c r="S579" s="1"/>
      <c r="T579" s="1"/>
      <c r="U579" s="1"/>
      <c r="V579" s="1"/>
      <c r="W579" s="1"/>
      <c r="X579" s="60">
        <f>IFERROR(VLOOKUP($A579,Ventas!$A$2:$L$5000,12,FALSE()),"")</f>
        <v>0</v>
      </c>
      <c r="Y579" s="60">
        <f t="shared" si="3"/>
        <v>0</v>
      </c>
      <c r="Z579" s="61" t="str">
        <f t="shared" si="4"/>
        <v/>
      </c>
      <c r="AA579" s="60">
        <f t="shared" si="5"/>
        <v>-542</v>
      </c>
      <c r="AB579" s="62" t="str">
        <f t="shared" si="6"/>
        <v/>
      </c>
      <c r="AC579" s="62" t="str">
        <f t="array" ref="AC579">IF(AH579&lt;&gt;"COMPRAR","",IF(MAX(INDEX(Ventas!$G$2:$G$5000,MATCH($A579,Ventas!$A$2:$A$5000,0)),INDEX(Ventas!$H$2:$H$5000,MATCH($A579,Ventas!$A$2:$A$5000,0)),INDEX(Ventas!$I$2:$I$5000,MATCH($A579,Ventas!$A$2:$A$5000,0)),INDEX(Ventas!$J$2:$J$5000,MATCH($A579,Ventas!$A$2:$A$5000,0)))&gt;0.5*AF579*4,"1 mes = "&amp;TEXT(MAX(INDEX(Ventas!$G$2:$G$5000,MATCH($A579,Ventas!$A$2:$A$5000,0)),INDEX(Ventas!$H$2:$H$5000,MATCH($A579,Ventas!$A$2:$A$5000,0)),INDEX(Ventas!$I$2:$I$5000,MATCH($A579,Ventas!$A$2:$A$5000,0)),INDEX(Ventas!$J$2:$J$5000,MATCH($A579,Ventas!$A$2:$A$5000,0)))/(AF579*4),"0%")&amp;" de 4 meses",""))</f>
        <v/>
      </c>
      <c r="AD579" s="62" t="str">
        <f t="shared" si="7"/>
        <v/>
      </c>
      <c r="AE579" s="62" t="str">
        <f t="array" ref="AE579">IF(X579="","",IF(AND(E579=0,AVERAGE(INDEX(Ventas!$C$2:$I$5000,MATCH($A579,Ventas!$A$2:$A$5000,0),0))&gt;0,INDEX(Ventas!$J$2:$J$5000,MATCH($A579,Ventas!$A$2:$A$5000,0))&lt;0.5*AVERAGE(INDEX(Ventas!$C$2:$I$5000,MATCH($A579,Ventas!$A$2:$A$5000,0),0))),"SÍ — stock 0 y Sep cayó (prom Feb-Ago "&amp;TEXT(AVERAGE(INDEX(Ventas!$C$2:$I$5000,MATCH($A579,Ventas!$A$2:$A$5000,0),0)),"#,##0")&amp;")",""))</f>
        <v/>
      </c>
      <c r="AF579" s="60">
        <f t="array" ref="AF579">IF(X579="","",IF(AE579&lt;&gt;"",MAX(X579,AVERAGE(INDEX(Ventas!$C$2:$I$5000,MATCH($A579,Ventas!$A$2:$A$5000,0),0))),X579))</f>
        <v>0</v>
      </c>
      <c r="AG579" s="60">
        <f t="shared" si="8"/>
        <v>-542</v>
      </c>
      <c r="AH579" s="63" t="str">
        <f t="shared" si="9"/>
        <v>SIN VENTAS</v>
      </c>
    </row>
    <row r="580" ht="13.5" customHeight="1">
      <c r="A580" s="64" t="s">
        <v>3313</v>
      </c>
      <c r="B580" s="65" t="s">
        <v>3925</v>
      </c>
      <c r="C580" s="65" t="s">
        <v>3932</v>
      </c>
      <c r="D580" s="65" t="s">
        <v>1329</v>
      </c>
      <c r="E580" s="51">
        <v>6250.0</v>
      </c>
      <c r="F580" s="66"/>
      <c r="G580" s="53"/>
      <c r="H580" s="55"/>
      <c r="I580" s="55"/>
      <c r="J580" s="53"/>
      <c r="K580" s="53"/>
      <c r="L580" s="55"/>
      <c r="M580" s="53"/>
      <c r="N580" s="73"/>
      <c r="O580" s="57" t="str">
        <f t="shared" si="1"/>
        <v>SOBRESTOCK — 26.3 meses de cobertura</v>
      </c>
      <c r="P580" s="58">
        <f t="shared" si="2"/>
        <v>6250</v>
      </c>
      <c r="Q580" s="1"/>
      <c r="R580" s="1"/>
      <c r="S580" s="1"/>
      <c r="T580" s="1"/>
      <c r="U580" s="1"/>
      <c r="V580" s="1"/>
      <c r="W580" s="1"/>
      <c r="X580" s="60">
        <f>IFERROR(VLOOKUP($A580,Ventas!$A$2:$L$5000,12,FALSE()),"")</f>
        <v>237.5</v>
      </c>
      <c r="Y580" s="60">
        <f t="shared" si="3"/>
        <v>950</v>
      </c>
      <c r="Z580" s="61">
        <f t="shared" si="4"/>
        <v>26.3</v>
      </c>
      <c r="AA580" s="60">
        <f t="shared" si="5"/>
        <v>-5300</v>
      </c>
      <c r="AB580" s="62" t="str">
        <f t="shared" si="6"/>
        <v/>
      </c>
      <c r="AC580" s="62" t="str">
        <f t="array" ref="AC580">IF(AH580&lt;&gt;"COMPRAR","",IF(MAX(INDEX(Ventas!$G$2:$G$5000,MATCH($A580,Ventas!$A$2:$A$5000,0)),INDEX(Ventas!$H$2:$H$5000,MATCH($A580,Ventas!$A$2:$A$5000,0)),INDEX(Ventas!$I$2:$I$5000,MATCH($A580,Ventas!$A$2:$A$5000,0)),INDEX(Ventas!$J$2:$J$5000,MATCH($A580,Ventas!$A$2:$A$5000,0)))&gt;0.5*AF580*4,"1 mes = "&amp;TEXT(MAX(INDEX(Ventas!$G$2:$G$5000,MATCH($A580,Ventas!$A$2:$A$5000,0)),INDEX(Ventas!$H$2:$H$5000,MATCH($A580,Ventas!$A$2:$A$5000,0)),INDEX(Ventas!$I$2:$I$5000,MATCH($A580,Ventas!$A$2:$A$5000,0)),INDEX(Ventas!$J$2:$J$5000,MATCH($A580,Ventas!$A$2:$A$5000,0)))/(AF580*4),"0%")&amp;" de 4 meses",""))</f>
        <v/>
      </c>
      <c r="AD580" s="62" t="str">
        <f t="shared" si="7"/>
        <v/>
      </c>
      <c r="AE580" s="62" t="str">
        <f t="array" ref="AE580">IF(X580="","",IF(AND(E580=0,AVERAGE(INDEX(Ventas!$C$2:$I$5000,MATCH($A580,Ventas!$A$2:$A$5000,0),0))&gt;0,INDEX(Ventas!$J$2:$J$5000,MATCH($A580,Ventas!$A$2:$A$5000,0))&lt;0.5*AVERAGE(INDEX(Ventas!$C$2:$I$5000,MATCH($A580,Ventas!$A$2:$A$5000,0),0))),"SÍ — stock 0 y Sep cayó (prom Feb-Ago "&amp;TEXT(AVERAGE(INDEX(Ventas!$C$2:$I$5000,MATCH($A580,Ventas!$A$2:$A$5000,0),0)),"#,##0")&amp;")",""))</f>
        <v/>
      </c>
      <c r="AF580" s="60">
        <f t="array" ref="AF580">IF(X580="","",IF(AE580&lt;&gt;"",MAX(X580,AVERAGE(INDEX(Ventas!$C$2:$I$5000,MATCH($A580,Ventas!$A$2:$A$5000,0),0))),X580))</f>
        <v>237.5</v>
      </c>
      <c r="AG580" s="60">
        <f t="shared" si="8"/>
        <v>-5300</v>
      </c>
      <c r="AH580" s="63" t="str">
        <f t="shared" si="9"/>
        <v>SOBRESTOCK</v>
      </c>
    </row>
    <row r="581" ht="13.5" customHeight="1">
      <c r="A581" s="49" t="s">
        <v>3307</v>
      </c>
      <c r="B581" s="50" t="s">
        <v>3925</v>
      </c>
      <c r="C581" s="50" t="s">
        <v>3932</v>
      </c>
      <c r="D581" s="50" t="s">
        <v>336</v>
      </c>
      <c r="E581" s="51">
        <v>1200.0</v>
      </c>
      <c r="F581" s="52"/>
      <c r="G581" s="53"/>
      <c r="H581" s="55"/>
      <c r="I581" s="55"/>
      <c r="J581" s="53"/>
      <c r="K581" s="53"/>
      <c r="L581" s="55"/>
      <c r="M581" s="53"/>
      <c r="N581" s="74"/>
      <c r="O581" s="57" t="str">
        <f t="shared" si="1"/>
        <v>SOBRESTOCK — 9.6 meses de cobertura</v>
      </c>
      <c r="P581" s="58">
        <f t="shared" si="2"/>
        <v>1200</v>
      </c>
      <c r="Q581" s="1"/>
      <c r="R581" s="1"/>
      <c r="S581" s="1"/>
      <c r="T581" s="1"/>
      <c r="U581" s="1"/>
      <c r="V581" s="1"/>
      <c r="W581" s="1"/>
      <c r="X581" s="60">
        <f>IFERROR(VLOOKUP($A581,Ventas!$A$2:$L$5000,12,FALSE()),"")</f>
        <v>125</v>
      </c>
      <c r="Y581" s="60">
        <f t="shared" si="3"/>
        <v>500</v>
      </c>
      <c r="Z581" s="61">
        <f t="shared" si="4"/>
        <v>9.6</v>
      </c>
      <c r="AA581" s="60">
        <f t="shared" si="5"/>
        <v>-700</v>
      </c>
      <c r="AB581" s="62" t="str">
        <f t="shared" si="6"/>
        <v/>
      </c>
      <c r="AC581" s="62" t="str">
        <f t="array" ref="AC581">IF(AH581&lt;&gt;"COMPRAR","",IF(MAX(INDEX(Ventas!$G$2:$G$5000,MATCH($A581,Ventas!$A$2:$A$5000,0)),INDEX(Ventas!$H$2:$H$5000,MATCH($A581,Ventas!$A$2:$A$5000,0)),INDEX(Ventas!$I$2:$I$5000,MATCH($A581,Ventas!$A$2:$A$5000,0)),INDEX(Ventas!$J$2:$J$5000,MATCH($A581,Ventas!$A$2:$A$5000,0)))&gt;0.5*AF581*4,"1 mes = "&amp;TEXT(MAX(INDEX(Ventas!$G$2:$G$5000,MATCH($A581,Ventas!$A$2:$A$5000,0)),INDEX(Ventas!$H$2:$H$5000,MATCH($A581,Ventas!$A$2:$A$5000,0)),INDEX(Ventas!$I$2:$I$5000,MATCH($A581,Ventas!$A$2:$A$5000,0)),INDEX(Ventas!$J$2:$J$5000,MATCH($A581,Ventas!$A$2:$A$5000,0)))/(AF581*4),"0%")&amp;" de 4 meses",""))</f>
        <v/>
      </c>
      <c r="AD581" s="62" t="str">
        <f t="shared" si="7"/>
        <v/>
      </c>
      <c r="AE581" s="62" t="str">
        <f t="array" ref="AE581">IF(X581="","",IF(AND(E581=0,AVERAGE(INDEX(Ventas!$C$2:$I$5000,MATCH($A581,Ventas!$A$2:$A$5000,0),0))&gt;0,INDEX(Ventas!$J$2:$J$5000,MATCH($A581,Ventas!$A$2:$A$5000,0))&lt;0.5*AVERAGE(INDEX(Ventas!$C$2:$I$5000,MATCH($A581,Ventas!$A$2:$A$5000,0),0))),"SÍ — stock 0 y Sep cayó (prom Feb-Ago "&amp;TEXT(AVERAGE(INDEX(Ventas!$C$2:$I$5000,MATCH($A581,Ventas!$A$2:$A$5000,0),0)),"#,##0")&amp;")",""))</f>
        <v/>
      </c>
      <c r="AF581" s="60">
        <f t="array" ref="AF581">IF(X581="","",IF(AE581&lt;&gt;"",MAX(X581,AVERAGE(INDEX(Ventas!$C$2:$I$5000,MATCH($A581,Ventas!$A$2:$A$5000,0),0))),X581))</f>
        <v>125</v>
      </c>
      <c r="AG581" s="60">
        <f t="shared" si="8"/>
        <v>-700</v>
      </c>
      <c r="AH581" s="63" t="str">
        <f t="shared" si="9"/>
        <v>SOBRESTOCK</v>
      </c>
    </row>
    <row r="582" ht="13.5" customHeight="1">
      <c r="A582" s="64" t="s">
        <v>3311</v>
      </c>
      <c r="B582" s="65" t="s">
        <v>3925</v>
      </c>
      <c r="C582" s="65" t="s">
        <v>3932</v>
      </c>
      <c r="D582" s="65" t="s">
        <v>794</v>
      </c>
      <c r="E582" s="51">
        <v>2250.0</v>
      </c>
      <c r="F582" s="66"/>
      <c r="G582" s="53"/>
      <c r="H582" s="55"/>
      <c r="I582" s="55"/>
      <c r="J582" s="53"/>
      <c r="K582" s="53"/>
      <c r="L582" s="55"/>
      <c r="M582" s="53"/>
      <c r="N582" s="73"/>
      <c r="O582" s="57" t="str">
        <f t="shared" si="1"/>
        <v>SOBRESTOCK — 36.0 meses de cobertura</v>
      </c>
      <c r="P582" s="58">
        <f t="shared" si="2"/>
        <v>2250</v>
      </c>
      <c r="Q582" s="1"/>
      <c r="R582" s="1"/>
      <c r="S582" s="1"/>
      <c r="T582" s="1"/>
      <c r="U582" s="1"/>
      <c r="V582" s="1"/>
      <c r="W582" s="1"/>
      <c r="X582" s="60">
        <f>IFERROR(VLOOKUP($A582,Ventas!$A$2:$L$5000,12,FALSE()),"")</f>
        <v>62.5</v>
      </c>
      <c r="Y582" s="60">
        <f t="shared" si="3"/>
        <v>250</v>
      </c>
      <c r="Z582" s="61">
        <f t="shared" si="4"/>
        <v>36</v>
      </c>
      <c r="AA582" s="60">
        <f t="shared" si="5"/>
        <v>-2000</v>
      </c>
      <c r="AB582" s="62" t="str">
        <f t="shared" si="6"/>
        <v/>
      </c>
      <c r="AC582" s="62" t="str">
        <f t="array" ref="AC582">IF(AH582&lt;&gt;"COMPRAR","",IF(MAX(INDEX(Ventas!$G$2:$G$5000,MATCH($A582,Ventas!$A$2:$A$5000,0)),INDEX(Ventas!$H$2:$H$5000,MATCH($A582,Ventas!$A$2:$A$5000,0)),INDEX(Ventas!$I$2:$I$5000,MATCH($A582,Ventas!$A$2:$A$5000,0)),INDEX(Ventas!$J$2:$J$5000,MATCH($A582,Ventas!$A$2:$A$5000,0)))&gt;0.5*AF582*4,"1 mes = "&amp;TEXT(MAX(INDEX(Ventas!$G$2:$G$5000,MATCH($A582,Ventas!$A$2:$A$5000,0)),INDEX(Ventas!$H$2:$H$5000,MATCH($A582,Ventas!$A$2:$A$5000,0)),INDEX(Ventas!$I$2:$I$5000,MATCH($A582,Ventas!$A$2:$A$5000,0)),INDEX(Ventas!$J$2:$J$5000,MATCH($A582,Ventas!$A$2:$A$5000,0)))/(AF582*4),"0%")&amp;" de 4 meses",""))</f>
        <v/>
      </c>
      <c r="AD582" s="62" t="str">
        <f t="shared" si="7"/>
        <v/>
      </c>
      <c r="AE582" s="62" t="str">
        <f t="array" ref="AE582">IF(X582="","",IF(AND(E582=0,AVERAGE(INDEX(Ventas!$C$2:$I$5000,MATCH($A582,Ventas!$A$2:$A$5000,0),0))&gt;0,INDEX(Ventas!$J$2:$J$5000,MATCH($A582,Ventas!$A$2:$A$5000,0))&lt;0.5*AVERAGE(INDEX(Ventas!$C$2:$I$5000,MATCH($A582,Ventas!$A$2:$A$5000,0),0))),"SÍ — stock 0 y Sep cayó (prom Feb-Ago "&amp;TEXT(AVERAGE(INDEX(Ventas!$C$2:$I$5000,MATCH($A582,Ventas!$A$2:$A$5000,0),0)),"#,##0")&amp;")",""))</f>
        <v/>
      </c>
      <c r="AF582" s="60">
        <f t="array" ref="AF582">IF(X582="","",IF(AE582&lt;&gt;"",MAX(X582,AVERAGE(INDEX(Ventas!$C$2:$I$5000,MATCH($A582,Ventas!$A$2:$A$5000,0),0))),X582))</f>
        <v>62.5</v>
      </c>
      <c r="AG582" s="60">
        <f t="shared" si="8"/>
        <v>-2000</v>
      </c>
      <c r="AH582" s="63" t="str">
        <f t="shared" si="9"/>
        <v>SOBRESTOCK</v>
      </c>
    </row>
    <row r="583" ht="13.5" customHeight="1">
      <c r="A583" s="49" t="s">
        <v>3309</v>
      </c>
      <c r="B583" s="50" t="s">
        <v>3925</v>
      </c>
      <c r="C583" s="50" t="s">
        <v>3932</v>
      </c>
      <c r="D583" s="50" t="s">
        <v>3635</v>
      </c>
      <c r="E583" s="51">
        <v>1900.0</v>
      </c>
      <c r="F583" s="52"/>
      <c r="G583" s="53"/>
      <c r="H583" s="55"/>
      <c r="I583" s="55"/>
      <c r="J583" s="53"/>
      <c r="K583" s="53"/>
      <c r="L583" s="55"/>
      <c r="M583" s="53"/>
      <c r="N583" s="74"/>
      <c r="O583" s="57" t="str">
        <f t="shared" si="1"/>
        <v>SOBRESTOCK — 76.0 meses de cobertura</v>
      </c>
      <c r="P583" s="58">
        <f t="shared" si="2"/>
        <v>1900</v>
      </c>
      <c r="Q583" s="1"/>
      <c r="R583" s="1"/>
      <c r="S583" s="1"/>
      <c r="T583" s="1"/>
      <c r="U583" s="1"/>
      <c r="V583" s="1"/>
      <c r="W583" s="1"/>
      <c r="X583" s="60">
        <f>IFERROR(VLOOKUP($A583,Ventas!$A$2:$L$5000,12,FALSE()),"")</f>
        <v>25</v>
      </c>
      <c r="Y583" s="60">
        <f t="shared" si="3"/>
        <v>100</v>
      </c>
      <c r="Z583" s="61">
        <f t="shared" si="4"/>
        <v>76</v>
      </c>
      <c r="AA583" s="60">
        <f t="shared" si="5"/>
        <v>-1800</v>
      </c>
      <c r="AB583" s="62" t="str">
        <f t="shared" si="6"/>
        <v/>
      </c>
      <c r="AC583" s="62" t="str">
        <f t="array" ref="AC583">IF(AH583&lt;&gt;"COMPRAR","",IF(MAX(INDEX(Ventas!$G$2:$G$5000,MATCH($A583,Ventas!$A$2:$A$5000,0)),INDEX(Ventas!$H$2:$H$5000,MATCH($A583,Ventas!$A$2:$A$5000,0)),INDEX(Ventas!$I$2:$I$5000,MATCH($A583,Ventas!$A$2:$A$5000,0)),INDEX(Ventas!$J$2:$J$5000,MATCH($A583,Ventas!$A$2:$A$5000,0)))&gt;0.5*AF583*4,"1 mes = "&amp;TEXT(MAX(INDEX(Ventas!$G$2:$G$5000,MATCH($A583,Ventas!$A$2:$A$5000,0)),INDEX(Ventas!$H$2:$H$5000,MATCH($A583,Ventas!$A$2:$A$5000,0)),INDEX(Ventas!$I$2:$I$5000,MATCH($A583,Ventas!$A$2:$A$5000,0)),INDEX(Ventas!$J$2:$J$5000,MATCH($A583,Ventas!$A$2:$A$5000,0)))/(AF583*4),"0%")&amp;" de 4 meses",""))</f>
        <v/>
      </c>
      <c r="AD583" s="62" t="str">
        <f t="shared" si="7"/>
        <v/>
      </c>
      <c r="AE583" s="62" t="str">
        <f t="array" ref="AE583">IF(X583="","",IF(AND(E583=0,AVERAGE(INDEX(Ventas!$C$2:$I$5000,MATCH($A583,Ventas!$A$2:$A$5000,0),0))&gt;0,INDEX(Ventas!$J$2:$J$5000,MATCH($A583,Ventas!$A$2:$A$5000,0))&lt;0.5*AVERAGE(INDEX(Ventas!$C$2:$I$5000,MATCH($A583,Ventas!$A$2:$A$5000,0),0))),"SÍ — stock 0 y Sep cayó (prom Feb-Ago "&amp;TEXT(AVERAGE(INDEX(Ventas!$C$2:$I$5000,MATCH($A583,Ventas!$A$2:$A$5000,0),0)),"#,##0")&amp;")",""))</f>
        <v/>
      </c>
      <c r="AF583" s="60">
        <f t="array" ref="AF583">IF(X583="","",IF(AE583&lt;&gt;"",MAX(X583,AVERAGE(INDEX(Ventas!$C$2:$I$5000,MATCH($A583,Ventas!$A$2:$A$5000,0),0))),X583))</f>
        <v>25</v>
      </c>
      <c r="AG583" s="60">
        <f t="shared" si="8"/>
        <v>-1800</v>
      </c>
      <c r="AH583" s="63" t="str">
        <f t="shared" si="9"/>
        <v>SOBRESTOCK</v>
      </c>
    </row>
    <row r="584" ht="13.5" customHeight="1">
      <c r="A584" s="64" t="s">
        <v>3315</v>
      </c>
      <c r="B584" s="65" t="s">
        <v>3925</v>
      </c>
      <c r="C584" s="65" t="s">
        <v>3932</v>
      </c>
      <c r="D584" s="65" t="s">
        <v>3756</v>
      </c>
      <c r="E584" s="51">
        <v>1846.0</v>
      </c>
      <c r="F584" s="66"/>
      <c r="G584" s="53"/>
      <c r="H584" s="55"/>
      <c r="I584" s="55"/>
      <c r="J584" s="53"/>
      <c r="K584" s="53"/>
      <c r="L584" s="55"/>
      <c r="M584" s="53"/>
      <c r="N584" s="73"/>
      <c r="O584" s="57" t="str">
        <f t="shared" si="1"/>
        <v>SOBRESTOCK — 147.7 meses de cobertura</v>
      </c>
      <c r="P584" s="58">
        <f t="shared" si="2"/>
        <v>1846</v>
      </c>
      <c r="Q584" s="1"/>
      <c r="R584" s="1"/>
      <c r="S584" s="1"/>
      <c r="T584" s="1"/>
      <c r="U584" s="1"/>
      <c r="V584" s="1"/>
      <c r="W584" s="1"/>
      <c r="X584" s="60">
        <f>IFERROR(VLOOKUP($A584,Ventas!$A$2:$L$5000,12,FALSE()),"")</f>
        <v>12.5</v>
      </c>
      <c r="Y584" s="60">
        <f t="shared" si="3"/>
        <v>50</v>
      </c>
      <c r="Z584" s="61">
        <f t="shared" si="4"/>
        <v>147.7</v>
      </c>
      <c r="AA584" s="60">
        <f t="shared" si="5"/>
        <v>-1796</v>
      </c>
      <c r="AB584" s="62" t="str">
        <f t="shared" si="6"/>
        <v/>
      </c>
      <c r="AC584" s="62" t="str">
        <f t="array" ref="AC584">IF(AH584&lt;&gt;"COMPRAR","",IF(MAX(INDEX(Ventas!$G$2:$G$5000,MATCH($A584,Ventas!$A$2:$A$5000,0)),INDEX(Ventas!$H$2:$H$5000,MATCH($A584,Ventas!$A$2:$A$5000,0)),INDEX(Ventas!$I$2:$I$5000,MATCH($A584,Ventas!$A$2:$A$5000,0)),INDEX(Ventas!$J$2:$J$5000,MATCH($A584,Ventas!$A$2:$A$5000,0)))&gt;0.5*AF584*4,"1 mes = "&amp;TEXT(MAX(INDEX(Ventas!$G$2:$G$5000,MATCH($A584,Ventas!$A$2:$A$5000,0)),INDEX(Ventas!$H$2:$H$5000,MATCH($A584,Ventas!$A$2:$A$5000,0)),INDEX(Ventas!$I$2:$I$5000,MATCH($A584,Ventas!$A$2:$A$5000,0)),INDEX(Ventas!$J$2:$J$5000,MATCH($A584,Ventas!$A$2:$A$5000,0)))/(AF584*4),"0%")&amp;" de 4 meses",""))</f>
        <v/>
      </c>
      <c r="AD584" s="62" t="str">
        <f t="shared" si="7"/>
        <v/>
      </c>
      <c r="AE584" s="62" t="str">
        <f t="array" ref="AE584">IF(X584="","",IF(AND(E584=0,AVERAGE(INDEX(Ventas!$C$2:$I$5000,MATCH($A584,Ventas!$A$2:$A$5000,0),0))&gt;0,INDEX(Ventas!$J$2:$J$5000,MATCH($A584,Ventas!$A$2:$A$5000,0))&lt;0.5*AVERAGE(INDEX(Ventas!$C$2:$I$5000,MATCH($A584,Ventas!$A$2:$A$5000,0),0))),"SÍ — stock 0 y Sep cayó (prom Feb-Ago "&amp;TEXT(AVERAGE(INDEX(Ventas!$C$2:$I$5000,MATCH($A584,Ventas!$A$2:$A$5000,0),0)),"#,##0")&amp;")",""))</f>
        <v/>
      </c>
      <c r="AF584" s="60">
        <f t="array" ref="AF584">IF(X584="","",IF(AE584&lt;&gt;"",MAX(X584,AVERAGE(INDEX(Ventas!$C$2:$I$5000,MATCH($A584,Ventas!$A$2:$A$5000,0),0))),X584))</f>
        <v>12.5</v>
      </c>
      <c r="AG584" s="60">
        <f t="shared" si="8"/>
        <v>-1796</v>
      </c>
      <c r="AH584" s="63" t="str">
        <f t="shared" si="9"/>
        <v>SOBRESTOCK</v>
      </c>
    </row>
    <row r="585" ht="13.5" customHeight="1">
      <c r="A585" s="49" t="s">
        <v>3317</v>
      </c>
      <c r="B585" s="50" t="s">
        <v>3925</v>
      </c>
      <c r="C585" s="50" t="s">
        <v>3932</v>
      </c>
      <c r="D585" s="50" t="s">
        <v>3743</v>
      </c>
      <c r="E585" s="51">
        <v>1250.0</v>
      </c>
      <c r="F585" s="52"/>
      <c r="G585" s="53"/>
      <c r="H585" s="55"/>
      <c r="I585" s="55"/>
      <c r="J585" s="53"/>
      <c r="K585" s="53"/>
      <c r="L585" s="55"/>
      <c r="M585" s="53"/>
      <c r="N585" s="74"/>
      <c r="O585" s="57" t="str">
        <f t="shared" si="1"/>
        <v>SOBRESTOCK — 100.0 meses de cobertura</v>
      </c>
      <c r="P585" s="58">
        <f t="shared" si="2"/>
        <v>1250</v>
      </c>
      <c r="Q585" s="1"/>
      <c r="R585" s="1"/>
      <c r="S585" s="1"/>
      <c r="T585" s="1"/>
      <c r="U585" s="1"/>
      <c r="V585" s="1"/>
      <c r="W585" s="1"/>
      <c r="X585" s="60">
        <f>IFERROR(VLOOKUP($A585,Ventas!$A$2:$L$5000,12,FALSE()),"")</f>
        <v>12.5</v>
      </c>
      <c r="Y585" s="60">
        <f t="shared" si="3"/>
        <v>50</v>
      </c>
      <c r="Z585" s="61">
        <f t="shared" si="4"/>
        <v>100</v>
      </c>
      <c r="AA585" s="60">
        <f t="shared" si="5"/>
        <v>-1200</v>
      </c>
      <c r="AB585" s="62" t="str">
        <f t="shared" si="6"/>
        <v/>
      </c>
      <c r="AC585" s="62" t="str">
        <f t="array" ref="AC585">IF(AH585&lt;&gt;"COMPRAR","",IF(MAX(INDEX(Ventas!$G$2:$G$5000,MATCH($A585,Ventas!$A$2:$A$5000,0)),INDEX(Ventas!$H$2:$H$5000,MATCH($A585,Ventas!$A$2:$A$5000,0)),INDEX(Ventas!$I$2:$I$5000,MATCH($A585,Ventas!$A$2:$A$5000,0)),INDEX(Ventas!$J$2:$J$5000,MATCH($A585,Ventas!$A$2:$A$5000,0)))&gt;0.5*AF585*4,"1 mes = "&amp;TEXT(MAX(INDEX(Ventas!$G$2:$G$5000,MATCH($A585,Ventas!$A$2:$A$5000,0)),INDEX(Ventas!$H$2:$H$5000,MATCH($A585,Ventas!$A$2:$A$5000,0)),INDEX(Ventas!$I$2:$I$5000,MATCH($A585,Ventas!$A$2:$A$5000,0)),INDEX(Ventas!$J$2:$J$5000,MATCH($A585,Ventas!$A$2:$A$5000,0)))/(AF585*4),"0%")&amp;" de 4 meses",""))</f>
        <v/>
      </c>
      <c r="AD585" s="62" t="str">
        <f t="shared" si="7"/>
        <v/>
      </c>
      <c r="AE585" s="62" t="str">
        <f t="array" ref="AE585">IF(X585="","",IF(AND(E585=0,AVERAGE(INDEX(Ventas!$C$2:$I$5000,MATCH($A585,Ventas!$A$2:$A$5000,0),0))&gt;0,INDEX(Ventas!$J$2:$J$5000,MATCH($A585,Ventas!$A$2:$A$5000,0))&lt;0.5*AVERAGE(INDEX(Ventas!$C$2:$I$5000,MATCH($A585,Ventas!$A$2:$A$5000,0),0))),"SÍ — stock 0 y Sep cayó (prom Feb-Ago "&amp;TEXT(AVERAGE(INDEX(Ventas!$C$2:$I$5000,MATCH($A585,Ventas!$A$2:$A$5000,0),0)),"#,##0")&amp;")",""))</f>
        <v/>
      </c>
      <c r="AF585" s="60">
        <f t="array" ref="AF585">IF(X585="","",IF(AE585&lt;&gt;"",MAX(X585,AVERAGE(INDEX(Ventas!$C$2:$I$5000,MATCH($A585,Ventas!$A$2:$A$5000,0),0))),X585))</f>
        <v>12.5</v>
      </c>
      <c r="AG585" s="60">
        <f t="shared" si="8"/>
        <v>-1200</v>
      </c>
      <c r="AH585" s="63" t="str">
        <f t="shared" si="9"/>
        <v>SOBRESTOCK</v>
      </c>
    </row>
    <row r="586" ht="13.5" customHeight="1">
      <c r="A586" s="64" t="s">
        <v>3104</v>
      </c>
      <c r="B586" s="65" t="s">
        <v>3925</v>
      </c>
      <c r="C586" s="65" t="s">
        <v>3933</v>
      </c>
      <c r="D586" s="65" t="s">
        <v>1329</v>
      </c>
      <c r="E586" s="51">
        <v>2196.0</v>
      </c>
      <c r="F586" s="66"/>
      <c r="G586" s="53"/>
      <c r="H586" s="55"/>
      <c r="I586" s="55"/>
      <c r="J586" s="53"/>
      <c r="K586" s="53"/>
      <c r="L586" s="55"/>
      <c r="M586" s="53"/>
      <c r="N586" s="73"/>
      <c r="O586" s="57" t="str">
        <f t="shared" si="1"/>
        <v>SIN VENTAS Jun-Sep — no comprar (2,196 m disponibles)</v>
      </c>
      <c r="P586" s="58">
        <f t="shared" si="2"/>
        <v>2196</v>
      </c>
      <c r="Q586" s="1"/>
      <c r="R586" s="1"/>
      <c r="S586" s="1"/>
      <c r="T586" s="1"/>
      <c r="U586" s="1"/>
      <c r="V586" s="1"/>
      <c r="W586" s="1"/>
      <c r="X586" s="60">
        <f>IFERROR(VLOOKUP($A586,Ventas!$A$2:$L$5000,12,FALSE()),"")</f>
        <v>0</v>
      </c>
      <c r="Y586" s="60">
        <f t="shared" si="3"/>
        <v>0</v>
      </c>
      <c r="Z586" s="61" t="str">
        <f t="shared" si="4"/>
        <v/>
      </c>
      <c r="AA586" s="60">
        <f t="shared" si="5"/>
        <v>-2196</v>
      </c>
      <c r="AB586" s="62" t="str">
        <f t="shared" si="6"/>
        <v/>
      </c>
      <c r="AC586" s="62" t="str">
        <f t="array" ref="AC586">IF(AH586&lt;&gt;"COMPRAR","",IF(MAX(INDEX(Ventas!$G$2:$G$5000,MATCH($A586,Ventas!$A$2:$A$5000,0)),INDEX(Ventas!$H$2:$H$5000,MATCH($A586,Ventas!$A$2:$A$5000,0)),INDEX(Ventas!$I$2:$I$5000,MATCH($A586,Ventas!$A$2:$A$5000,0)),INDEX(Ventas!$J$2:$J$5000,MATCH($A586,Ventas!$A$2:$A$5000,0)))&gt;0.5*AF586*4,"1 mes = "&amp;TEXT(MAX(INDEX(Ventas!$G$2:$G$5000,MATCH($A586,Ventas!$A$2:$A$5000,0)),INDEX(Ventas!$H$2:$H$5000,MATCH($A586,Ventas!$A$2:$A$5000,0)),INDEX(Ventas!$I$2:$I$5000,MATCH($A586,Ventas!$A$2:$A$5000,0)),INDEX(Ventas!$J$2:$J$5000,MATCH($A586,Ventas!$A$2:$A$5000,0)))/(AF586*4),"0%")&amp;" de 4 meses",""))</f>
        <v/>
      </c>
      <c r="AD586" s="62" t="str">
        <f t="shared" si="7"/>
        <v/>
      </c>
      <c r="AE586" s="62" t="str">
        <f t="array" ref="AE586">IF(X586="","",IF(AND(E586=0,AVERAGE(INDEX(Ventas!$C$2:$I$5000,MATCH($A586,Ventas!$A$2:$A$5000,0),0))&gt;0,INDEX(Ventas!$J$2:$J$5000,MATCH($A586,Ventas!$A$2:$A$5000,0))&lt;0.5*AVERAGE(INDEX(Ventas!$C$2:$I$5000,MATCH($A586,Ventas!$A$2:$A$5000,0),0))),"SÍ — stock 0 y Sep cayó (prom Feb-Ago "&amp;TEXT(AVERAGE(INDEX(Ventas!$C$2:$I$5000,MATCH($A586,Ventas!$A$2:$A$5000,0),0)),"#,##0")&amp;")",""))</f>
        <v/>
      </c>
      <c r="AF586" s="60">
        <f t="array" ref="AF586">IF(X586="","",IF(AE586&lt;&gt;"",MAX(X586,AVERAGE(INDEX(Ventas!$C$2:$I$5000,MATCH($A586,Ventas!$A$2:$A$5000,0),0))),X586))</f>
        <v>0</v>
      </c>
      <c r="AG586" s="60">
        <f t="shared" si="8"/>
        <v>-2196</v>
      </c>
      <c r="AH586" s="63" t="str">
        <f t="shared" si="9"/>
        <v>SIN VENTAS</v>
      </c>
    </row>
    <row r="587" ht="13.5" customHeight="1">
      <c r="A587" s="49" t="s">
        <v>3106</v>
      </c>
      <c r="B587" s="50" t="s">
        <v>3925</v>
      </c>
      <c r="C587" s="50" t="s">
        <v>3933</v>
      </c>
      <c r="D587" s="50" t="s">
        <v>3756</v>
      </c>
      <c r="E587" s="51">
        <v>400.0</v>
      </c>
      <c r="F587" s="52"/>
      <c r="G587" s="53"/>
      <c r="H587" s="55"/>
      <c r="I587" s="55"/>
      <c r="J587" s="53"/>
      <c r="K587" s="53"/>
      <c r="L587" s="55"/>
      <c r="M587" s="53"/>
      <c r="N587" s="74"/>
      <c r="O587" s="57" t="str">
        <f t="shared" si="1"/>
        <v>SIN VENTAS Jun-Sep — no comprar (400 m disponibles)</v>
      </c>
      <c r="P587" s="58">
        <f t="shared" si="2"/>
        <v>400</v>
      </c>
      <c r="Q587" s="1"/>
      <c r="R587" s="1"/>
      <c r="S587" s="1"/>
      <c r="T587" s="1"/>
      <c r="U587" s="1"/>
      <c r="V587" s="1"/>
      <c r="W587" s="1"/>
      <c r="X587" s="60">
        <f>IFERROR(VLOOKUP($A587,Ventas!$A$2:$L$5000,12,FALSE()),"")</f>
        <v>0</v>
      </c>
      <c r="Y587" s="60">
        <f t="shared" si="3"/>
        <v>0</v>
      </c>
      <c r="Z587" s="61" t="str">
        <f t="shared" si="4"/>
        <v/>
      </c>
      <c r="AA587" s="60">
        <f t="shared" si="5"/>
        <v>-400</v>
      </c>
      <c r="AB587" s="62" t="str">
        <f t="shared" si="6"/>
        <v/>
      </c>
      <c r="AC587" s="62" t="str">
        <f t="array" ref="AC587">IF(AH587&lt;&gt;"COMPRAR","",IF(MAX(INDEX(Ventas!$G$2:$G$5000,MATCH($A587,Ventas!$A$2:$A$5000,0)),INDEX(Ventas!$H$2:$H$5000,MATCH($A587,Ventas!$A$2:$A$5000,0)),INDEX(Ventas!$I$2:$I$5000,MATCH($A587,Ventas!$A$2:$A$5000,0)),INDEX(Ventas!$J$2:$J$5000,MATCH($A587,Ventas!$A$2:$A$5000,0)))&gt;0.5*AF587*4,"1 mes = "&amp;TEXT(MAX(INDEX(Ventas!$G$2:$G$5000,MATCH($A587,Ventas!$A$2:$A$5000,0)),INDEX(Ventas!$H$2:$H$5000,MATCH($A587,Ventas!$A$2:$A$5000,0)),INDEX(Ventas!$I$2:$I$5000,MATCH($A587,Ventas!$A$2:$A$5000,0)),INDEX(Ventas!$J$2:$J$5000,MATCH($A587,Ventas!$A$2:$A$5000,0)))/(AF587*4),"0%")&amp;" de 4 meses",""))</f>
        <v/>
      </c>
      <c r="AD587" s="62" t="str">
        <f t="shared" si="7"/>
        <v/>
      </c>
      <c r="AE587" s="62" t="str">
        <f t="array" ref="AE587">IF(X587="","",IF(AND(E587=0,AVERAGE(INDEX(Ventas!$C$2:$I$5000,MATCH($A587,Ventas!$A$2:$A$5000,0),0))&gt;0,INDEX(Ventas!$J$2:$J$5000,MATCH($A587,Ventas!$A$2:$A$5000,0))&lt;0.5*AVERAGE(INDEX(Ventas!$C$2:$I$5000,MATCH($A587,Ventas!$A$2:$A$5000,0),0))),"SÍ — stock 0 y Sep cayó (prom Feb-Ago "&amp;TEXT(AVERAGE(INDEX(Ventas!$C$2:$I$5000,MATCH($A587,Ventas!$A$2:$A$5000,0),0)),"#,##0")&amp;")",""))</f>
        <v/>
      </c>
      <c r="AF587" s="60">
        <f t="array" ref="AF587">IF(X587="","",IF(AE587&lt;&gt;"",MAX(X587,AVERAGE(INDEX(Ventas!$C$2:$I$5000,MATCH($A587,Ventas!$A$2:$A$5000,0),0))),X587))</f>
        <v>0</v>
      </c>
      <c r="AG587" s="60">
        <f t="shared" si="8"/>
        <v>-400</v>
      </c>
      <c r="AH587" s="63" t="str">
        <f t="shared" si="9"/>
        <v>SIN VENTAS</v>
      </c>
    </row>
    <row r="588" ht="13.5" customHeight="1">
      <c r="A588" s="64" t="s">
        <v>3108</v>
      </c>
      <c r="B588" s="65" t="s">
        <v>3925</v>
      </c>
      <c r="C588" s="65" t="s">
        <v>3933</v>
      </c>
      <c r="D588" s="65" t="s">
        <v>3743</v>
      </c>
      <c r="E588" s="51">
        <v>450.0</v>
      </c>
      <c r="F588" s="66"/>
      <c r="G588" s="53"/>
      <c r="H588" s="55"/>
      <c r="I588" s="55"/>
      <c r="J588" s="53"/>
      <c r="K588" s="53"/>
      <c r="L588" s="55"/>
      <c r="M588" s="53"/>
      <c r="N588" s="73"/>
      <c r="O588" s="57" t="str">
        <f t="shared" si="1"/>
        <v>SIN VENTAS Jun-Sep — no comprar (450 m disponibles)</v>
      </c>
      <c r="P588" s="58">
        <f t="shared" si="2"/>
        <v>450</v>
      </c>
      <c r="Q588" s="1"/>
      <c r="R588" s="1"/>
      <c r="S588" s="1"/>
      <c r="T588" s="1"/>
      <c r="U588" s="1"/>
      <c r="V588" s="1"/>
      <c r="W588" s="1"/>
      <c r="X588" s="60">
        <f>IFERROR(VLOOKUP($A588,Ventas!$A$2:$L$5000,12,FALSE()),"")</f>
        <v>0</v>
      </c>
      <c r="Y588" s="60">
        <f t="shared" si="3"/>
        <v>0</v>
      </c>
      <c r="Z588" s="61" t="str">
        <f t="shared" si="4"/>
        <v/>
      </c>
      <c r="AA588" s="60">
        <f t="shared" si="5"/>
        <v>-450</v>
      </c>
      <c r="AB588" s="62" t="str">
        <f t="shared" si="6"/>
        <v/>
      </c>
      <c r="AC588" s="62" t="str">
        <f t="array" ref="AC588">IF(AH588&lt;&gt;"COMPRAR","",IF(MAX(INDEX(Ventas!$G$2:$G$5000,MATCH($A588,Ventas!$A$2:$A$5000,0)),INDEX(Ventas!$H$2:$H$5000,MATCH($A588,Ventas!$A$2:$A$5000,0)),INDEX(Ventas!$I$2:$I$5000,MATCH($A588,Ventas!$A$2:$A$5000,0)),INDEX(Ventas!$J$2:$J$5000,MATCH($A588,Ventas!$A$2:$A$5000,0)))&gt;0.5*AF588*4,"1 mes = "&amp;TEXT(MAX(INDEX(Ventas!$G$2:$G$5000,MATCH($A588,Ventas!$A$2:$A$5000,0)),INDEX(Ventas!$H$2:$H$5000,MATCH($A588,Ventas!$A$2:$A$5000,0)),INDEX(Ventas!$I$2:$I$5000,MATCH($A588,Ventas!$A$2:$A$5000,0)),INDEX(Ventas!$J$2:$J$5000,MATCH($A588,Ventas!$A$2:$A$5000,0)))/(AF588*4),"0%")&amp;" de 4 meses",""))</f>
        <v/>
      </c>
      <c r="AD588" s="62" t="str">
        <f t="shared" si="7"/>
        <v/>
      </c>
      <c r="AE588" s="62" t="str">
        <f t="array" ref="AE588">IF(X588="","",IF(AND(E588=0,AVERAGE(INDEX(Ventas!$C$2:$I$5000,MATCH($A588,Ventas!$A$2:$A$5000,0),0))&gt;0,INDEX(Ventas!$J$2:$J$5000,MATCH($A588,Ventas!$A$2:$A$5000,0))&lt;0.5*AVERAGE(INDEX(Ventas!$C$2:$I$5000,MATCH($A588,Ventas!$A$2:$A$5000,0),0))),"SÍ — stock 0 y Sep cayó (prom Feb-Ago "&amp;TEXT(AVERAGE(INDEX(Ventas!$C$2:$I$5000,MATCH($A588,Ventas!$A$2:$A$5000,0),0)),"#,##0")&amp;")",""))</f>
        <v/>
      </c>
      <c r="AF588" s="60">
        <f t="array" ref="AF588">IF(X588="","",IF(AE588&lt;&gt;"",MAX(X588,AVERAGE(INDEX(Ventas!$C$2:$I$5000,MATCH($A588,Ventas!$A$2:$A$5000,0),0))),X588))</f>
        <v>0</v>
      </c>
      <c r="AG588" s="60">
        <f t="shared" si="8"/>
        <v>-450</v>
      </c>
      <c r="AH588" s="63" t="str">
        <f t="shared" si="9"/>
        <v>SIN VENTAS</v>
      </c>
    </row>
    <row r="589" ht="13.5" customHeight="1">
      <c r="A589" s="49" t="s">
        <v>3372</v>
      </c>
      <c r="B589" s="50" t="s">
        <v>3925</v>
      </c>
      <c r="C589" s="50" t="s">
        <v>3934</v>
      </c>
      <c r="D589" s="50" t="s">
        <v>1329</v>
      </c>
      <c r="E589" s="51">
        <v>3400.0</v>
      </c>
      <c r="F589" s="52"/>
      <c r="G589" s="53"/>
      <c r="H589" s="55"/>
      <c r="I589" s="55"/>
      <c r="J589" s="53"/>
      <c r="K589" s="53"/>
      <c r="L589" s="55"/>
      <c r="M589" s="53"/>
      <c r="N589" s="74"/>
      <c r="O589" s="57" t="str">
        <f t="shared" si="1"/>
        <v>SOBRESTOCK — 142.1 meses de cobertura</v>
      </c>
      <c r="P589" s="58">
        <f t="shared" si="2"/>
        <v>3400</v>
      </c>
      <c r="Q589" s="1"/>
      <c r="R589" s="1"/>
      <c r="S589" s="1"/>
      <c r="T589" s="1"/>
      <c r="U589" s="1"/>
      <c r="V589" s="1"/>
      <c r="W589" s="1"/>
      <c r="X589" s="60">
        <f>IFERROR(VLOOKUP($A589,Ventas!$A$2:$L$5000,12,FALSE()),"")</f>
        <v>23.925</v>
      </c>
      <c r="Y589" s="60">
        <f t="shared" si="3"/>
        <v>96</v>
      </c>
      <c r="Z589" s="61">
        <f t="shared" si="4"/>
        <v>142.1</v>
      </c>
      <c r="AA589" s="60">
        <f t="shared" si="5"/>
        <v>-3304</v>
      </c>
      <c r="AB589" s="62" t="str">
        <f t="shared" si="6"/>
        <v/>
      </c>
      <c r="AC589" s="62" t="str">
        <f t="array" ref="AC589">IF(AH589&lt;&gt;"COMPRAR","",IF(MAX(INDEX(Ventas!$G$2:$G$5000,MATCH($A589,Ventas!$A$2:$A$5000,0)),INDEX(Ventas!$H$2:$H$5000,MATCH($A589,Ventas!$A$2:$A$5000,0)),INDEX(Ventas!$I$2:$I$5000,MATCH($A589,Ventas!$A$2:$A$5000,0)),INDEX(Ventas!$J$2:$J$5000,MATCH($A589,Ventas!$A$2:$A$5000,0)))&gt;0.5*AF589*4,"1 mes = "&amp;TEXT(MAX(INDEX(Ventas!$G$2:$G$5000,MATCH($A589,Ventas!$A$2:$A$5000,0)),INDEX(Ventas!$H$2:$H$5000,MATCH($A589,Ventas!$A$2:$A$5000,0)),INDEX(Ventas!$I$2:$I$5000,MATCH($A589,Ventas!$A$2:$A$5000,0)),INDEX(Ventas!$J$2:$J$5000,MATCH($A589,Ventas!$A$2:$A$5000,0)))/(AF589*4),"0%")&amp;" de 4 meses",""))</f>
        <v/>
      </c>
      <c r="AD589" s="62" t="str">
        <f t="shared" si="7"/>
        <v/>
      </c>
      <c r="AE589" s="62" t="str">
        <f t="array" ref="AE589">IF(X589="","",IF(AND(E589=0,AVERAGE(INDEX(Ventas!$C$2:$I$5000,MATCH($A589,Ventas!$A$2:$A$5000,0),0))&gt;0,INDEX(Ventas!$J$2:$J$5000,MATCH($A589,Ventas!$A$2:$A$5000,0))&lt;0.5*AVERAGE(INDEX(Ventas!$C$2:$I$5000,MATCH($A589,Ventas!$A$2:$A$5000,0),0))),"SÍ — stock 0 y Sep cayó (prom Feb-Ago "&amp;TEXT(AVERAGE(INDEX(Ventas!$C$2:$I$5000,MATCH($A589,Ventas!$A$2:$A$5000,0),0)),"#,##0")&amp;")",""))</f>
        <v/>
      </c>
      <c r="AF589" s="60">
        <f t="array" ref="AF589">IF(X589="","",IF(AE589&lt;&gt;"",MAX(X589,AVERAGE(INDEX(Ventas!$C$2:$I$5000,MATCH($A589,Ventas!$A$2:$A$5000,0),0))),X589))</f>
        <v>23.925</v>
      </c>
      <c r="AG589" s="60">
        <f t="shared" si="8"/>
        <v>-3304</v>
      </c>
      <c r="AH589" s="63" t="str">
        <f t="shared" si="9"/>
        <v>SOBRESTOCK</v>
      </c>
    </row>
    <row r="590" ht="13.5" customHeight="1">
      <c r="A590" s="64" t="s">
        <v>3368</v>
      </c>
      <c r="B590" s="65" t="s">
        <v>3925</v>
      </c>
      <c r="C590" s="65" t="s">
        <v>3934</v>
      </c>
      <c r="D590" s="65" t="s">
        <v>336</v>
      </c>
      <c r="E590" s="51">
        <v>1245.0</v>
      </c>
      <c r="F590" s="66"/>
      <c r="G590" s="53"/>
      <c r="H590" s="55"/>
      <c r="I590" s="55"/>
      <c r="J590" s="53"/>
      <c r="K590" s="53"/>
      <c r="L590" s="55"/>
      <c r="M590" s="53"/>
      <c r="N590" s="73"/>
      <c r="O590" s="57" t="str">
        <f t="shared" si="1"/>
        <v>SIN VENTAS Jun-Sep — no comprar (1,245 m disponibles)</v>
      </c>
      <c r="P590" s="58">
        <f t="shared" si="2"/>
        <v>1245</v>
      </c>
      <c r="Q590" s="1"/>
      <c r="R590" s="1"/>
      <c r="S590" s="1"/>
      <c r="T590" s="1"/>
      <c r="U590" s="1"/>
      <c r="V590" s="1"/>
      <c r="W590" s="1"/>
      <c r="X590" s="60">
        <f>IFERROR(VLOOKUP($A590,Ventas!$A$2:$L$5000,12,FALSE()),"")</f>
        <v>0</v>
      </c>
      <c r="Y590" s="60">
        <f t="shared" si="3"/>
        <v>0</v>
      </c>
      <c r="Z590" s="61" t="str">
        <f t="shared" si="4"/>
        <v/>
      </c>
      <c r="AA590" s="60">
        <f t="shared" si="5"/>
        <v>-1245</v>
      </c>
      <c r="AB590" s="62" t="str">
        <f t="shared" si="6"/>
        <v/>
      </c>
      <c r="AC590" s="62" t="str">
        <f t="array" ref="AC590">IF(AH590&lt;&gt;"COMPRAR","",IF(MAX(INDEX(Ventas!$G$2:$G$5000,MATCH($A590,Ventas!$A$2:$A$5000,0)),INDEX(Ventas!$H$2:$H$5000,MATCH($A590,Ventas!$A$2:$A$5000,0)),INDEX(Ventas!$I$2:$I$5000,MATCH($A590,Ventas!$A$2:$A$5000,0)),INDEX(Ventas!$J$2:$J$5000,MATCH($A590,Ventas!$A$2:$A$5000,0)))&gt;0.5*AF590*4,"1 mes = "&amp;TEXT(MAX(INDEX(Ventas!$G$2:$G$5000,MATCH($A590,Ventas!$A$2:$A$5000,0)),INDEX(Ventas!$H$2:$H$5000,MATCH($A590,Ventas!$A$2:$A$5000,0)),INDEX(Ventas!$I$2:$I$5000,MATCH($A590,Ventas!$A$2:$A$5000,0)),INDEX(Ventas!$J$2:$J$5000,MATCH($A590,Ventas!$A$2:$A$5000,0)))/(AF590*4),"0%")&amp;" de 4 meses",""))</f>
        <v/>
      </c>
      <c r="AD590" s="62" t="str">
        <f t="shared" si="7"/>
        <v/>
      </c>
      <c r="AE590" s="62" t="str">
        <f t="array" ref="AE590">IF(X590="","",IF(AND(E590=0,AVERAGE(INDEX(Ventas!$C$2:$I$5000,MATCH($A590,Ventas!$A$2:$A$5000,0),0))&gt;0,INDEX(Ventas!$J$2:$J$5000,MATCH($A590,Ventas!$A$2:$A$5000,0))&lt;0.5*AVERAGE(INDEX(Ventas!$C$2:$I$5000,MATCH($A590,Ventas!$A$2:$A$5000,0),0))),"SÍ — stock 0 y Sep cayó (prom Feb-Ago "&amp;TEXT(AVERAGE(INDEX(Ventas!$C$2:$I$5000,MATCH($A590,Ventas!$A$2:$A$5000,0),0)),"#,##0")&amp;")",""))</f>
        <v/>
      </c>
      <c r="AF590" s="60">
        <f t="array" ref="AF590">IF(X590="","",IF(AE590&lt;&gt;"",MAX(X590,AVERAGE(INDEX(Ventas!$C$2:$I$5000,MATCH($A590,Ventas!$A$2:$A$5000,0),0))),X590))</f>
        <v>0</v>
      </c>
      <c r="AG590" s="60">
        <f t="shared" si="8"/>
        <v>-1245</v>
      </c>
      <c r="AH590" s="63" t="str">
        <f t="shared" si="9"/>
        <v>SIN VENTAS</v>
      </c>
    </row>
    <row r="591" ht="13.5" customHeight="1">
      <c r="A591" s="49" t="s">
        <v>3370</v>
      </c>
      <c r="B591" s="50" t="s">
        <v>3925</v>
      </c>
      <c r="C591" s="50" t="s">
        <v>3934</v>
      </c>
      <c r="D591" s="50" t="s">
        <v>794</v>
      </c>
      <c r="E591" s="51">
        <v>900.0</v>
      </c>
      <c r="F591" s="52"/>
      <c r="G591" s="53"/>
      <c r="H591" s="55"/>
      <c r="I591" s="55"/>
      <c r="J591" s="53"/>
      <c r="K591" s="53"/>
      <c r="L591" s="55"/>
      <c r="M591" s="53"/>
      <c r="N591" s="74"/>
      <c r="O591" s="57" t="str">
        <f t="shared" si="1"/>
        <v>SOBRESTOCK — 78.8 meses de cobertura</v>
      </c>
      <c r="P591" s="58">
        <f t="shared" si="2"/>
        <v>900</v>
      </c>
      <c r="Q591" s="1"/>
      <c r="R591" s="1"/>
      <c r="S591" s="1"/>
      <c r="T591" s="1"/>
      <c r="U591" s="1"/>
      <c r="V591" s="1"/>
      <c r="W591" s="1"/>
      <c r="X591" s="60">
        <f>IFERROR(VLOOKUP($A591,Ventas!$A$2:$L$5000,12,FALSE()),"")</f>
        <v>11.425</v>
      </c>
      <c r="Y591" s="60">
        <f t="shared" si="3"/>
        <v>46</v>
      </c>
      <c r="Z591" s="61">
        <f t="shared" si="4"/>
        <v>78.8</v>
      </c>
      <c r="AA591" s="60">
        <f t="shared" si="5"/>
        <v>-854</v>
      </c>
      <c r="AB591" s="62" t="str">
        <f t="shared" si="6"/>
        <v/>
      </c>
      <c r="AC591" s="62" t="str">
        <f t="array" ref="AC591">IF(AH591&lt;&gt;"COMPRAR","",IF(MAX(INDEX(Ventas!$G$2:$G$5000,MATCH($A591,Ventas!$A$2:$A$5000,0)),INDEX(Ventas!$H$2:$H$5000,MATCH($A591,Ventas!$A$2:$A$5000,0)),INDEX(Ventas!$I$2:$I$5000,MATCH($A591,Ventas!$A$2:$A$5000,0)),INDEX(Ventas!$J$2:$J$5000,MATCH($A591,Ventas!$A$2:$A$5000,0)))&gt;0.5*AF591*4,"1 mes = "&amp;TEXT(MAX(INDEX(Ventas!$G$2:$G$5000,MATCH($A591,Ventas!$A$2:$A$5000,0)),INDEX(Ventas!$H$2:$H$5000,MATCH($A591,Ventas!$A$2:$A$5000,0)),INDEX(Ventas!$I$2:$I$5000,MATCH($A591,Ventas!$A$2:$A$5000,0)),INDEX(Ventas!$J$2:$J$5000,MATCH($A591,Ventas!$A$2:$A$5000,0)))/(AF591*4),"0%")&amp;" de 4 meses",""))</f>
        <v/>
      </c>
      <c r="AD591" s="62" t="str">
        <f t="shared" si="7"/>
        <v/>
      </c>
      <c r="AE591" s="62" t="str">
        <f t="array" ref="AE591">IF(X591="","",IF(AND(E591=0,AVERAGE(INDEX(Ventas!$C$2:$I$5000,MATCH($A591,Ventas!$A$2:$A$5000,0),0))&gt;0,INDEX(Ventas!$J$2:$J$5000,MATCH($A591,Ventas!$A$2:$A$5000,0))&lt;0.5*AVERAGE(INDEX(Ventas!$C$2:$I$5000,MATCH($A591,Ventas!$A$2:$A$5000,0),0))),"SÍ — stock 0 y Sep cayó (prom Feb-Ago "&amp;TEXT(AVERAGE(INDEX(Ventas!$C$2:$I$5000,MATCH($A591,Ventas!$A$2:$A$5000,0),0)),"#,##0")&amp;")",""))</f>
        <v/>
      </c>
      <c r="AF591" s="60">
        <f t="array" ref="AF591">IF(X591="","",IF(AE591&lt;&gt;"",MAX(X591,AVERAGE(INDEX(Ventas!$C$2:$I$5000,MATCH($A591,Ventas!$A$2:$A$5000,0),0))),X591))</f>
        <v>11.425</v>
      </c>
      <c r="AG591" s="60">
        <f t="shared" si="8"/>
        <v>-854</v>
      </c>
      <c r="AH591" s="63" t="str">
        <f t="shared" si="9"/>
        <v>SOBRESTOCK</v>
      </c>
    </row>
    <row r="592" ht="13.5" customHeight="1">
      <c r="A592" s="64" t="s">
        <v>3266</v>
      </c>
      <c r="B592" s="65" t="s">
        <v>3925</v>
      </c>
      <c r="C592" s="65" t="s">
        <v>3935</v>
      </c>
      <c r="D592" s="65" t="s">
        <v>1329</v>
      </c>
      <c r="E592" s="51">
        <v>2255.0</v>
      </c>
      <c r="F592" s="66"/>
      <c r="G592" s="53"/>
      <c r="H592" s="55"/>
      <c r="I592" s="55"/>
      <c r="J592" s="53"/>
      <c r="K592" s="53"/>
      <c r="L592" s="55"/>
      <c r="M592" s="53"/>
      <c r="N592" s="73"/>
      <c r="O592" s="57" t="str">
        <f t="shared" si="1"/>
        <v>SOBRESTOCK — 15.0 meses de cobertura</v>
      </c>
      <c r="P592" s="58">
        <f t="shared" si="2"/>
        <v>2255</v>
      </c>
      <c r="Q592" s="1"/>
      <c r="R592" s="1"/>
      <c r="S592" s="1"/>
      <c r="T592" s="1"/>
      <c r="U592" s="1"/>
      <c r="V592" s="1"/>
      <c r="W592" s="1"/>
      <c r="X592" s="60">
        <f>IFERROR(VLOOKUP($A592,Ventas!$A$2:$L$5000,12,FALSE()),"")</f>
        <v>150</v>
      </c>
      <c r="Y592" s="60">
        <f t="shared" si="3"/>
        <v>600</v>
      </c>
      <c r="Z592" s="61">
        <f t="shared" si="4"/>
        <v>15</v>
      </c>
      <c r="AA592" s="60">
        <f t="shared" si="5"/>
        <v>-1655</v>
      </c>
      <c r="AB592" s="62" t="str">
        <f t="shared" si="6"/>
        <v/>
      </c>
      <c r="AC592" s="62" t="str">
        <f t="array" ref="AC592">IF(AH592&lt;&gt;"COMPRAR","",IF(MAX(INDEX(Ventas!$G$2:$G$5000,MATCH($A592,Ventas!$A$2:$A$5000,0)),INDEX(Ventas!$H$2:$H$5000,MATCH($A592,Ventas!$A$2:$A$5000,0)),INDEX(Ventas!$I$2:$I$5000,MATCH($A592,Ventas!$A$2:$A$5000,0)),INDEX(Ventas!$J$2:$J$5000,MATCH($A592,Ventas!$A$2:$A$5000,0)))&gt;0.5*AF592*4,"1 mes = "&amp;TEXT(MAX(INDEX(Ventas!$G$2:$G$5000,MATCH($A592,Ventas!$A$2:$A$5000,0)),INDEX(Ventas!$H$2:$H$5000,MATCH($A592,Ventas!$A$2:$A$5000,0)),INDEX(Ventas!$I$2:$I$5000,MATCH($A592,Ventas!$A$2:$A$5000,0)),INDEX(Ventas!$J$2:$J$5000,MATCH($A592,Ventas!$A$2:$A$5000,0)))/(AF592*4),"0%")&amp;" de 4 meses",""))</f>
        <v/>
      </c>
      <c r="AD592" s="62" t="str">
        <f t="shared" si="7"/>
        <v/>
      </c>
      <c r="AE592" s="62" t="str">
        <f t="array" ref="AE592">IF(X592="","",IF(AND(E592=0,AVERAGE(INDEX(Ventas!$C$2:$I$5000,MATCH($A592,Ventas!$A$2:$A$5000,0),0))&gt;0,INDEX(Ventas!$J$2:$J$5000,MATCH($A592,Ventas!$A$2:$A$5000,0))&lt;0.5*AVERAGE(INDEX(Ventas!$C$2:$I$5000,MATCH($A592,Ventas!$A$2:$A$5000,0),0))),"SÍ — stock 0 y Sep cayó (prom Feb-Ago "&amp;TEXT(AVERAGE(INDEX(Ventas!$C$2:$I$5000,MATCH($A592,Ventas!$A$2:$A$5000,0),0)),"#,##0")&amp;")",""))</f>
        <v/>
      </c>
      <c r="AF592" s="60">
        <f t="array" ref="AF592">IF(X592="","",IF(AE592&lt;&gt;"",MAX(X592,AVERAGE(INDEX(Ventas!$C$2:$I$5000,MATCH($A592,Ventas!$A$2:$A$5000,0),0))),X592))</f>
        <v>150</v>
      </c>
      <c r="AG592" s="60">
        <f t="shared" si="8"/>
        <v>-1655</v>
      </c>
      <c r="AH592" s="63" t="str">
        <f t="shared" si="9"/>
        <v>SOBRESTOCK</v>
      </c>
    </row>
    <row r="593" ht="13.5" customHeight="1">
      <c r="A593" s="49" t="s">
        <v>3264</v>
      </c>
      <c r="B593" s="50" t="s">
        <v>3925</v>
      </c>
      <c r="C593" s="50" t="s">
        <v>3935</v>
      </c>
      <c r="D593" s="50" t="s">
        <v>336</v>
      </c>
      <c r="E593" s="51">
        <v>1487.0</v>
      </c>
      <c r="F593" s="52"/>
      <c r="G593" s="53"/>
      <c r="H593" s="55"/>
      <c r="I593" s="55"/>
      <c r="J593" s="53"/>
      <c r="K593" s="53"/>
      <c r="L593" s="55"/>
      <c r="M593" s="53"/>
      <c r="N593" s="74"/>
      <c r="O593" s="57" t="str">
        <f t="shared" si="1"/>
        <v>SOBRESTOCK — 17.0 meses de cobertura</v>
      </c>
      <c r="P593" s="58">
        <f t="shared" si="2"/>
        <v>1487</v>
      </c>
      <c r="Q593" s="1"/>
      <c r="R593" s="1"/>
      <c r="S593" s="1"/>
      <c r="T593" s="1"/>
      <c r="U593" s="1"/>
      <c r="V593" s="1"/>
      <c r="W593" s="1"/>
      <c r="X593" s="60">
        <f>IFERROR(VLOOKUP($A593,Ventas!$A$2:$L$5000,12,FALSE()),"")</f>
        <v>87.5</v>
      </c>
      <c r="Y593" s="60">
        <f t="shared" si="3"/>
        <v>350</v>
      </c>
      <c r="Z593" s="61">
        <f t="shared" si="4"/>
        <v>17</v>
      </c>
      <c r="AA593" s="60">
        <f t="shared" si="5"/>
        <v>-1137</v>
      </c>
      <c r="AB593" s="62" t="str">
        <f t="shared" si="6"/>
        <v/>
      </c>
      <c r="AC593" s="62" t="str">
        <f t="array" ref="AC593">IF(AH593&lt;&gt;"COMPRAR","",IF(MAX(INDEX(Ventas!$G$2:$G$5000,MATCH($A593,Ventas!$A$2:$A$5000,0)),INDEX(Ventas!$H$2:$H$5000,MATCH($A593,Ventas!$A$2:$A$5000,0)),INDEX(Ventas!$I$2:$I$5000,MATCH($A593,Ventas!$A$2:$A$5000,0)),INDEX(Ventas!$J$2:$J$5000,MATCH($A593,Ventas!$A$2:$A$5000,0)))&gt;0.5*AF593*4,"1 mes = "&amp;TEXT(MAX(INDEX(Ventas!$G$2:$G$5000,MATCH($A593,Ventas!$A$2:$A$5000,0)),INDEX(Ventas!$H$2:$H$5000,MATCH($A593,Ventas!$A$2:$A$5000,0)),INDEX(Ventas!$I$2:$I$5000,MATCH($A593,Ventas!$A$2:$A$5000,0)),INDEX(Ventas!$J$2:$J$5000,MATCH($A593,Ventas!$A$2:$A$5000,0)))/(AF593*4),"0%")&amp;" de 4 meses",""))</f>
        <v/>
      </c>
      <c r="AD593" s="62" t="str">
        <f t="shared" si="7"/>
        <v/>
      </c>
      <c r="AE593" s="62" t="str">
        <f t="array" ref="AE593">IF(X593="","",IF(AND(E593=0,AVERAGE(INDEX(Ventas!$C$2:$I$5000,MATCH($A593,Ventas!$A$2:$A$5000,0),0))&gt;0,INDEX(Ventas!$J$2:$J$5000,MATCH($A593,Ventas!$A$2:$A$5000,0))&lt;0.5*AVERAGE(INDEX(Ventas!$C$2:$I$5000,MATCH($A593,Ventas!$A$2:$A$5000,0),0))),"SÍ — stock 0 y Sep cayó (prom Feb-Ago "&amp;TEXT(AVERAGE(INDEX(Ventas!$C$2:$I$5000,MATCH($A593,Ventas!$A$2:$A$5000,0),0)),"#,##0")&amp;")",""))</f>
        <v/>
      </c>
      <c r="AF593" s="60">
        <f t="array" ref="AF593">IF(X593="","",IF(AE593&lt;&gt;"",MAX(X593,AVERAGE(INDEX(Ventas!$C$2:$I$5000,MATCH($A593,Ventas!$A$2:$A$5000,0),0))),X593))</f>
        <v>87.5</v>
      </c>
      <c r="AG593" s="60">
        <f t="shared" si="8"/>
        <v>-1137</v>
      </c>
      <c r="AH593" s="63" t="str">
        <f t="shared" si="9"/>
        <v>SOBRESTOCK</v>
      </c>
    </row>
    <row r="594" ht="13.5" customHeight="1">
      <c r="A594" s="64" t="s">
        <v>3329</v>
      </c>
      <c r="B594" s="65" t="s">
        <v>3925</v>
      </c>
      <c r="C594" s="65" t="s">
        <v>3936</v>
      </c>
      <c r="D594" s="65" t="s">
        <v>1329</v>
      </c>
      <c r="E594" s="51">
        <v>425.0</v>
      </c>
      <c r="F594" s="66"/>
      <c r="G594" s="53"/>
      <c r="H594" s="55"/>
      <c r="I594" s="55"/>
      <c r="J594" s="53"/>
      <c r="K594" s="53"/>
      <c r="L594" s="55"/>
      <c r="M594" s="53"/>
      <c r="N594" s="73"/>
      <c r="O594" s="57" t="str">
        <f t="shared" si="1"/>
        <v>SOBRESTOCK — 22.7 meses de cobertura</v>
      </c>
      <c r="P594" s="58">
        <f t="shared" si="2"/>
        <v>425</v>
      </c>
      <c r="Q594" s="1"/>
      <c r="R594" s="1"/>
      <c r="S594" s="1"/>
      <c r="T594" s="1"/>
      <c r="U594" s="1"/>
      <c r="V594" s="1"/>
      <c r="W594" s="1"/>
      <c r="X594" s="60">
        <f>IFERROR(VLOOKUP($A594,Ventas!$A$2:$L$5000,12,FALSE()),"")</f>
        <v>18.75</v>
      </c>
      <c r="Y594" s="60">
        <f t="shared" si="3"/>
        <v>75</v>
      </c>
      <c r="Z594" s="61">
        <f t="shared" si="4"/>
        <v>22.7</v>
      </c>
      <c r="AA594" s="60">
        <f t="shared" si="5"/>
        <v>-350</v>
      </c>
      <c r="AB594" s="62" t="str">
        <f t="shared" si="6"/>
        <v/>
      </c>
      <c r="AC594" s="62" t="str">
        <f t="array" ref="AC594">IF(AH594&lt;&gt;"COMPRAR","",IF(MAX(INDEX(Ventas!$G$2:$G$5000,MATCH($A594,Ventas!$A$2:$A$5000,0)),INDEX(Ventas!$H$2:$H$5000,MATCH($A594,Ventas!$A$2:$A$5000,0)),INDEX(Ventas!$I$2:$I$5000,MATCH($A594,Ventas!$A$2:$A$5000,0)),INDEX(Ventas!$J$2:$J$5000,MATCH($A594,Ventas!$A$2:$A$5000,0)))&gt;0.5*AF594*4,"1 mes = "&amp;TEXT(MAX(INDEX(Ventas!$G$2:$G$5000,MATCH($A594,Ventas!$A$2:$A$5000,0)),INDEX(Ventas!$H$2:$H$5000,MATCH($A594,Ventas!$A$2:$A$5000,0)),INDEX(Ventas!$I$2:$I$5000,MATCH($A594,Ventas!$A$2:$A$5000,0)),INDEX(Ventas!$J$2:$J$5000,MATCH($A594,Ventas!$A$2:$A$5000,0)))/(AF594*4),"0%")&amp;" de 4 meses",""))</f>
        <v/>
      </c>
      <c r="AD594" s="62" t="str">
        <f t="shared" si="7"/>
        <v/>
      </c>
      <c r="AE594" s="62" t="str">
        <f t="array" ref="AE594">IF(X594="","",IF(AND(E594=0,AVERAGE(INDEX(Ventas!$C$2:$I$5000,MATCH($A594,Ventas!$A$2:$A$5000,0),0))&gt;0,INDEX(Ventas!$J$2:$J$5000,MATCH($A594,Ventas!$A$2:$A$5000,0))&lt;0.5*AVERAGE(INDEX(Ventas!$C$2:$I$5000,MATCH($A594,Ventas!$A$2:$A$5000,0),0))),"SÍ — stock 0 y Sep cayó (prom Feb-Ago "&amp;TEXT(AVERAGE(INDEX(Ventas!$C$2:$I$5000,MATCH($A594,Ventas!$A$2:$A$5000,0),0)),"#,##0")&amp;")",""))</f>
        <v/>
      </c>
      <c r="AF594" s="60">
        <f t="array" ref="AF594">IF(X594="","",IF(AE594&lt;&gt;"",MAX(X594,AVERAGE(INDEX(Ventas!$C$2:$I$5000,MATCH($A594,Ventas!$A$2:$A$5000,0),0))),X594))</f>
        <v>18.75</v>
      </c>
      <c r="AG594" s="60">
        <f t="shared" si="8"/>
        <v>-350</v>
      </c>
      <c r="AH594" s="63" t="str">
        <f t="shared" si="9"/>
        <v>SOBRESTOCK</v>
      </c>
    </row>
    <row r="595" ht="13.5" customHeight="1">
      <c r="A595" s="49" t="s">
        <v>3327</v>
      </c>
      <c r="B595" s="50" t="s">
        <v>3925</v>
      </c>
      <c r="C595" s="50" t="s">
        <v>3936</v>
      </c>
      <c r="D595" s="50" t="s">
        <v>336</v>
      </c>
      <c r="E595" s="51">
        <v>1561.0</v>
      </c>
      <c r="F595" s="52"/>
      <c r="G595" s="53"/>
      <c r="H595" s="55"/>
      <c r="I595" s="55"/>
      <c r="J595" s="53"/>
      <c r="K595" s="53"/>
      <c r="L595" s="55"/>
      <c r="M595" s="53"/>
      <c r="N595" s="74"/>
      <c r="O595" s="57" t="str">
        <f t="shared" si="1"/>
        <v>SIN VENTAS Jun-Sep — no comprar (1,561 m disponibles)</v>
      </c>
      <c r="P595" s="58">
        <f t="shared" si="2"/>
        <v>1561</v>
      </c>
      <c r="Q595" s="1"/>
      <c r="R595" s="1"/>
      <c r="S595" s="1"/>
      <c r="T595" s="1"/>
      <c r="U595" s="1"/>
      <c r="V595" s="1"/>
      <c r="W595" s="1"/>
      <c r="X595" s="60">
        <f>IFERROR(VLOOKUP($A595,Ventas!$A$2:$L$5000,12,FALSE()),"")</f>
        <v>0</v>
      </c>
      <c r="Y595" s="60">
        <f t="shared" si="3"/>
        <v>0</v>
      </c>
      <c r="Z595" s="61" t="str">
        <f t="shared" si="4"/>
        <v/>
      </c>
      <c r="AA595" s="60">
        <f t="shared" si="5"/>
        <v>-1561</v>
      </c>
      <c r="AB595" s="62" t="str">
        <f t="shared" si="6"/>
        <v/>
      </c>
      <c r="AC595" s="62" t="str">
        <f t="array" ref="AC595">IF(AH595&lt;&gt;"COMPRAR","",IF(MAX(INDEX(Ventas!$G$2:$G$5000,MATCH($A595,Ventas!$A$2:$A$5000,0)),INDEX(Ventas!$H$2:$H$5000,MATCH($A595,Ventas!$A$2:$A$5000,0)),INDEX(Ventas!$I$2:$I$5000,MATCH($A595,Ventas!$A$2:$A$5000,0)),INDEX(Ventas!$J$2:$J$5000,MATCH($A595,Ventas!$A$2:$A$5000,0)))&gt;0.5*AF595*4,"1 mes = "&amp;TEXT(MAX(INDEX(Ventas!$G$2:$G$5000,MATCH($A595,Ventas!$A$2:$A$5000,0)),INDEX(Ventas!$H$2:$H$5000,MATCH($A595,Ventas!$A$2:$A$5000,0)),INDEX(Ventas!$I$2:$I$5000,MATCH($A595,Ventas!$A$2:$A$5000,0)),INDEX(Ventas!$J$2:$J$5000,MATCH($A595,Ventas!$A$2:$A$5000,0)))/(AF595*4),"0%")&amp;" de 4 meses",""))</f>
        <v/>
      </c>
      <c r="AD595" s="62" t="str">
        <f t="shared" si="7"/>
        <v/>
      </c>
      <c r="AE595" s="62" t="str">
        <f t="array" ref="AE595">IF(X595="","",IF(AND(E595=0,AVERAGE(INDEX(Ventas!$C$2:$I$5000,MATCH($A595,Ventas!$A$2:$A$5000,0),0))&gt;0,INDEX(Ventas!$J$2:$J$5000,MATCH($A595,Ventas!$A$2:$A$5000,0))&lt;0.5*AVERAGE(INDEX(Ventas!$C$2:$I$5000,MATCH($A595,Ventas!$A$2:$A$5000,0),0))),"SÍ — stock 0 y Sep cayó (prom Feb-Ago "&amp;TEXT(AVERAGE(INDEX(Ventas!$C$2:$I$5000,MATCH($A595,Ventas!$A$2:$A$5000,0),0)),"#,##0")&amp;")",""))</f>
        <v/>
      </c>
      <c r="AF595" s="60">
        <f t="array" ref="AF595">IF(X595="","",IF(AE595&lt;&gt;"",MAX(X595,AVERAGE(INDEX(Ventas!$C$2:$I$5000,MATCH($A595,Ventas!$A$2:$A$5000,0),0))),X595))</f>
        <v>0</v>
      </c>
      <c r="AG595" s="60">
        <f t="shared" si="8"/>
        <v>-1561</v>
      </c>
      <c r="AH595" s="63" t="str">
        <f t="shared" si="9"/>
        <v>SIN VENTAS</v>
      </c>
    </row>
    <row r="596" ht="13.5" customHeight="1">
      <c r="A596" s="64" t="s">
        <v>3088</v>
      </c>
      <c r="B596" s="65" t="s">
        <v>3925</v>
      </c>
      <c r="C596" s="65" t="s">
        <v>3937</v>
      </c>
      <c r="D596" s="65" t="s">
        <v>3858</v>
      </c>
      <c r="E596" s="51">
        <v>500.0</v>
      </c>
      <c r="F596" s="66"/>
      <c r="G596" s="53"/>
      <c r="H596" s="55"/>
      <c r="I596" s="55"/>
      <c r="J596" s="53"/>
      <c r="K596" s="53"/>
      <c r="L596" s="55"/>
      <c r="M596" s="53"/>
      <c r="N596" s="73"/>
      <c r="O596" s="57" t="str">
        <f t="shared" si="1"/>
        <v>SIN VENTAS Jun-Sep — no comprar (500 m disponibles)</v>
      </c>
      <c r="P596" s="58">
        <f t="shared" si="2"/>
        <v>500</v>
      </c>
      <c r="Q596" s="1"/>
      <c r="R596" s="1"/>
      <c r="S596" s="1"/>
      <c r="T596" s="1"/>
      <c r="U596" s="1"/>
      <c r="V596" s="1"/>
      <c r="W596" s="1"/>
      <c r="X596" s="60">
        <f>IFERROR(VLOOKUP($A596,Ventas!$A$2:$L$5000,12,FALSE()),"")</f>
        <v>0</v>
      </c>
      <c r="Y596" s="60">
        <f t="shared" si="3"/>
        <v>0</v>
      </c>
      <c r="Z596" s="61" t="str">
        <f t="shared" si="4"/>
        <v/>
      </c>
      <c r="AA596" s="60">
        <f t="shared" si="5"/>
        <v>-500</v>
      </c>
      <c r="AB596" s="62" t="str">
        <f t="shared" si="6"/>
        <v/>
      </c>
      <c r="AC596" s="62" t="str">
        <f t="array" ref="AC596">IF(AH596&lt;&gt;"COMPRAR","",IF(MAX(INDEX(Ventas!$G$2:$G$5000,MATCH($A596,Ventas!$A$2:$A$5000,0)),INDEX(Ventas!$H$2:$H$5000,MATCH($A596,Ventas!$A$2:$A$5000,0)),INDEX(Ventas!$I$2:$I$5000,MATCH($A596,Ventas!$A$2:$A$5000,0)),INDEX(Ventas!$J$2:$J$5000,MATCH($A596,Ventas!$A$2:$A$5000,0)))&gt;0.5*AF596*4,"1 mes = "&amp;TEXT(MAX(INDEX(Ventas!$G$2:$G$5000,MATCH($A596,Ventas!$A$2:$A$5000,0)),INDEX(Ventas!$H$2:$H$5000,MATCH($A596,Ventas!$A$2:$A$5000,0)),INDEX(Ventas!$I$2:$I$5000,MATCH($A596,Ventas!$A$2:$A$5000,0)),INDEX(Ventas!$J$2:$J$5000,MATCH($A596,Ventas!$A$2:$A$5000,0)))/(AF596*4),"0%")&amp;" de 4 meses",""))</f>
        <v/>
      </c>
      <c r="AD596" s="62" t="str">
        <f t="shared" si="7"/>
        <v/>
      </c>
      <c r="AE596" s="62" t="str">
        <f t="array" ref="AE596">IF(X596="","",IF(AND(E596=0,AVERAGE(INDEX(Ventas!$C$2:$I$5000,MATCH($A596,Ventas!$A$2:$A$5000,0),0))&gt;0,INDEX(Ventas!$J$2:$J$5000,MATCH($A596,Ventas!$A$2:$A$5000,0))&lt;0.5*AVERAGE(INDEX(Ventas!$C$2:$I$5000,MATCH($A596,Ventas!$A$2:$A$5000,0),0))),"SÍ — stock 0 y Sep cayó (prom Feb-Ago "&amp;TEXT(AVERAGE(INDEX(Ventas!$C$2:$I$5000,MATCH($A596,Ventas!$A$2:$A$5000,0),0)),"#,##0")&amp;")",""))</f>
        <v/>
      </c>
      <c r="AF596" s="60">
        <f t="array" ref="AF596">IF(X596="","",IF(AE596&lt;&gt;"",MAX(X596,AVERAGE(INDEX(Ventas!$C$2:$I$5000,MATCH($A596,Ventas!$A$2:$A$5000,0),0))),X596))</f>
        <v>0</v>
      </c>
      <c r="AG596" s="60">
        <f t="shared" si="8"/>
        <v>-500</v>
      </c>
      <c r="AH596" s="63" t="str">
        <f t="shared" si="9"/>
        <v>SIN VENTAS</v>
      </c>
    </row>
    <row r="597" ht="13.5" customHeight="1">
      <c r="A597" s="49" t="s">
        <v>3090</v>
      </c>
      <c r="B597" s="50" t="s">
        <v>3925</v>
      </c>
      <c r="C597" s="50" t="s">
        <v>3937</v>
      </c>
      <c r="D597" s="50" t="s">
        <v>3756</v>
      </c>
      <c r="E597" s="51">
        <v>175.0</v>
      </c>
      <c r="F597" s="52"/>
      <c r="G597" s="53"/>
      <c r="H597" s="55"/>
      <c r="I597" s="55"/>
      <c r="J597" s="53"/>
      <c r="K597" s="53"/>
      <c r="L597" s="55"/>
      <c r="M597" s="53"/>
      <c r="N597" s="74"/>
      <c r="O597" s="57" t="str">
        <f t="shared" si="1"/>
        <v>SOBRESTOCK — 14.0 meses de cobertura</v>
      </c>
      <c r="P597" s="58">
        <f t="shared" si="2"/>
        <v>175</v>
      </c>
      <c r="Q597" s="1"/>
      <c r="R597" s="1"/>
      <c r="S597" s="1"/>
      <c r="T597" s="1"/>
      <c r="U597" s="1"/>
      <c r="V597" s="1"/>
      <c r="W597" s="1"/>
      <c r="X597" s="60">
        <f>IFERROR(VLOOKUP($A597,Ventas!$A$2:$L$5000,12,FALSE()),"")</f>
        <v>12.5</v>
      </c>
      <c r="Y597" s="60">
        <f t="shared" si="3"/>
        <v>50</v>
      </c>
      <c r="Z597" s="61">
        <f t="shared" si="4"/>
        <v>14</v>
      </c>
      <c r="AA597" s="60">
        <f t="shared" si="5"/>
        <v>-125</v>
      </c>
      <c r="AB597" s="62" t="str">
        <f t="shared" si="6"/>
        <v/>
      </c>
      <c r="AC597" s="62" t="str">
        <f t="array" ref="AC597">IF(AH597&lt;&gt;"COMPRAR","",IF(MAX(INDEX(Ventas!$G$2:$G$5000,MATCH($A597,Ventas!$A$2:$A$5000,0)),INDEX(Ventas!$H$2:$H$5000,MATCH($A597,Ventas!$A$2:$A$5000,0)),INDEX(Ventas!$I$2:$I$5000,MATCH($A597,Ventas!$A$2:$A$5000,0)),INDEX(Ventas!$J$2:$J$5000,MATCH($A597,Ventas!$A$2:$A$5000,0)))&gt;0.5*AF597*4,"1 mes = "&amp;TEXT(MAX(INDEX(Ventas!$G$2:$G$5000,MATCH($A597,Ventas!$A$2:$A$5000,0)),INDEX(Ventas!$H$2:$H$5000,MATCH($A597,Ventas!$A$2:$A$5000,0)),INDEX(Ventas!$I$2:$I$5000,MATCH($A597,Ventas!$A$2:$A$5000,0)),INDEX(Ventas!$J$2:$J$5000,MATCH($A597,Ventas!$A$2:$A$5000,0)))/(AF597*4),"0%")&amp;" de 4 meses",""))</f>
        <v/>
      </c>
      <c r="AD597" s="62" t="str">
        <f t="shared" si="7"/>
        <v/>
      </c>
      <c r="AE597" s="62" t="str">
        <f t="array" ref="AE597">IF(X597="","",IF(AND(E597=0,AVERAGE(INDEX(Ventas!$C$2:$I$5000,MATCH($A597,Ventas!$A$2:$A$5000,0),0))&gt;0,INDEX(Ventas!$J$2:$J$5000,MATCH($A597,Ventas!$A$2:$A$5000,0))&lt;0.5*AVERAGE(INDEX(Ventas!$C$2:$I$5000,MATCH($A597,Ventas!$A$2:$A$5000,0),0))),"SÍ — stock 0 y Sep cayó (prom Feb-Ago "&amp;TEXT(AVERAGE(INDEX(Ventas!$C$2:$I$5000,MATCH($A597,Ventas!$A$2:$A$5000,0),0)),"#,##0")&amp;")",""))</f>
        <v/>
      </c>
      <c r="AF597" s="60">
        <f t="array" ref="AF597">IF(X597="","",IF(AE597&lt;&gt;"",MAX(X597,AVERAGE(INDEX(Ventas!$C$2:$I$5000,MATCH($A597,Ventas!$A$2:$A$5000,0),0))),X597))</f>
        <v>12.5</v>
      </c>
      <c r="AG597" s="60">
        <f t="shared" si="8"/>
        <v>-125</v>
      </c>
      <c r="AH597" s="63" t="str">
        <f t="shared" si="9"/>
        <v>SOBRESTOCK</v>
      </c>
    </row>
    <row r="598" ht="13.5" customHeight="1">
      <c r="A598" s="64" t="s">
        <v>3084</v>
      </c>
      <c r="B598" s="65" t="s">
        <v>3925</v>
      </c>
      <c r="C598" s="65" t="s">
        <v>3938</v>
      </c>
      <c r="D598" s="65" t="s">
        <v>3921</v>
      </c>
      <c r="E598" s="51">
        <v>450.0</v>
      </c>
      <c r="F598" s="66"/>
      <c r="G598" s="53"/>
      <c r="H598" s="55"/>
      <c r="I598" s="55"/>
      <c r="J598" s="53"/>
      <c r="K598" s="53"/>
      <c r="L598" s="55"/>
      <c r="M598" s="53"/>
      <c r="N598" s="73"/>
      <c r="O598" s="57" t="str">
        <f t="shared" si="1"/>
        <v>SOBRESTOCK — 36.0 meses de cobertura</v>
      </c>
      <c r="P598" s="58">
        <f t="shared" si="2"/>
        <v>450</v>
      </c>
      <c r="Q598" s="1"/>
      <c r="R598" s="1"/>
      <c r="S598" s="1"/>
      <c r="T598" s="1"/>
      <c r="U598" s="1"/>
      <c r="V598" s="1"/>
      <c r="W598" s="1"/>
      <c r="X598" s="60">
        <f>IFERROR(VLOOKUP($A598,Ventas!$A$2:$L$5000,12,FALSE()),"")</f>
        <v>12.5</v>
      </c>
      <c r="Y598" s="60">
        <f t="shared" si="3"/>
        <v>50</v>
      </c>
      <c r="Z598" s="61">
        <f t="shared" si="4"/>
        <v>36</v>
      </c>
      <c r="AA598" s="60">
        <f t="shared" si="5"/>
        <v>-400</v>
      </c>
      <c r="AB598" s="62" t="str">
        <f t="shared" si="6"/>
        <v/>
      </c>
      <c r="AC598" s="62" t="str">
        <f t="array" ref="AC598">IF(AH598&lt;&gt;"COMPRAR","",IF(MAX(INDEX(Ventas!$G$2:$G$5000,MATCH($A598,Ventas!$A$2:$A$5000,0)),INDEX(Ventas!$H$2:$H$5000,MATCH($A598,Ventas!$A$2:$A$5000,0)),INDEX(Ventas!$I$2:$I$5000,MATCH($A598,Ventas!$A$2:$A$5000,0)),INDEX(Ventas!$J$2:$J$5000,MATCH($A598,Ventas!$A$2:$A$5000,0)))&gt;0.5*AF598*4,"1 mes = "&amp;TEXT(MAX(INDEX(Ventas!$G$2:$G$5000,MATCH($A598,Ventas!$A$2:$A$5000,0)),INDEX(Ventas!$H$2:$H$5000,MATCH($A598,Ventas!$A$2:$A$5000,0)),INDEX(Ventas!$I$2:$I$5000,MATCH($A598,Ventas!$A$2:$A$5000,0)),INDEX(Ventas!$J$2:$J$5000,MATCH($A598,Ventas!$A$2:$A$5000,0)))/(AF598*4),"0%")&amp;" de 4 meses",""))</f>
        <v/>
      </c>
      <c r="AD598" s="62" t="str">
        <f t="shared" si="7"/>
        <v/>
      </c>
      <c r="AE598" s="62" t="str">
        <f t="array" ref="AE598">IF(X598="","",IF(AND(E598=0,AVERAGE(INDEX(Ventas!$C$2:$I$5000,MATCH($A598,Ventas!$A$2:$A$5000,0),0))&gt;0,INDEX(Ventas!$J$2:$J$5000,MATCH($A598,Ventas!$A$2:$A$5000,0))&lt;0.5*AVERAGE(INDEX(Ventas!$C$2:$I$5000,MATCH($A598,Ventas!$A$2:$A$5000,0),0))),"SÍ — stock 0 y Sep cayó (prom Feb-Ago "&amp;TEXT(AVERAGE(INDEX(Ventas!$C$2:$I$5000,MATCH($A598,Ventas!$A$2:$A$5000,0),0)),"#,##0")&amp;")",""))</f>
        <v/>
      </c>
      <c r="AF598" s="60">
        <f t="array" ref="AF598">IF(X598="","",IF(AE598&lt;&gt;"",MAX(X598,AVERAGE(INDEX(Ventas!$C$2:$I$5000,MATCH($A598,Ventas!$A$2:$A$5000,0),0))),X598))</f>
        <v>12.5</v>
      </c>
      <c r="AG598" s="60">
        <f t="shared" si="8"/>
        <v>-400</v>
      </c>
      <c r="AH598" s="63" t="str">
        <f t="shared" si="9"/>
        <v>SOBRESTOCK</v>
      </c>
    </row>
    <row r="599" ht="13.5" customHeight="1">
      <c r="A599" s="49" t="s">
        <v>3082</v>
      </c>
      <c r="B599" s="50" t="s">
        <v>3925</v>
      </c>
      <c r="C599" s="50" t="s">
        <v>3938</v>
      </c>
      <c r="D599" s="50" t="s">
        <v>3828</v>
      </c>
      <c r="E599" s="51">
        <v>1000.0</v>
      </c>
      <c r="F599" s="52"/>
      <c r="G599" s="53"/>
      <c r="H599" s="55"/>
      <c r="I599" s="55"/>
      <c r="J599" s="53"/>
      <c r="K599" s="53"/>
      <c r="L599" s="55"/>
      <c r="M599" s="53"/>
      <c r="N599" s="74"/>
      <c r="O599" s="57" t="str">
        <f t="shared" si="1"/>
        <v>SOBRESTOCK — 80.0 meses de cobertura</v>
      </c>
      <c r="P599" s="58">
        <f t="shared" si="2"/>
        <v>1000</v>
      </c>
      <c r="Q599" s="1"/>
      <c r="R599" s="1"/>
      <c r="S599" s="1"/>
      <c r="T599" s="1"/>
      <c r="U599" s="1"/>
      <c r="V599" s="1"/>
      <c r="W599" s="1"/>
      <c r="X599" s="60">
        <f>IFERROR(VLOOKUP($A599,Ventas!$A$2:$L$5000,12,FALSE()),"")</f>
        <v>12.5</v>
      </c>
      <c r="Y599" s="60">
        <f t="shared" si="3"/>
        <v>50</v>
      </c>
      <c r="Z599" s="61">
        <f t="shared" si="4"/>
        <v>80</v>
      </c>
      <c r="AA599" s="60">
        <f t="shared" si="5"/>
        <v>-950</v>
      </c>
      <c r="AB599" s="62" t="str">
        <f t="shared" si="6"/>
        <v/>
      </c>
      <c r="AC599" s="62" t="str">
        <f t="array" ref="AC599">IF(AH599&lt;&gt;"COMPRAR","",IF(MAX(INDEX(Ventas!$G$2:$G$5000,MATCH($A599,Ventas!$A$2:$A$5000,0)),INDEX(Ventas!$H$2:$H$5000,MATCH($A599,Ventas!$A$2:$A$5000,0)),INDEX(Ventas!$I$2:$I$5000,MATCH($A599,Ventas!$A$2:$A$5000,0)),INDEX(Ventas!$J$2:$J$5000,MATCH($A599,Ventas!$A$2:$A$5000,0)))&gt;0.5*AF599*4,"1 mes = "&amp;TEXT(MAX(INDEX(Ventas!$G$2:$G$5000,MATCH($A599,Ventas!$A$2:$A$5000,0)),INDEX(Ventas!$H$2:$H$5000,MATCH($A599,Ventas!$A$2:$A$5000,0)),INDEX(Ventas!$I$2:$I$5000,MATCH($A599,Ventas!$A$2:$A$5000,0)),INDEX(Ventas!$J$2:$J$5000,MATCH($A599,Ventas!$A$2:$A$5000,0)))/(AF599*4),"0%")&amp;" de 4 meses",""))</f>
        <v/>
      </c>
      <c r="AD599" s="62" t="str">
        <f t="shared" si="7"/>
        <v/>
      </c>
      <c r="AE599" s="62" t="str">
        <f t="array" ref="AE599">IF(X599="","",IF(AND(E599=0,AVERAGE(INDEX(Ventas!$C$2:$I$5000,MATCH($A599,Ventas!$A$2:$A$5000,0),0))&gt;0,INDEX(Ventas!$J$2:$J$5000,MATCH($A599,Ventas!$A$2:$A$5000,0))&lt;0.5*AVERAGE(INDEX(Ventas!$C$2:$I$5000,MATCH($A599,Ventas!$A$2:$A$5000,0),0))),"SÍ — stock 0 y Sep cayó (prom Feb-Ago "&amp;TEXT(AVERAGE(INDEX(Ventas!$C$2:$I$5000,MATCH($A599,Ventas!$A$2:$A$5000,0),0)),"#,##0")&amp;")",""))</f>
        <v/>
      </c>
      <c r="AF599" s="60">
        <f t="array" ref="AF599">IF(X599="","",IF(AE599&lt;&gt;"",MAX(X599,AVERAGE(INDEX(Ventas!$C$2:$I$5000,MATCH($A599,Ventas!$A$2:$A$5000,0),0))),X599))</f>
        <v>12.5</v>
      </c>
      <c r="AG599" s="60">
        <f t="shared" si="8"/>
        <v>-950</v>
      </c>
      <c r="AH599" s="63" t="str">
        <f t="shared" si="9"/>
        <v>SOBRESTOCK</v>
      </c>
    </row>
    <row r="600" ht="13.5" customHeight="1">
      <c r="A600" s="64" t="s">
        <v>3285</v>
      </c>
      <c r="B600" s="65" t="s">
        <v>3925</v>
      </c>
      <c r="C600" s="65" t="s">
        <v>3939</v>
      </c>
      <c r="D600" s="65" t="s">
        <v>3921</v>
      </c>
      <c r="E600" s="51">
        <v>4725.0</v>
      </c>
      <c r="F600" s="66"/>
      <c r="G600" s="53"/>
      <c r="H600" s="55"/>
      <c r="I600" s="55"/>
      <c r="J600" s="53"/>
      <c r="K600" s="53"/>
      <c r="L600" s="55"/>
      <c r="M600" s="53"/>
      <c r="N600" s="73"/>
      <c r="O600" s="57" t="str">
        <f t="shared" si="1"/>
        <v>SOBRESTOCK — 63.0 meses de cobertura</v>
      </c>
      <c r="P600" s="58">
        <f t="shared" si="2"/>
        <v>4725</v>
      </c>
      <c r="Q600" s="1"/>
      <c r="R600" s="1"/>
      <c r="S600" s="1"/>
      <c r="T600" s="1"/>
      <c r="U600" s="1"/>
      <c r="V600" s="1"/>
      <c r="W600" s="1"/>
      <c r="X600" s="60">
        <f>IFERROR(VLOOKUP($A600,Ventas!$A$2:$L$5000,12,FALSE()),"")</f>
        <v>75</v>
      </c>
      <c r="Y600" s="60">
        <f t="shared" si="3"/>
        <v>300</v>
      </c>
      <c r="Z600" s="61">
        <f t="shared" si="4"/>
        <v>63</v>
      </c>
      <c r="AA600" s="60">
        <f t="shared" si="5"/>
        <v>-4425</v>
      </c>
      <c r="AB600" s="62" t="str">
        <f t="shared" si="6"/>
        <v/>
      </c>
      <c r="AC600" s="62" t="str">
        <f t="array" ref="AC600">IF(AH600&lt;&gt;"COMPRAR","",IF(MAX(INDEX(Ventas!$G$2:$G$5000,MATCH($A600,Ventas!$A$2:$A$5000,0)),INDEX(Ventas!$H$2:$H$5000,MATCH($A600,Ventas!$A$2:$A$5000,0)),INDEX(Ventas!$I$2:$I$5000,MATCH($A600,Ventas!$A$2:$A$5000,0)),INDEX(Ventas!$J$2:$J$5000,MATCH($A600,Ventas!$A$2:$A$5000,0)))&gt;0.5*AF600*4,"1 mes = "&amp;TEXT(MAX(INDEX(Ventas!$G$2:$G$5000,MATCH($A600,Ventas!$A$2:$A$5000,0)),INDEX(Ventas!$H$2:$H$5000,MATCH($A600,Ventas!$A$2:$A$5000,0)),INDEX(Ventas!$I$2:$I$5000,MATCH($A600,Ventas!$A$2:$A$5000,0)),INDEX(Ventas!$J$2:$J$5000,MATCH($A600,Ventas!$A$2:$A$5000,0)))/(AF600*4),"0%")&amp;" de 4 meses",""))</f>
        <v/>
      </c>
      <c r="AD600" s="62" t="str">
        <f t="shared" si="7"/>
        <v/>
      </c>
      <c r="AE600" s="62" t="str">
        <f t="array" ref="AE600">IF(X600="","",IF(AND(E600=0,AVERAGE(INDEX(Ventas!$C$2:$I$5000,MATCH($A600,Ventas!$A$2:$A$5000,0),0))&gt;0,INDEX(Ventas!$J$2:$J$5000,MATCH($A600,Ventas!$A$2:$A$5000,0))&lt;0.5*AVERAGE(INDEX(Ventas!$C$2:$I$5000,MATCH($A600,Ventas!$A$2:$A$5000,0),0))),"SÍ — stock 0 y Sep cayó (prom Feb-Ago "&amp;TEXT(AVERAGE(INDEX(Ventas!$C$2:$I$5000,MATCH($A600,Ventas!$A$2:$A$5000,0),0)),"#,##0")&amp;")",""))</f>
        <v/>
      </c>
      <c r="AF600" s="60">
        <f t="array" ref="AF600">IF(X600="","",IF(AE600&lt;&gt;"",MAX(X600,AVERAGE(INDEX(Ventas!$C$2:$I$5000,MATCH($A600,Ventas!$A$2:$A$5000,0),0))),X600))</f>
        <v>75</v>
      </c>
      <c r="AG600" s="60">
        <f t="shared" si="8"/>
        <v>-4425</v>
      </c>
      <c r="AH600" s="63" t="str">
        <f t="shared" si="9"/>
        <v>SOBRESTOCK</v>
      </c>
    </row>
    <row r="601" ht="13.5" customHeight="1">
      <c r="A601" s="49" t="s">
        <v>3283</v>
      </c>
      <c r="B601" s="50" t="s">
        <v>3925</v>
      </c>
      <c r="C601" s="50" t="s">
        <v>3939</v>
      </c>
      <c r="D601" s="50" t="s">
        <v>3828</v>
      </c>
      <c r="E601" s="51">
        <v>2150.0</v>
      </c>
      <c r="F601" s="52"/>
      <c r="G601" s="53"/>
      <c r="H601" s="55"/>
      <c r="I601" s="55"/>
      <c r="J601" s="53"/>
      <c r="K601" s="53"/>
      <c r="L601" s="55"/>
      <c r="M601" s="53"/>
      <c r="N601" s="74"/>
      <c r="O601" s="57" t="str">
        <f t="shared" si="1"/>
        <v>SOBRESTOCK — 26.5 meses de cobertura</v>
      </c>
      <c r="P601" s="58">
        <f t="shared" si="2"/>
        <v>2150</v>
      </c>
      <c r="Q601" s="1"/>
      <c r="R601" s="1"/>
      <c r="S601" s="1"/>
      <c r="T601" s="1"/>
      <c r="U601" s="1"/>
      <c r="V601" s="1"/>
      <c r="W601" s="1"/>
      <c r="X601" s="60">
        <f>IFERROR(VLOOKUP($A601,Ventas!$A$2:$L$5000,12,FALSE()),"")</f>
        <v>81.25</v>
      </c>
      <c r="Y601" s="60">
        <f t="shared" si="3"/>
        <v>325</v>
      </c>
      <c r="Z601" s="61">
        <f t="shared" si="4"/>
        <v>26.5</v>
      </c>
      <c r="AA601" s="60">
        <f t="shared" si="5"/>
        <v>-1825</v>
      </c>
      <c r="AB601" s="62" t="str">
        <f t="shared" si="6"/>
        <v/>
      </c>
      <c r="AC601" s="62" t="str">
        <f t="array" ref="AC601">IF(AH601&lt;&gt;"COMPRAR","",IF(MAX(INDEX(Ventas!$G$2:$G$5000,MATCH($A601,Ventas!$A$2:$A$5000,0)),INDEX(Ventas!$H$2:$H$5000,MATCH($A601,Ventas!$A$2:$A$5000,0)),INDEX(Ventas!$I$2:$I$5000,MATCH($A601,Ventas!$A$2:$A$5000,0)),INDEX(Ventas!$J$2:$J$5000,MATCH($A601,Ventas!$A$2:$A$5000,0)))&gt;0.5*AF601*4,"1 mes = "&amp;TEXT(MAX(INDEX(Ventas!$G$2:$G$5000,MATCH($A601,Ventas!$A$2:$A$5000,0)),INDEX(Ventas!$H$2:$H$5000,MATCH($A601,Ventas!$A$2:$A$5000,0)),INDEX(Ventas!$I$2:$I$5000,MATCH($A601,Ventas!$A$2:$A$5000,0)),INDEX(Ventas!$J$2:$J$5000,MATCH($A601,Ventas!$A$2:$A$5000,0)))/(AF601*4),"0%")&amp;" de 4 meses",""))</f>
        <v/>
      </c>
      <c r="AD601" s="62" t="str">
        <f t="shared" si="7"/>
        <v/>
      </c>
      <c r="AE601" s="62" t="str">
        <f t="array" ref="AE601">IF(X601="","",IF(AND(E601=0,AVERAGE(INDEX(Ventas!$C$2:$I$5000,MATCH($A601,Ventas!$A$2:$A$5000,0),0))&gt;0,INDEX(Ventas!$J$2:$J$5000,MATCH($A601,Ventas!$A$2:$A$5000,0))&lt;0.5*AVERAGE(INDEX(Ventas!$C$2:$I$5000,MATCH($A601,Ventas!$A$2:$A$5000,0),0))),"SÍ — stock 0 y Sep cayó (prom Feb-Ago "&amp;TEXT(AVERAGE(INDEX(Ventas!$C$2:$I$5000,MATCH($A601,Ventas!$A$2:$A$5000,0),0)),"#,##0")&amp;")",""))</f>
        <v/>
      </c>
      <c r="AF601" s="60">
        <f t="array" ref="AF601">IF(X601="","",IF(AE601&lt;&gt;"",MAX(X601,AVERAGE(INDEX(Ventas!$C$2:$I$5000,MATCH($A601,Ventas!$A$2:$A$5000,0),0))),X601))</f>
        <v>81.25</v>
      </c>
      <c r="AG601" s="60">
        <f t="shared" si="8"/>
        <v>-1825</v>
      </c>
      <c r="AH601" s="63" t="str">
        <f t="shared" si="9"/>
        <v>SOBRESTOCK</v>
      </c>
    </row>
    <row r="602" ht="13.5" customHeight="1">
      <c r="A602" s="64" t="s">
        <v>3270</v>
      </c>
      <c r="B602" s="65" t="s">
        <v>3925</v>
      </c>
      <c r="C602" s="65" t="s">
        <v>3940</v>
      </c>
      <c r="D602" s="65" t="s">
        <v>1329</v>
      </c>
      <c r="E602" s="51">
        <v>1900.0</v>
      </c>
      <c r="F602" s="66"/>
      <c r="G602" s="53">
        <v>1000.0</v>
      </c>
      <c r="H602" s="55"/>
      <c r="I602" s="55"/>
      <c r="J602" s="53"/>
      <c r="K602" s="53"/>
      <c r="L602" s="55"/>
      <c r="M602" s="53"/>
      <c r="N602" s="73"/>
      <c r="O602" s="57" t="str">
        <f t="shared" si="1"/>
        <v>SOBRESTOCK — 116.0 meses de cobertura</v>
      </c>
      <c r="P602" s="58">
        <f t="shared" si="2"/>
        <v>2900</v>
      </c>
      <c r="Q602" s="1"/>
      <c r="R602" s="1"/>
      <c r="S602" s="1"/>
      <c r="T602" s="1"/>
      <c r="U602" s="1"/>
      <c r="V602" s="1"/>
      <c r="W602" s="1"/>
      <c r="X602" s="60">
        <f>IFERROR(VLOOKUP($A602,Ventas!$A$2:$L$5000,12,FALSE()),"")</f>
        <v>25</v>
      </c>
      <c r="Y602" s="60">
        <f t="shared" si="3"/>
        <v>100</v>
      </c>
      <c r="Z602" s="61">
        <f t="shared" si="4"/>
        <v>116</v>
      </c>
      <c r="AA602" s="60">
        <f t="shared" si="5"/>
        <v>-2800</v>
      </c>
      <c r="AB602" s="62" t="str">
        <f t="shared" si="6"/>
        <v/>
      </c>
      <c r="AC602" s="62" t="str">
        <f t="array" ref="AC602">IF(AH602&lt;&gt;"COMPRAR","",IF(MAX(INDEX(Ventas!$G$2:$G$5000,MATCH($A602,Ventas!$A$2:$A$5000,0)),INDEX(Ventas!$H$2:$H$5000,MATCH($A602,Ventas!$A$2:$A$5000,0)),INDEX(Ventas!$I$2:$I$5000,MATCH($A602,Ventas!$A$2:$A$5000,0)),INDEX(Ventas!$J$2:$J$5000,MATCH($A602,Ventas!$A$2:$A$5000,0)))&gt;0.5*AF602*4,"1 mes = "&amp;TEXT(MAX(INDEX(Ventas!$G$2:$G$5000,MATCH($A602,Ventas!$A$2:$A$5000,0)),INDEX(Ventas!$H$2:$H$5000,MATCH($A602,Ventas!$A$2:$A$5000,0)),INDEX(Ventas!$I$2:$I$5000,MATCH($A602,Ventas!$A$2:$A$5000,0)),INDEX(Ventas!$J$2:$J$5000,MATCH($A602,Ventas!$A$2:$A$5000,0)))/(AF602*4),"0%")&amp;" de 4 meses",""))</f>
        <v/>
      </c>
      <c r="AD602" s="62" t="str">
        <f t="shared" si="7"/>
        <v/>
      </c>
      <c r="AE602" s="62" t="str">
        <f t="array" ref="AE602">IF(X602="","",IF(AND(E602=0,AVERAGE(INDEX(Ventas!$C$2:$I$5000,MATCH($A602,Ventas!$A$2:$A$5000,0),0))&gt;0,INDEX(Ventas!$J$2:$J$5000,MATCH($A602,Ventas!$A$2:$A$5000,0))&lt;0.5*AVERAGE(INDEX(Ventas!$C$2:$I$5000,MATCH($A602,Ventas!$A$2:$A$5000,0),0))),"SÍ — stock 0 y Sep cayó (prom Feb-Ago "&amp;TEXT(AVERAGE(INDEX(Ventas!$C$2:$I$5000,MATCH($A602,Ventas!$A$2:$A$5000,0),0)),"#,##0")&amp;")",""))</f>
        <v/>
      </c>
      <c r="AF602" s="60">
        <f t="array" ref="AF602">IF(X602="","",IF(AE602&lt;&gt;"",MAX(X602,AVERAGE(INDEX(Ventas!$C$2:$I$5000,MATCH($A602,Ventas!$A$2:$A$5000,0),0))),X602))</f>
        <v>25</v>
      </c>
      <c r="AG602" s="60">
        <f t="shared" si="8"/>
        <v>-2800</v>
      </c>
      <c r="AH602" s="63" t="str">
        <f t="shared" si="9"/>
        <v>SOBRESTOCK</v>
      </c>
    </row>
    <row r="603" ht="13.5" customHeight="1">
      <c r="A603" s="49" t="s">
        <v>3272</v>
      </c>
      <c r="B603" s="50" t="s">
        <v>3925</v>
      </c>
      <c r="C603" s="50" t="s">
        <v>3940</v>
      </c>
      <c r="D603" s="50" t="s">
        <v>3756</v>
      </c>
      <c r="E603" s="51">
        <v>2450.0</v>
      </c>
      <c r="F603" s="52"/>
      <c r="G603" s="53">
        <v>1000.0</v>
      </c>
      <c r="H603" s="55"/>
      <c r="I603" s="55"/>
      <c r="J603" s="53"/>
      <c r="K603" s="53"/>
      <c r="L603" s="55"/>
      <c r="M603" s="53"/>
      <c r="N603" s="74"/>
      <c r="O603" s="57" t="str">
        <f t="shared" si="1"/>
        <v>SOBRESTOCK — 34.5 meses de cobertura</v>
      </c>
      <c r="P603" s="58">
        <f t="shared" si="2"/>
        <v>3450</v>
      </c>
      <c r="Q603" s="1"/>
      <c r="R603" s="1"/>
      <c r="S603" s="1"/>
      <c r="T603" s="1"/>
      <c r="U603" s="1"/>
      <c r="V603" s="1"/>
      <c r="W603" s="1"/>
      <c r="X603" s="60">
        <f>IFERROR(VLOOKUP($A603,Ventas!$A$2:$L$5000,12,FALSE()),"")</f>
        <v>100</v>
      </c>
      <c r="Y603" s="60">
        <f t="shared" si="3"/>
        <v>400</v>
      </c>
      <c r="Z603" s="61">
        <f t="shared" si="4"/>
        <v>34.5</v>
      </c>
      <c r="AA603" s="60">
        <f t="shared" si="5"/>
        <v>-3050</v>
      </c>
      <c r="AB603" s="62" t="str">
        <f t="shared" si="6"/>
        <v/>
      </c>
      <c r="AC603" s="62" t="str">
        <f t="array" ref="AC603">IF(AH603&lt;&gt;"COMPRAR","",IF(MAX(INDEX(Ventas!$G$2:$G$5000,MATCH($A603,Ventas!$A$2:$A$5000,0)),INDEX(Ventas!$H$2:$H$5000,MATCH($A603,Ventas!$A$2:$A$5000,0)),INDEX(Ventas!$I$2:$I$5000,MATCH($A603,Ventas!$A$2:$A$5000,0)),INDEX(Ventas!$J$2:$J$5000,MATCH($A603,Ventas!$A$2:$A$5000,0)))&gt;0.5*AF603*4,"1 mes = "&amp;TEXT(MAX(INDEX(Ventas!$G$2:$G$5000,MATCH($A603,Ventas!$A$2:$A$5000,0)),INDEX(Ventas!$H$2:$H$5000,MATCH($A603,Ventas!$A$2:$A$5000,0)),INDEX(Ventas!$I$2:$I$5000,MATCH($A603,Ventas!$A$2:$A$5000,0)),INDEX(Ventas!$J$2:$J$5000,MATCH($A603,Ventas!$A$2:$A$5000,0)))/(AF603*4),"0%")&amp;" de 4 meses",""))</f>
        <v/>
      </c>
      <c r="AD603" s="62" t="str">
        <f t="shared" si="7"/>
        <v/>
      </c>
      <c r="AE603" s="62" t="str">
        <f t="array" ref="AE603">IF(X603="","",IF(AND(E603=0,AVERAGE(INDEX(Ventas!$C$2:$I$5000,MATCH($A603,Ventas!$A$2:$A$5000,0),0))&gt;0,INDEX(Ventas!$J$2:$J$5000,MATCH($A603,Ventas!$A$2:$A$5000,0))&lt;0.5*AVERAGE(INDEX(Ventas!$C$2:$I$5000,MATCH($A603,Ventas!$A$2:$A$5000,0),0))),"SÍ — stock 0 y Sep cayó (prom Feb-Ago "&amp;TEXT(AVERAGE(INDEX(Ventas!$C$2:$I$5000,MATCH($A603,Ventas!$A$2:$A$5000,0),0)),"#,##0")&amp;")",""))</f>
        <v/>
      </c>
      <c r="AF603" s="60">
        <f t="array" ref="AF603">IF(X603="","",IF(AE603&lt;&gt;"",MAX(X603,AVERAGE(INDEX(Ventas!$C$2:$I$5000,MATCH($A603,Ventas!$A$2:$A$5000,0),0))),X603))</f>
        <v>100</v>
      </c>
      <c r="AG603" s="60">
        <f t="shared" si="8"/>
        <v>-3050</v>
      </c>
      <c r="AH603" s="63" t="str">
        <f t="shared" si="9"/>
        <v>SOBRESTOCK</v>
      </c>
    </row>
    <row r="604" ht="13.5" customHeight="1">
      <c r="A604" s="64" t="s">
        <v>3134</v>
      </c>
      <c r="B604" s="65" t="s">
        <v>3925</v>
      </c>
      <c r="C604" s="65" t="s">
        <v>3941</v>
      </c>
      <c r="D604" s="65" t="s">
        <v>1329</v>
      </c>
      <c r="E604" s="51">
        <v>1981.0</v>
      </c>
      <c r="F604" s="66"/>
      <c r="G604" s="53"/>
      <c r="H604" s="55"/>
      <c r="I604" s="55"/>
      <c r="J604" s="53"/>
      <c r="K604" s="53"/>
      <c r="L604" s="55"/>
      <c r="M604" s="53"/>
      <c r="N604" s="73"/>
      <c r="O604" s="57" t="str">
        <f t="shared" si="1"/>
        <v>SOBRESTOCK — 158.5 meses de cobertura</v>
      </c>
      <c r="P604" s="58">
        <f t="shared" si="2"/>
        <v>1981</v>
      </c>
      <c r="Q604" s="1"/>
      <c r="R604" s="1"/>
      <c r="S604" s="1"/>
      <c r="T604" s="1"/>
      <c r="U604" s="1"/>
      <c r="V604" s="1"/>
      <c r="W604" s="1"/>
      <c r="X604" s="60">
        <f>IFERROR(VLOOKUP($A604,Ventas!$A$2:$L$5000,12,FALSE()),"")</f>
        <v>12.5</v>
      </c>
      <c r="Y604" s="60">
        <f t="shared" si="3"/>
        <v>50</v>
      </c>
      <c r="Z604" s="61">
        <f t="shared" si="4"/>
        <v>158.5</v>
      </c>
      <c r="AA604" s="60">
        <f t="shared" si="5"/>
        <v>-1931</v>
      </c>
      <c r="AB604" s="62" t="str">
        <f t="shared" si="6"/>
        <v/>
      </c>
      <c r="AC604" s="62" t="str">
        <f t="array" ref="AC604">IF(AH604&lt;&gt;"COMPRAR","",IF(MAX(INDEX(Ventas!$G$2:$G$5000,MATCH($A604,Ventas!$A$2:$A$5000,0)),INDEX(Ventas!$H$2:$H$5000,MATCH($A604,Ventas!$A$2:$A$5000,0)),INDEX(Ventas!$I$2:$I$5000,MATCH($A604,Ventas!$A$2:$A$5000,0)),INDEX(Ventas!$J$2:$J$5000,MATCH($A604,Ventas!$A$2:$A$5000,0)))&gt;0.5*AF604*4,"1 mes = "&amp;TEXT(MAX(INDEX(Ventas!$G$2:$G$5000,MATCH($A604,Ventas!$A$2:$A$5000,0)),INDEX(Ventas!$H$2:$H$5000,MATCH($A604,Ventas!$A$2:$A$5000,0)),INDEX(Ventas!$I$2:$I$5000,MATCH($A604,Ventas!$A$2:$A$5000,0)),INDEX(Ventas!$J$2:$J$5000,MATCH($A604,Ventas!$A$2:$A$5000,0)))/(AF604*4),"0%")&amp;" de 4 meses",""))</f>
        <v/>
      </c>
      <c r="AD604" s="62" t="str">
        <f t="shared" si="7"/>
        <v/>
      </c>
      <c r="AE604" s="62" t="str">
        <f t="array" ref="AE604">IF(X604="","",IF(AND(E604=0,AVERAGE(INDEX(Ventas!$C$2:$I$5000,MATCH($A604,Ventas!$A$2:$A$5000,0),0))&gt;0,INDEX(Ventas!$J$2:$J$5000,MATCH($A604,Ventas!$A$2:$A$5000,0))&lt;0.5*AVERAGE(INDEX(Ventas!$C$2:$I$5000,MATCH($A604,Ventas!$A$2:$A$5000,0),0))),"SÍ — stock 0 y Sep cayó (prom Feb-Ago "&amp;TEXT(AVERAGE(INDEX(Ventas!$C$2:$I$5000,MATCH($A604,Ventas!$A$2:$A$5000,0),0)),"#,##0")&amp;")",""))</f>
        <v/>
      </c>
      <c r="AF604" s="60">
        <f t="array" ref="AF604">IF(X604="","",IF(AE604&lt;&gt;"",MAX(X604,AVERAGE(INDEX(Ventas!$C$2:$I$5000,MATCH($A604,Ventas!$A$2:$A$5000,0),0))),X604))</f>
        <v>12.5</v>
      </c>
      <c r="AG604" s="60">
        <f t="shared" si="8"/>
        <v>-1931</v>
      </c>
      <c r="AH604" s="63" t="str">
        <f t="shared" si="9"/>
        <v>SOBRESTOCK</v>
      </c>
    </row>
    <row r="605" ht="13.5" customHeight="1">
      <c r="A605" s="49" t="s">
        <v>3132</v>
      </c>
      <c r="B605" s="50"/>
      <c r="C605" s="50" t="s">
        <v>3941</v>
      </c>
      <c r="D605" s="50" t="s">
        <v>336</v>
      </c>
      <c r="E605" s="51">
        <v>459.0</v>
      </c>
      <c r="F605" s="52"/>
      <c r="G605" s="53"/>
      <c r="H605" s="55"/>
      <c r="I605" s="55"/>
      <c r="J605" s="53"/>
      <c r="K605" s="53"/>
      <c r="L605" s="55"/>
      <c r="M605" s="53"/>
      <c r="N605" s="74"/>
      <c r="O605" s="57" t="str">
        <f t="shared" si="1"/>
        <v>SOBRESTOCK — 34.0 meses de cobertura</v>
      </c>
      <c r="P605" s="58">
        <f t="shared" si="2"/>
        <v>459</v>
      </c>
      <c r="Q605" s="1"/>
      <c r="R605" s="1"/>
      <c r="S605" s="1"/>
      <c r="T605" s="1"/>
      <c r="U605" s="1"/>
      <c r="V605" s="1"/>
      <c r="W605" s="1"/>
      <c r="X605" s="60">
        <f>IFERROR(VLOOKUP($A605,Ventas!$A$2:$L$5000,12,FALSE()),"")</f>
        <v>13.5</v>
      </c>
      <c r="Y605" s="60">
        <f t="shared" si="3"/>
        <v>54</v>
      </c>
      <c r="Z605" s="61">
        <f t="shared" si="4"/>
        <v>34</v>
      </c>
      <c r="AA605" s="60">
        <f t="shared" si="5"/>
        <v>-405</v>
      </c>
      <c r="AB605" s="62" t="str">
        <f t="shared" si="6"/>
        <v/>
      </c>
      <c r="AC605" s="62" t="str">
        <f t="array" ref="AC605">IF(AH605&lt;&gt;"COMPRAR","",IF(MAX(INDEX(Ventas!$G$2:$G$5000,MATCH($A605,Ventas!$A$2:$A$5000,0)),INDEX(Ventas!$H$2:$H$5000,MATCH($A605,Ventas!$A$2:$A$5000,0)),INDEX(Ventas!$I$2:$I$5000,MATCH($A605,Ventas!$A$2:$A$5000,0)),INDEX(Ventas!$J$2:$J$5000,MATCH($A605,Ventas!$A$2:$A$5000,0)))&gt;0.5*AF605*4,"1 mes = "&amp;TEXT(MAX(INDEX(Ventas!$G$2:$G$5000,MATCH($A605,Ventas!$A$2:$A$5000,0)),INDEX(Ventas!$H$2:$H$5000,MATCH($A605,Ventas!$A$2:$A$5000,0)),INDEX(Ventas!$I$2:$I$5000,MATCH($A605,Ventas!$A$2:$A$5000,0)),INDEX(Ventas!$J$2:$J$5000,MATCH($A605,Ventas!$A$2:$A$5000,0)))/(AF605*4),"0%")&amp;" de 4 meses",""))</f>
        <v/>
      </c>
      <c r="AD605" s="62" t="str">
        <f t="shared" si="7"/>
        <v/>
      </c>
      <c r="AE605" s="62" t="str">
        <f t="array" ref="AE605">IF(X605="","",IF(AND(E605=0,AVERAGE(INDEX(Ventas!$C$2:$I$5000,MATCH($A605,Ventas!$A$2:$A$5000,0),0))&gt;0,INDEX(Ventas!$J$2:$J$5000,MATCH($A605,Ventas!$A$2:$A$5000,0))&lt;0.5*AVERAGE(INDEX(Ventas!$C$2:$I$5000,MATCH($A605,Ventas!$A$2:$A$5000,0),0))),"SÍ — stock 0 y Sep cayó (prom Feb-Ago "&amp;TEXT(AVERAGE(INDEX(Ventas!$C$2:$I$5000,MATCH($A605,Ventas!$A$2:$A$5000,0),0)),"#,##0")&amp;")",""))</f>
        <v/>
      </c>
      <c r="AF605" s="60">
        <f t="array" ref="AF605">IF(X605="","",IF(AE605&lt;&gt;"",MAX(X605,AVERAGE(INDEX(Ventas!$C$2:$I$5000,MATCH($A605,Ventas!$A$2:$A$5000,0),0))),X605))</f>
        <v>13.5</v>
      </c>
      <c r="AG605" s="60">
        <f t="shared" si="8"/>
        <v>-405</v>
      </c>
      <c r="AH605" s="63" t="str">
        <f t="shared" si="9"/>
        <v>SOBRESTOCK</v>
      </c>
    </row>
    <row r="606" ht="13.5" customHeight="1">
      <c r="A606" s="64" t="s">
        <v>3250</v>
      </c>
      <c r="B606" s="65" t="s">
        <v>3942</v>
      </c>
      <c r="C606" s="65" t="s">
        <v>3943</v>
      </c>
      <c r="D606" s="65" t="s">
        <v>3734</v>
      </c>
      <c r="E606" s="51">
        <v>700.0</v>
      </c>
      <c r="F606" s="66"/>
      <c r="G606" s="53">
        <v>8000.0</v>
      </c>
      <c r="H606" s="55"/>
      <c r="I606" s="55"/>
      <c r="J606" s="53"/>
      <c r="K606" s="53"/>
      <c r="L606" s="55"/>
      <c r="M606" s="53"/>
      <c r="N606" s="73"/>
      <c r="O606" s="57" t="str">
        <f t="shared" si="1"/>
        <v>SOBRESTOCK — 19.3 meses de cobertura</v>
      </c>
      <c r="P606" s="58">
        <f t="shared" si="2"/>
        <v>8700</v>
      </c>
      <c r="Q606" s="1"/>
      <c r="R606" s="1"/>
      <c r="S606" s="1"/>
      <c r="T606" s="1"/>
      <c r="U606" s="1"/>
      <c r="V606" s="1"/>
      <c r="W606" s="1"/>
      <c r="X606" s="60">
        <f>IFERROR(VLOOKUP($A606,Ventas!$A$2:$L$5000,12,FALSE()),"")</f>
        <v>450</v>
      </c>
      <c r="Y606" s="60">
        <f t="shared" si="3"/>
        <v>1800</v>
      </c>
      <c r="Z606" s="61">
        <f t="shared" si="4"/>
        <v>19.3</v>
      </c>
      <c r="AA606" s="60">
        <f t="shared" si="5"/>
        <v>-6900</v>
      </c>
      <c r="AB606" s="62" t="str">
        <f t="shared" si="6"/>
        <v/>
      </c>
      <c r="AC606" s="62" t="str">
        <f t="array" ref="AC606">IF(AH606&lt;&gt;"COMPRAR","",IF(MAX(INDEX(Ventas!$G$2:$G$5000,MATCH($A606,Ventas!$A$2:$A$5000,0)),INDEX(Ventas!$H$2:$H$5000,MATCH($A606,Ventas!$A$2:$A$5000,0)),INDEX(Ventas!$I$2:$I$5000,MATCH($A606,Ventas!$A$2:$A$5000,0)),INDEX(Ventas!$J$2:$J$5000,MATCH($A606,Ventas!$A$2:$A$5000,0)))&gt;0.5*AF606*4,"1 mes = "&amp;TEXT(MAX(INDEX(Ventas!$G$2:$G$5000,MATCH($A606,Ventas!$A$2:$A$5000,0)),INDEX(Ventas!$H$2:$H$5000,MATCH($A606,Ventas!$A$2:$A$5000,0)),INDEX(Ventas!$I$2:$I$5000,MATCH($A606,Ventas!$A$2:$A$5000,0)),INDEX(Ventas!$J$2:$J$5000,MATCH($A606,Ventas!$A$2:$A$5000,0)))/(AF606*4),"0%")&amp;" de 4 meses",""))</f>
        <v/>
      </c>
      <c r="AD606" s="62" t="str">
        <f t="shared" si="7"/>
        <v/>
      </c>
      <c r="AE606" s="62" t="str">
        <f t="array" ref="AE606">IF(X606="","",IF(AND(E606=0,AVERAGE(INDEX(Ventas!$C$2:$I$5000,MATCH($A606,Ventas!$A$2:$A$5000,0),0))&gt;0,INDEX(Ventas!$J$2:$J$5000,MATCH($A606,Ventas!$A$2:$A$5000,0))&lt;0.5*AVERAGE(INDEX(Ventas!$C$2:$I$5000,MATCH($A606,Ventas!$A$2:$A$5000,0),0))),"SÍ — stock 0 y Sep cayó (prom Feb-Ago "&amp;TEXT(AVERAGE(INDEX(Ventas!$C$2:$I$5000,MATCH($A606,Ventas!$A$2:$A$5000,0),0)),"#,##0")&amp;")",""))</f>
        <v/>
      </c>
      <c r="AF606" s="60">
        <f t="array" ref="AF606">IF(X606="","",IF(AE606&lt;&gt;"",MAX(X606,AVERAGE(INDEX(Ventas!$C$2:$I$5000,MATCH($A606,Ventas!$A$2:$A$5000,0),0))),X606))</f>
        <v>450</v>
      </c>
      <c r="AG606" s="60">
        <f t="shared" si="8"/>
        <v>-6900</v>
      </c>
      <c r="AH606" s="63" t="str">
        <f t="shared" si="9"/>
        <v>SOBRESTOCK</v>
      </c>
    </row>
    <row r="607" ht="13.5" customHeight="1">
      <c r="A607" s="49" t="s">
        <v>3254</v>
      </c>
      <c r="B607" s="50" t="s">
        <v>3942</v>
      </c>
      <c r="C607" s="50" t="s">
        <v>3943</v>
      </c>
      <c r="D607" s="50" t="s">
        <v>3944</v>
      </c>
      <c r="E607" s="51">
        <v>1700.0</v>
      </c>
      <c r="F607" s="52"/>
      <c r="G607" s="53">
        <v>11000.0</v>
      </c>
      <c r="H607" s="55"/>
      <c r="I607" s="55"/>
      <c r="J607" s="53"/>
      <c r="K607" s="53"/>
      <c r="L607" s="55"/>
      <c r="M607" s="53"/>
      <c r="N607" s="74"/>
      <c r="O607" s="57" t="str">
        <f t="shared" si="1"/>
        <v>SOBRESTOCK — 22.6 meses de cobertura</v>
      </c>
      <c r="P607" s="58">
        <f t="shared" si="2"/>
        <v>12700</v>
      </c>
      <c r="Q607" s="1"/>
      <c r="R607" s="1"/>
      <c r="S607" s="1"/>
      <c r="T607" s="1"/>
      <c r="U607" s="1"/>
      <c r="V607" s="1"/>
      <c r="W607" s="1"/>
      <c r="X607" s="60">
        <f>IFERROR(VLOOKUP($A607,Ventas!$A$2:$L$5000,12,FALSE()),"")</f>
        <v>561.625</v>
      </c>
      <c r="Y607" s="60">
        <f t="shared" si="3"/>
        <v>2247</v>
      </c>
      <c r="Z607" s="61">
        <f t="shared" si="4"/>
        <v>22.6</v>
      </c>
      <c r="AA607" s="60">
        <f t="shared" si="5"/>
        <v>-10453</v>
      </c>
      <c r="AB607" s="62" t="str">
        <f t="shared" si="6"/>
        <v/>
      </c>
      <c r="AC607" s="62" t="str">
        <f t="array" ref="AC607">IF(AH607&lt;&gt;"COMPRAR","",IF(MAX(INDEX(Ventas!$G$2:$G$5000,MATCH($A607,Ventas!$A$2:$A$5000,0)),INDEX(Ventas!$H$2:$H$5000,MATCH($A607,Ventas!$A$2:$A$5000,0)),INDEX(Ventas!$I$2:$I$5000,MATCH($A607,Ventas!$A$2:$A$5000,0)),INDEX(Ventas!$J$2:$J$5000,MATCH($A607,Ventas!$A$2:$A$5000,0)))&gt;0.5*AF607*4,"1 mes = "&amp;TEXT(MAX(INDEX(Ventas!$G$2:$G$5000,MATCH($A607,Ventas!$A$2:$A$5000,0)),INDEX(Ventas!$H$2:$H$5000,MATCH($A607,Ventas!$A$2:$A$5000,0)),INDEX(Ventas!$I$2:$I$5000,MATCH($A607,Ventas!$A$2:$A$5000,0)),INDEX(Ventas!$J$2:$J$5000,MATCH($A607,Ventas!$A$2:$A$5000,0)))/(AF607*4),"0%")&amp;" de 4 meses",""))</f>
        <v/>
      </c>
      <c r="AD607" s="62" t="str">
        <f t="shared" si="7"/>
        <v/>
      </c>
      <c r="AE607" s="62" t="str">
        <f t="array" ref="AE607">IF(X607="","",IF(AND(E607=0,AVERAGE(INDEX(Ventas!$C$2:$I$5000,MATCH($A607,Ventas!$A$2:$A$5000,0),0))&gt;0,INDEX(Ventas!$J$2:$J$5000,MATCH($A607,Ventas!$A$2:$A$5000,0))&lt;0.5*AVERAGE(INDEX(Ventas!$C$2:$I$5000,MATCH($A607,Ventas!$A$2:$A$5000,0),0))),"SÍ — stock 0 y Sep cayó (prom Feb-Ago "&amp;TEXT(AVERAGE(INDEX(Ventas!$C$2:$I$5000,MATCH($A607,Ventas!$A$2:$A$5000,0),0)),"#,##0")&amp;")",""))</f>
        <v/>
      </c>
      <c r="AF607" s="60">
        <f t="array" ref="AF607">IF(X607="","",IF(AE607&lt;&gt;"",MAX(X607,AVERAGE(INDEX(Ventas!$C$2:$I$5000,MATCH($A607,Ventas!$A$2:$A$5000,0),0))),X607))</f>
        <v>561.625</v>
      </c>
      <c r="AG607" s="60">
        <f t="shared" si="8"/>
        <v>-10453</v>
      </c>
      <c r="AH607" s="63" t="str">
        <f t="shared" si="9"/>
        <v>SOBRESTOCK</v>
      </c>
    </row>
    <row r="608" ht="13.5" customHeight="1">
      <c r="A608" s="64" t="s">
        <v>3252</v>
      </c>
      <c r="B608" s="65" t="s">
        <v>3942</v>
      </c>
      <c r="C608" s="65" t="s">
        <v>3943</v>
      </c>
      <c r="D608" s="68" t="s">
        <v>3945</v>
      </c>
      <c r="E608" s="51">
        <v>50.0</v>
      </c>
      <c r="F608" s="66"/>
      <c r="G608" s="97">
        <v>4000.0</v>
      </c>
      <c r="H608" s="55"/>
      <c r="I608" s="55"/>
      <c r="J608" s="53"/>
      <c r="K608" s="53"/>
      <c r="L608" s="55"/>
      <c r="M608" s="53"/>
      <c r="N608" s="73"/>
      <c r="O608" s="57" t="str">
        <f t="shared" si="1"/>
        <v>SOBRESTOCK — 8.5 meses de cobertura</v>
      </c>
      <c r="P608" s="58">
        <f t="shared" si="2"/>
        <v>4050</v>
      </c>
      <c r="Q608" s="1"/>
      <c r="R608" s="1"/>
      <c r="S608" s="1"/>
      <c r="T608" s="1"/>
      <c r="U608" s="1"/>
      <c r="V608" s="1"/>
      <c r="W608" s="1"/>
      <c r="X608" s="60">
        <f>IFERROR(VLOOKUP($A608,Ventas!$A$2:$L$5000,12,FALSE()),"")</f>
        <v>475</v>
      </c>
      <c r="Y608" s="60">
        <f t="shared" si="3"/>
        <v>1900</v>
      </c>
      <c r="Z608" s="61">
        <f t="shared" si="4"/>
        <v>8.5</v>
      </c>
      <c r="AA608" s="60">
        <f t="shared" si="5"/>
        <v>-2150</v>
      </c>
      <c r="AB608" s="62" t="str">
        <f t="shared" si="6"/>
        <v/>
      </c>
      <c r="AC608" s="62" t="str">
        <f t="array" ref="AC608">IF(AH608&lt;&gt;"COMPRAR","",IF(MAX(INDEX(Ventas!$G$2:$G$5000,MATCH($A608,Ventas!$A$2:$A$5000,0)),INDEX(Ventas!$H$2:$H$5000,MATCH($A608,Ventas!$A$2:$A$5000,0)),INDEX(Ventas!$I$2:$I$5000,MATCH($A608,Ventas!$A$2:$A$5000,0)),INDEX(Ventas!$J$2:$J$5000,MATCH($A608,Ventas!$A$2:$A$5000,0)))&gt;0.5*AF608*4,"1 mes = "&amp;TEXT(MAX(INDEX(Ventas!$G$2:$G$5000,MATCH($A608,Ventas!$A$2:$A$5000,0)),INDEX(Ventas!$H$2:$H$5000,MATCH($A608,Ventas!$A$2:$A$5000,0)),INDEX(Ventas!$I$2:$I$5000,MATCH($A608,Ventas!$A$2:$A$5000,0)),INDEX(Ventas!$J$2:$J$5000,MATCH($A608,Ventas!$A$2:$A$5000,0)))/(AF608*4),"0%")&amp;" de 4 meses",""))</f>
        <v/>
      </c>
      <c r="AD608" s="62" t="str">
        <f t="shared" si="7"/>
        <v>SÍ — 50 m vs 252 m</v>
      </c>
      <c r="AE608" s="62" t="str">
        <f t="array" ref="AE608">IF(X608="","",IF(AND(E608=0,AVERAGE(INDEX(Ventas!$C$2:$I$5000,MATCH($A608,Ventas!$A$2:$A$5000,0),0))&gt;0,INDEX(Ventas!$J$2:$J$5000,MATCH($A608,Ventas!$A$2:$A$5000,0))&lt;0.5*AVERAGE(INDEX(Ventas!$C$2:$I$5000,MATCH($A608,Ventas!$A$2:$A$5000,0),0))),"SÍ — stock 0 y Sep cayó (prom Feb-Ago "&amp;TEXT(AVERAGE(INDEX(Ventas!$C$2:$I$5000,MATCH($A608,Ventas!$A$2:$A$5000,0),0)),"#,##0")&amp;")",""))</f>
        <v/>
      </c>
      <c r="AF608" s="60">
        <f t="array" ref="AF608">IF(X608="","",IF(AE608&lt;&gt;"",MAX(X608,AVERAGE(INDEX(Ventas!$C$2:$I$5000,MATCH($A608,Ventas!$A$2:$A$5000,0),0))),X608))</f>
        <v>475</v>
      </c>
      <c r="AG608" s="60">
        <f t="shared" si="8"/>
        <v>-2150</v>
      </c>
      <c r="AH608" s="63" t="str">
        <f t="shared" si="9"/>
        <v>SOBRESTOCK</v>
      </c>
    </row>
    <row r="609" ht="13.5" customHeight="1">
      <c r="A609" s="49" t="s">
        <v>3256</v>
      </c>
      <c r="B609" s="50" t="s">
        <v>3942</v>
      </c>
      <c r="C609" s="50" t="s">
        <v>3943</v>
      </c>
      <c r="D609" s="77" t="s">
        <v>3946</v>
      </c>
      <c r="E609" s="51">
        <v>1148.0</v>
      </c>
      <c r="F609" s="52"/>
      <c r="G609" s="97">
        <v>4000.0</v>
      </c>
      <c r="H609" s="55"/>
      <c r="I609" s="55"/>
      <c r="J609" s="53"/>
      <c r="K609" s="53"/>
      <c r="L609" s="55"/>
      <c r="M609" s="53"/>
      <c r="N609" s="74"/>
      <c r="O609" s="57" t="str">
        <f t="shared" si="1"/>
        <v>SOBRESTOCK — 29.4 meses de cobertura</v>
      </c>
      <c r="P609" s="58">
        <f t="shared" si="2"/>
        <v>5148</v>
      </c>
      <c r="Q609" s="1"/>
      <c r="R609" s="1"/>
      <c r="S609" s="1"/>
      <c r="T609" s="1"/>
      <c r="U609" s="1"/>
      <c r="V609" s="1"/>
      <c r="W609" s="1"/>
      <c r="X609" s="60">
        <f>IFERROR(VLOOKUP($A609,Ventas!$A$2:$L$5000,12,FALSE()),"")</f>
        <v>175</v>
      </c>
      <c r="Y609" s="60">
        <f t="shared" si="3"/>
        <v>700</v>
      </c>
      <c r="Z609" s="61">
        <f t="shared" si="4"/>
        <v>29.4</v>
      </c>
      <c r="AA609" s="60">
        <f t="shared" si="5"/>
        <v>-4448</v>
      </c>
      <c r="AB609" s="62" t="str">
        <f t="shared" si="6"/>
        <v/>
      </c>
      <c r="AC609" s="62" t="str">
        <f t="array" ref="AC609">IF(AH609&lt;&gt;"COMPRAR","",IF(MAX(INDEX(Ventas!$G$2:$G$5000,MATCH($A609,Ventas!$A$2:$A$5000,0)),INDEX(Ventas!$H$2:$H$5000,MATCH($A609,Ventas!$A$2:$A$5000,0)),INDEX(Ventas!$I$2:$I$5000,MATCH($A609,Ventas!$A$2:$A$5000,0)),INDEX(Ventas!$J$2:$J$5000,MATCH($A609,Ventas!$A$2:$A$5000,0)))&gt;0.5*AF609*4,"1 mes = "&amp;TEXT(MAX(INDEX(Ventas!$G$2:$G$5000,MATCH($A609,Ventas!$A$2:$A$5000,0)),INDEX(Ventas!$H$2:$H$5000,MATCH($A609,Ventas!$A$2:$A$5000,0)),INDEX(Ventas!$I$2:$I$5000,MATCH($A609,Ventas!$A$2:$A$5000,0)),INDEX(Ventas!$J$2:$J$5000,MATCH($A609,Ventas!$A$2:$A$5000,0)))/(AF609*4),"0%")&amp;" de 4 meses",""))</f>
        <v/>
      </c>
      <c r="AD609" s="62" t="str">
        <f t="shared" si="7"/>
        <v/>
      </c>
      <c r="AE609" s="62" t="str">
        <f t="array" ref="AE609">IF(X609="","",IF(AND(E609=0,AVERAGE(INDEX(Ventas!$C$2:$I$5000,MATCH($A609,Ventas!$A$2:$A$5000,0),0))&gt;0,INDEX(Ventas!$J$2:$J$5000,MATCH($A609,Ventas!$A$2:$A$5000,0))&lt;0.5*AVERAGE(INDEX(Ventas!$C$2:$I$5000,MATCH($A609,Ventas!$A$2:$A$5000,0),0))),"SÍ — stock 0 y Sep cayó (prom Feb-Ago "&amp;TEXT(AVERAGE(INDEX(Ventas!$C$2:$I$5000,MATCH($A609,Ventas!$A$2:$A$5000,0),0)),"#,##0")&amp;")",""))</f>
        <v/>
      </c>
      <c r="AF609" s="60">
        <f t="array" ref="AF609">IF(X609="","",IF(AE609&lt;&gt;"",MAX(X609,AVERAGE(INDEX(Ventas!$C$2:$I$5000,MATCH($A609,Ventas!$A$2:$A$5000,0),0))),X609))</f>
        <v>175</v>
      </c>
      <c r="AG609" s="60">
        <f t="shared" si="8"/>
        <v>-4448</v>
      </c>
      <c r="AH609" s="63" t="str">
        <f t="shared" si="9"/>
        <v>SOBRESTOCK</v>
      </c>
    </row>
    <row r="610" ht="13.5" customHeight="1">
      <c r="A610" s="64" t="s">
        <v>3351</v>
      </c>
      <c r="B610" s="65" t="s">
        <v>3942</v>
      </c>
      <c r="C610" s="65" t="s">
        <v>3947</v>
      </c>
      <c r="D610" s="65" t="s">
        <v>3734</v>
      </c>
      <c r="E610" s="51">
        <v>1250.0</v>
      </c>
      <c r="F610" s="66"/>
      <c r="G610" s="53"/>
      <c r="H610" s="55"/>
      <c r="I610" s="55"/>
      <c r="J610" s="53"/>
      <c r="K610" s="53"/>
      <c r="L610" s="55"/>
      <c r="M610" s="53"/>
      <c r="N610" s="73"/>
      <c r="O610" s="57" t="str">
        <f t="shared" si="1"/>
        <v>SOBRESTOCK — 100.0 meses de cobertura</v>
      </c>
      <c r="P610" s="58">
        <f t="shared" si="2"/>
        <v>1250</v>
      </c>
      <c r="Q610" s="1"/>
      <c r="R610" s="1"/>
      <c r="S610" s="1"/>
      <c r="T610" s="1"/>
      <c r="U610" s="1"/>
      <c r="V610" s="1"/>
      <c r="W610" s="1"/>
      <c r="X610" s="60">
        <f>IFERROR(VLOOKUP($A610,Ventas!$A$2:$L$5000,12,FALSE()),"")</f>
        <v>12.5</v>
      </c>
      <c r="Y610" s="60">
        <f t="shared" si="3"/>
        <v>50</v>
      </c>
      <c r="Z610" s="61">
        <f t="shared" si="4"/>
        <v>100</v>
      </c>
      <c r="AA610" s="60">
        <f t="shared" si="5"/>
        <v>-1200</v>
      </c>
      <c r="AB610" s="62" t="str">
        <f t="shared" si="6"/>
        <v>DUPLICADO</v>
      </c>
      <c r="AC610" s="62" t="str">
        <f t="array" ref="AC610">IF(AH610&lt;&gt;"COMPRAR","",IF(MAX(INDEX(Ventas!$G$2:$G$5000,MATCH($A610,Ventas!$A$2:$A$5000,0)),INDEX(Ventas!$H$2:$H$5000,MATCH($A610,Ventas!$A$2:$A$5000,0)),INDEX(Ventas!$I$2:$I$5000,MATCH($A610,Ventas!$A$2:$A$5000,0)),INDEX(Ventas!$J$2:$J$5000,MATCH($A610,Ventas!$A$2:$A$5000,0)))&gt;0.5*AF610*4,"1 mes = "&amp;TEXT(MAX(INDEX(Ventas!$G$2:$G$5000,MATCH($A610,Ventas!$A$2:$A$5000,0)),INDEX(Ventas!$H$2:$H$5000,MATCH($A610,Ventas!$A$2:$A$5000,0)),INDEX(Ventas!$I$2:$I$5000,MATCH($A610,Ventas!$A$2:$A$5000,0)),INDEX(Ventas!$J$2:$J$5000,MATCH($A610,Ventas!$A$2:$A$5000,0)))/(AF610*4),"0%")&amp;" de 4 meses",""))</f>
        <v/>
      </c>
      <c r="AD610" s="62" t="str">
        <f t="shared" si="7"/>
        <v/>
      </c>
      <c r="AE610" s="62" t="str">
        <f t="array" ref="AE610">IF(X610="","",IF(AND(E610=0,AVERAGE(INDEX(Ventas!$C$2:$I$5000,MATCH($A610,Ventas!$A$2:$A$5000,0),0))&gt;0,INDEX(Ventas!$J$2:$J$5000,MATCH($A610,Ventas!$A$2:$A$5000,0))&lt;0.5*AVERAGE(INDEX(Ventas!$C$2:$I$5000,MATCH($A610,Ventas!$A$2:$A$5000,0),0))),"SÍ — stock 0 y Sep cayó (prom Feb-Ago "&amp;TEXT(AVERAGE(INDEX(Ventas!$C$2:$I$5000,MATCH($A610,Ventas!$A$2:$A$5000,0),0)),"#,##0")&amp;")",""))</f>
        <v/>
      </c>
      <c r="AF610" s="60">
        <f t="array" ref="AF610">IF(X610="","",IF(AE610&lt;&gt;"",MAX(X610,AVERAGE(INDEX(Ventas!$C$2:$I$5000,MATCH($A610,Ventas!$A$2:$A$5000,0),0))),X610))</f>
        <v>12.5</v>
      </c>
      <c r="AG610" s="60">
        <f t="shared" si="8"/>
        <v>-1200</v>
      </c>
      <c r="AH610" s="63" t="str">
        <f t="shared" si="9"/>
        <v>SOBRESTOCK</v>
      </c>
    </row>
    <row r="611" ht="13.5" customHeight="1">
      <c r="A611" s="49" t="s">
        <v>3353</v>
      </c>
      <c r="B611" s="50" t="s">
        <v>3942</v>
      </c>
      <c r="C611" s="50" t="s">
        <v>3947</v>
      </c>
      <c r="D611" s="50" t="s">
        <v>3948</v>
      </c>
      <c r="E611" s="51">
        <v>650.0</v>
      </c>
      <c r="F611" s="52"/>
      <c r="G611" s="53"/>
      <c r="H611" s="55"/>
      <c r="I611" s="55"/>
      <c r="J611" s="53"/>
      <c r="K611" s="53"/>
      <c r="L611" s="55"/>
      <c r="M611" s="53"/>
      <c r="N611" s="74"/>
      <c r="O611" s="57" t="str">
        <f t="shared" si="1"/>
        <v>OK — cubierto (7.4 meses)</v>
      </c>
      <c r="P611" s="58">
        <f t="shared" si="2"/>
        <v>650</v>
      </c>
      <c r="Q611" s="1"/>
      <c r="R611" s="1"/>
      <c r="S611" s="1"/>
      <c r="T611" s="1"/>
      <c r="U611" s="1"/>
      <c r="V611" s="1"/>
      <c r="W611" s="1"/>
      <c r="X611" s="60">
        <f>IFERROR(VLOOKUP($A611,Ventas!$A$2:$L$5000,12,FALSE()),"")</f>
        <v>87.5</v>
      </c>
      <c r="Y611" s="60">
        <f t="shared" si="3"/>
        <v>350</v>
      </c>
      <c r="Z611" s="61">
        <f t="shared" si="4"/>
        <v>7.4</v>
      </c>
      <c r="AA611" s="60">
        <f t="shared" si="5"/>
        <v>-300</v>
      </c>
      <c r="AB611" s="62" t="str">
        <f t="shared" si="6"/>
        <v/>
      </c>
      <c r="AC611" s="62" t="str">
        <f t="array" ref="AC611">IF(AH611&lt;&gt;"COMPRAR","",IF(MAX(INDEX(Ventas!$G$2:$G$5000,MATCH($A611,Ventas!$A$2:$A$5000,0)),INDEX(Ventas!$H$2:$H$5000,MATCH($A611,Ventas!$A$2:$A$5000,0)),INDEX(Ventas!$I$2:$I$5000,MATCH($A611,Ventas!$A$2:$A$5000,0)),INDEX(Ventas!$J$2:$J$5000,MATCH($A611,Ventas!$A$2:$A$5000,0)))&gt;0.5*AF611*4,"1 mes = "&amp;TEXT(MAX(INDEX(Ventas!$G$2:$G$5000,MATCH($A611,Ventas!$A$2:$A$5000,0)),INDEX(Ventas!$H$2:$H$5000,MATCH($A611,Ventas!$A$2:$A$5000,0)),INDEX(Ventas!$I$2:$I$5000,MATCH($A611,Ventas!$A$2:$A$5000,0)),INDEX(Ventas!$J$2:$J$5000,MATCH($A611,Ventas!$A$2:$A$5000,0)))/(AF611*4),"0%")&amp;" de 4 meses",""))</f>
        <v/>
      </c>
      <c r="AD611" s="62" t="str">
        <f t="shared" si="7"/>
        <v/>
      </c>
      <c r="AE611" s="62" t="str">
        <f t="array" ref="AE611">IF(X611="","",IF(AND(E611=0,AVERAGE(INDEX(Ventas!$C$2:$I$5000,MATCH($A611,Ventas!$A$2:$A$5000,0),0))&gt;0,INDEX(Ventas!$J$2:$J$5000,MATCH($A611,Ventas!$A$2:$A$5000,0))&lt;0.5*AVERAGE(INDEX(Ventas!$C$2:$I$5000,MATCH($A611,Ventas!$A$2:$A$5000,0),0))),"SÍ — stock 0 y Sep cayó (prom Feb-Ago "&amp;TEXT(AVERAGE(INDEX(Ventas!$C$2:$I$5000,MATCH($A611,Ventas!$A$2:$A$5000,0),0)),"#,##0")&amp;")",""))</f>
        <v/>
      </c>
      <c r="AF611" s="60">
        <f t="array" ref="AF611">IF(X611="","",IF(AE611&lt;&gt;"",MAX(X611,AVERAGE(INDEX(Ventas!$C$2:$I$5000,MATCH($A611,Ventas!$A$2:$A$5000,0),0))),X611))</f>
        <v>87.5</v>
      </c>
      <c r="AG611" s="60">
        <f t="shared" si="8"/>
        <v>-300</v>
      </c>
      <c r="AH611" s="63" t="str">
        <f t="shared" si="9"/>
        <v>OK</v>
      </c>
    </row>
    <row r="612" ht="13.5" customHeight="1">
      <c r="A612" s="64" t="s">
        <v>3355</v>
      </c>
      <c r="B612" s="65" t="s">
        <v>3942</v>
      </c>
      <c r="C612" s="65" t="s">
        <v>3947</v>
      </c>
      <c r="D612" s="65" t="s">
        <v>3949</v>
      </c>
      <c r="E612" s="51">
        <v>1050.0</v>
      </c>
      <c r="F612" s="66"/>
      <c r="G612" s="53"/>
      <c r="H612" s="55"/>
      <c r="I612" s="55"/>
      <c r="J612" s="53"/>
      <c r="K612" s="53"/>
      <c r="L612" s="55"/>
      <c r="M612" s="53"/>
      <c r="N612" s="73"/>
      <c r="O612" s="57" t="str">
        <f t="shared" si="1"/>
        <v>SOBRESTOCK — 28.0 meses de cobertura</v>
      </c>
      <c r="P612" s="58">
        <f t="shared" si="2"/>
        <v>1050</v>
      </c>
      <c r="Q612" s="1"/>
      <c r="R612" s="1"/>
      <c r="S612" s="1"/>
      <c r="T612" s="1"/>
      <c r="U612" s="1"/>
      <c r="V612" s="1"/>
      <c r="W612" s="1"/>
      <c r="X612" s="60">
        <f>IFERROR(VLOOKUP($A612,Ventas!$A$2:$L$5000,12,FALSE()),"")</f>
        <v>37.5</v>
      </c>
      <c r="Y612" s="60">
        <f t="shared" si="3"/>
        <v>150</v>
      </c>
      <c r="Z612" s="61">
        <f t="shared" si="4"/>
        <v>28</v>
      </c>
      <c r="AA612" s="60">
        <f t="shared" si="5"/>
        <v>-900</v>
      </c>
      <c r="AB612" s="62" t="str">
        <f t="shared" si="6"/>
        <v>DUPLICADO</v>
      </c>
      <c r="AC612" s="62" t="str">
        <f t="array" ref="AC612">IF(AH612&lt;&gt;"COMPRAR","",IF(MAX(INDEX(Ventas!$G$2:$G$5000,MATCH($A612,Ventas!$A$2:$A$5000,0)),INDEX(Ventas!$H$2:$H$5000,MATCH($A612,Ventas!$A$2:$A$5000,0)),INDEX(Ventas!$I$2:$I$5000,MATCH($A612,Ventas!$A$2:$A$5000,0)),INDEX(Ventas!$J$2:$J$5000,MATCH($A612,Ventas!$A$2:$A$5000,0)))&gt;0.5*AF612*4,"1 mes = "&amp;TEXT(MAX(INDEX(Ventas!$G$2:$G$5000,MATCH($A612,Ventas!$A$2:$A$5000,0)),INDEX(Ventas!$H$2:$H$5000,MATCH($A612,Ventas!$A$2:$A$5000,0)),INDEX(Ventas!$I$2:$I$5000,MATCH($A612,Ventas!$A$2:$A$5000,0)),INDEX(Ventas!$J$2:$J$5000,MATCH($A612,Ventas!$A$2:$A$5000,0)))/(AF612*4),"0%")&amp;" de 4 meses",""))</f>
        <v/>
      </c>
      <c r="AD612" s="62" t="str">
        <f t="shared" si="7"/>
        <v/>
      </c>
      <c r="AE612" s="62" t="str">
        <f t="array" ref="AE612">IF(X612="","",IF(AND(E612=0,AVERAGE(INDEX(Ventas!$C$2:$I$5000,MATCH($A612,Ventas!$A$2:$A$5000,0),0))&gt;0,INDEX(Ventas!$J$2:$J$5000,MATCH($A612,Ventas!$A$2:$A$5000,0))&lt;0.5*AVERAGE(INDEX(Ventas!$C$2:$I$5000,MATCH($A612,Ventas!$A$2:$A$5000,0),0))),"SÍ — stock 0 y Sep cayó (prom Feb-Ago "&amp;TEXT(AVERAGE(INDEX(Ventas!$C$2:$I$5000,MATCH($A612,Ventas!$A$2:$A$5000,0),0)),"#,##0")&amp;")",""))</f>
        <v/>
      </c>
      <c r="AF612" s="60">
        <f t="array" ref="AF612">IF(X612="","",IF(AE612&lt;&gt;"",MAX(X612,AVERAGE(INDEX(Ventas!$C$2:$I$5000,MATCH($A612,Ventas!$A$2:$A$5000,0),0))),X612))</f>
        <v>37.5</v>
      </c>
      <c r="AG612" s="60">
        <f t="shared" si="8"/>
        <v>-900</v>
      </c>
      <c r="AH612" s="63" t="str">
        <f t="shared" si="9"/>
        <v>SOBRESTOCK</v>
      </c>
    </row>
    <row r="613" ht="13.5" customHeight="1">
      <c r="A613" s="49" t="s">
        <v>3357</v>
      </c>
      <c r="B613" s="50" t="s">
        <v>3942</v>
      </c>
      <c r="C613" s="50" t="s">
        <v>3947</v>
      </c>
      <c r="D613" s="50" t="s">
        <v>3950</v>
      </c>
      <c r="E613" s="51">
        <v>750.0</v>
      </c>
      <c r="F613" s="52"/>
      <c r="G613" s="53"/>
      <c r="H613" s="55"/>
      <c r="I613" s="55"/>
      <c r="J613" s="53"/>
      <c r="K613" s="53"/>
      <c r="L613" s="55"/>
      <c r="M613" s="53"/>
      <c r="N613" s="74"/>
      <c r="O613" s="57" t="str">
        <f t="shared" si="1"/>
        <v>SOBRESTOCK — 60.0 meses de cobertura</v>
      </c>
      <c r="P613" s="58">
        <f t="shared" si="2"/>
        <v>750</v>
      </c>
      <c r="Q613" s="1"/>
      <c r="R613" s="1"/>
      <c r="S613" s="1"/>
      <c r="T613" s="1"/>
      <c r="U613" s="1"/>
      <c r="V613" s="1"/>
      <c r="W613" s="1"/>
      <c r="X613" s="60">
        <f>IFERROR(VLOOKUP($A613,Ventas!$A$2:$L$5000,12,FALSE()),"")</f>
        <v>12.5</v>
      </c>
      <c r="Y613" s="60">
        <f t="shared" si="3"/>
        <v>50</v>
      </c>
      <c r="Z613" s="61">
        <f t="shared" si="4"/>
        <v>60</v>
      </c>
      <c r="AA613" s="60">
        <f t="shared" si="5"/>
        <v>-700</v>
      </c>
      <c r="AB613" s="62" t="str">
        <f t="shared" si="6"/>
        <v>DUPLICADO</v>
      </c>
      <c r="AC613" s="62" t="str">
        <f t="array" ref="AC613">IF(AH613&lt;&gt;"COMPRAR","",IF(MAX(INDEX(Ventas!$G$2:$G$5000,MATCH($A613,Ventas!$A$2:$A$5000,0)),INDEX(Ventas!$H$2:$H$5000,MATCH($A613,Ventas!$A$2:$A$5000,0)),INDEX(Ventas!$I$2:$I$5000,MATCH($A613,Ventas!$A$2:$A$5000,0)),INDEX(Ventas!$J$2:$J$5000,MATCH($A613,Ventas!$A$2:$A$5000,0)))&gt;0.5*AF613*4,"1 mes = "&amp;TEXT(MAX(INDEX(Ventas!$G$2:$G$5000,MATCH($A613,Ventas!$A$2:$A$5000,0)),INDEX(Ventas!$H$2:$H$5000,MATCH($A613,Ventas!$A$2:$A$5000,0)),INDEX(Ventas!$I$2:$I$5000,MATCH($A613,Ventas!$A$2:$A$5000,0)),INDEX(Ventas!$J$2:$J$5000,MATCH($A613,Ventas!$A$2:$A$5000,0)))/(AF613*4),"0%")&amp;" de 4 meses",""))</f>
        <v/>
      </c>
      <c r="AD613" s="62" t="str">
        <f t="shared" si="7"/>
        <v/>
      </c>
      <c r="AE613" s="62" t="str">
        <f t="array" ref="AE613">IF(X613="","",IF(AND(E613=0,AVERAGE(INDEX(Ventas!$C$2:$I$5000,MATCH($A613,Ventas!$A$2:$A$5000,0),0))&gt;0,INDEX(Ventas!$J$2:$J$5000,MATCH($A613,Ventas!$A$2:$A$5000,0))&lt;0.5*AVERAGE(INDEX(Ventas!$C$2:$I$5000,MATCH($A613,Ventas!$A$2:$A$5000,0),0))),"SÍ — stock 0 y Sep cayó (prom Feb-Ago "&amp;TEXT(AVERAGE(INDEX(Ventas!$C$2:$I$5000,MATCH($A613,Ventas!$A$2:$A$5000,0),0)),"#,##0")&amp;")",""))</f>
        <v/>
      </c>
      <c r="AF613" s="60">
        <f t="array" ref="AF613">IF(X613="","",IF(AE613&lt;&gt;"",MAX(X613,AVERAGE(INDEX(Ventas!$C$2:$I$5000,MATCH($A613,Ventas!$A$2:$A$5000,0),0))),X613))</f>
        <v>12.5</v>
      </c>
      <c r="AG613" s="60">
        <f t="shared" si="8"/>
        <v>-700</v>
      </c>
      <c r="AH613" s="63" t="str">
        <f t="shared" si="9"/>
        <v>SOBRESTOCK</v>
      </c>
    </row>
    <row r="614" ht="13.5" customHeight="1">
      <c r="A614" s="64" t="s">
        <v>3374</v>
      </c>
      <c r="B614" s="65" t="s">
        <v>3942</v>
      </c>
      <c r="C614" s="65" t="s">
        <v>3951</v>
      </c>
      <c r="D614" s="65" t="s">
        <v>3952</v>
      </c>
      <c r="E614" s="51">
        <v>780.0</v>
      </c>
      <c r="F614" s="66"/>
      <c r="G614" s="53"/>
      <c r="H614" s="55"/>
      <c r="I614" s="55"/>
      <c r="J614" s="53"/>
      <c r="K614" s="53"/>
      <c r="L614" s="55"/>
      <c r="M614" s="53"/>
      <c r="N614" s="73"/>
      <c r="O614" s="57" t="str">
        <f t="shared" si="1"/>
        <v>SOBRESTOCK — 16.4 meses de cobertura</v>
      </c>
      <c r="P614" s="58">
        <f t="shared" si="2"/>
        <v>780</v>
      </c>
      <c r="Q614" s="1"/>
      <c r="R614" s="1"/>
      <c r="S614" s="1"/>
      <c r="T614" s="1"/>
      <c r="U614" s="1"/>
      <c r="V614" s="1"/>
      <c r="W614" s="1"/>
      <c r="X614" s="60">
        <f>IFERROR(VLOOKUP($A614,Ventas!$A$2:$L$5000,12,FALSE()),"")</f>
        <v>47.5</v>
      </c>
      <c r="Y614" s="60">
        <f t="shared" si="3"/>
        <v>190</v>
      </c>
      <c r="Z614" s="61">
        <f t="shared" si="4"/>
        <v>16.4</v>
      </c>
      <c r="AA614" s="60">
        <f t="shared" si="5"/>
        <v>-590</v>
      </c>
      <c r="AB614" s="62" t="str">
        <f t="shared" si="6"/>
        <v/>
      </c>
      <c r="AC614" s="62" t="str">
        <f t="array" ref="AC614">IF(AH614&lt;&gt;"COMPRAR","",IF(MAX(INDEX(Ventas!$G$2:$G$5000,MATCH($A614,Ventas!$A$2:$A$5000,0)),INDEX(Ventas!$H$2:$H$5000,MATCH($A614,Ventas!$A$2:$A$5000,0)),INDEX(Ventas!$I$2:$I$5000,MATCH($A614,Ventas!$A$2:$A$5000,0)),INDEX(Ventas!$J$2:$J$5000,MATCH($A614,Ventas!$A$2:$A$5000,0)))&gt;0.5*AF614*4,"1 mes = "&amp;TEXT(MAX(INDEX(Ventas!$G$2:$G$5000,MATCH($A614,Ventas!$A$2:$A$5000,0)),INDEX(Ventas!$H$2:$H$5000,MATCH($A614,Ventas!$A$2:$A$5000,0)),INDEX(Ventas!$I$2:$I$5000,MATCH($A614,Ventas!$A$2:$A$5000,0)),INDEX(Ventas!$J$2:$J$5000,MATCH($A614,Ventas!$A$2:$A$5000,0)))/(AF614*4),"0%")&amp;" de 4 meses",""))</f>
        <v/>
      </c>
      <c r="AD614" s="62" t="str">
        <f t="shared" si="7"/>
        <v/>
      </c>
      <c r="AE614" s="62" t="str">
        <f t="array" ref="AE614">IF(X614="","",IF(AND(E614=0,AVERAGE(INDEX(Ventas!$C$2:$I$5000,MATCH($A614,Ventas!$A$2:$A$5000,0),0))&gt;0,INDEX(Ventas!$J$2:$J$5000,MATCH($A614,Ventas!$A$2:$A$5000,0))&lt;0.5*AVERAGE(INDEX(Ventas!$C$2:$I$5000,MATCH($A614,Ventas!$A$2:$A$5000,0),0))),"SÍ — stock 0 y Sep cayó (prom Feb-Ago "&amp;TEXT(AVERAGE(INDEX(Ventas!$C$2:$I$5000,MATCH($A614,Ventas!$A$2:$A$5000,0),0)),"#,##0")&amp;")",""))</f>
        <v/>
      </c>
      <c r="AF614" s="60">
        <f t="array" ref="AF614">IF(X614="","",IF(AE614&lt;&gt;"",MAX(X614,AVERAGE(INDEX(Ventas!$C$2:$I$5000,MATCH($A614,Ventas!$A$2:$A$5000,0),0))),X614))</f>
        <v>47.5</v>
      </c>
      <c r="AG614" s="60">
        <f t="shared" si="8"/>
        <v>-590</v>
      </c>
      <c r="AH614" s="63" t="str">
        <f t="shared" si="9"/>
        <v>SOBRESTOCK</v>
      </c>
    </row>
    <row r="615" ht="13.5" customHeight="1">
      <c r="A615" s="49" t="s">
        <v>3376</v>
      </c>
      <c r="B615" s="50" t="s">
        <v>3942</v>
      </c>
      <c r="C615" s="50" t="s">
        <v>3951</v>
      </c>
      <c r="D615" s="50" t="s">
        <v>3944</v>
      </c>
      <c r="E615" s="51">
        <v>280.0</v>
      </c>
      <c r="F615" s="52"/>
      <c r="G615" s="53"/>
      <c r="H615" s="55"/>
      <c r="I615" s="55"/>
      <c r="J615" s="53"/>
      <c r="K615" s="53"/>
      <c r="L615" s="55"/>
      <c r="M615" s="53"/>
      <c r="N615" s="74"/>
      <c r="O615" s="57" t="str">
        <f t="shared" si="1"/>
        <v>COMPRAR — faltan 340 m para 4 meses</v>
      </c>
      <c r="P615" s="58">
        <f t="shared" si="2"/>
        <v>280</v>
      </c>
      <c r="Q615" s="1"/>
      <c r="R615" s="1"/>
      <c r="S615" s="1"/>
      <c r="T615" s="1"/>
      <c r="U615" s="1"/>
      <c r="V615" s="1"/>
      <c r="W615" s="1"/>
      <c r="X615" s="60">
        <f>IFERROR(VLOOKUP($A615,Ventas!$A$2:$L$5000,12,FALSE()),"")</f>
        <v>155</v>
      </c>
      <c r="Y615" s="60">
        <f t="shared" si="3"/>
        <v>620</v>
      </c>
      <c r="Z615" s="61">
        <f t="shared" si="4"/>
        <v>1.8</v>
      </c>
      <c r="AA615" s="60">
        <f t="shared" si="5"/>
        <v>340</v>
      </c>
      <c r="AB615" s="62" t="str">
        <f t="shared" si="6"/>
        <v/>
      </c>
      <c r="AC615" s="62" t="str">
        <f t="array" ref="AC615">IF(AH615&lt;&gt;"COMPRAR","",IF(MAX(INDEX(Ventas!$G$2:$G$5000,MATCH($A615,Ventas!$A$2:$A$5000,0)),INDEX(Ventas!$H$2:$H$5000,MATCH($A615,Ventas!$A$2:$A$5000,0)),INDEX(Ventas!$I$2:$I$5000,MATCH($A615,Ventas!$A$2:$A$5000,0)),INDEX(Ventas!$J$2:$J$5000,MATCH($A615,Ventas!$A$2:$A$5000,0)))&gt;0.5*AF615*4,"1 mes = "&amp;TEXT(MAX(INDEX(Ventas!$G$2:$G$5000,MATCH($A615,Ventas!$A$2:$A$5000,0)),INDEX(Ventas!$H$2:$H$5000,MATCH($A615,Ventas!$A$2:$A$5000,0)),INDEX(Ventas!$I$2:$I$5000,MATCH($A615,Ventas!$A$2:$A$5000,0)),INDEX(Ventas!$J$2:$J$5000,MATCH($A615,Ventas!$A$2:$A$5000,0)))/(AF615*4),"0%")&amp;" de 4 meses",""))</f>
        <v>1 mes = 58% de 4 meses</v>
      </c>
      <c r="AD615" s="62" t="str">
        <f t="shared" si="7"/>
        <v/>
      </c>
      <c r="AE615" s="62" t="str">
        <f t="array" ref="AE615">IF(X615="","",IF(AND(E615=0,AVERAGE(INDEX(Ventas!$C$2:$I$5000,MATCH($A615,Ventas!$A$2:$A$5000,0),0))&gt;0,INDEX(Ventas!$J$2:$J$5000,MATCH($A615,Ventas!$A$2:$A$5000,0))&lt;0.5*AVERAGE(INDEX(Ventas!$C$2:$I$5000,MATCH($A615,Ventas!$A$2:$A$5000,0),0))),"SÍ — stock 0 y Sep cayó (prom Feb-Ago "&amp;TEXT(AVERAGE(INDEX(Ventas!$C$2:$I$5000,MATCH($A615,Ventas!$A$2:$A$5000,0),0)),"#,##0")&amp;")",""))</f>
        <v/>
      </c>
      <c r="AF615" s="60">
        <f t="array" ref="AF615">IF(X615="","",IF(AE615&lt;&gt;"",MAX(X615,AVERAGE(INDEX(Ventas!$C$2:$I$5000,MATCH($A615,Ventas!$A$2:$A$5000,0),0))),X615))</f>
        <v>155</v>
      </c>
      <c r="AG615" s="60">
        <f t="shared" si="8"/>
        <v>340</v>
      </c>
      <c r="AH615" s="63" t="str">
        <f t="shared" si="9"/>
        <v>COMPRAR</v>
      </c>
    </row>
    <row r="616" ht="13.5" customHeight="1">
      <c r="A616" s="64" t="s">
        <v>3378</v>
      </c>
      <c r="B616" s="65" t="s">
        <v>3942</v>
      </c>
      <c r="C616" s="65" t="s">
        <v>3951</v>
      </c>
      <c r="D616" s="65" t="s">
        <v>3953</v>
      </c>
      <c r="E616" s="51">
        <v>240.0</v>
      </c>
      <c r="F616" s="66"/>
      <c r="G616" s="53"/>
      <c r="H616" s="55"/>
      <c r="I616" s="55"/>
      <c r="J616" s="53"/>
      <c r="K616" s="53"/>
      <c r="L616" s="55"/>
      <c r="M616" s="53"/>
      <c r="N616" s="73"/>
      <c r="O616" s="57" t="str">
        <f t="shared" si="1"/>
        <v>SOBRESTOCK — 16.0 meses de cobertura</v>
      </c>
      <c r="P616" s="58">
        <f t="shared" si="2"/>
        <v>240</v>
      </c>
      <c r="Q616" s="1"/>
      <c r="R616" s="1"/>
      <c r="S616" s="1"/>
      <c r="T616" s="1"/>
      <c r="U616" s="1"/>
      <c r="V616" s="1"/>
      <c r="W616" s="1"/>
      <c r="X616" s="60">
        <f>IFERROR(VLOOKUP($A616,Ventas!$A$2:$L$5000,12,FALSE()),"")</f>
        <v>15</v>
      </c>
      <c r="Y616" s="60">
        <f t="shared" si="3"/>
        <v>60</v>
      </c>
      <c r="Z616" s="61">
        <f t="shared" si="4"/>
        <v>16</v>
      </c>
      <c r="AA616" s="60">
        <f t="shared" si="5"/>
        <v>-180</v>
      </c>
      <c r="AB616" s="62" t="str">
        <f t="shared" si="6"/>
        <v/>
      </c>
      <c r="AC616" s="62" t="str">
        <f t="array" ref="AC616">IF(AH616&lt;&gt;"COMPRAR","",IF(MAX(INDEX(Ventas!$G$2:$G$5000,MATCH($A616,Ventas!$A$2:$A$5000,0)),INDEX(Ventas!$H$2:$H$5000,MATCH($A616,Ventas!$A$2:$A$5000,0)),INDEX(Ventas!$I$2:$I$5000,MATCH($A616,Ventas!$A$2:$A$5000,0)),INDEX(Ventas!$J$2:$J$5000,MATCH($A616,Ventas!$A$2:$A$5000,0)))&gt;0.5*AF616*4,"1 mes = "&amp;TEXT(MAX(INDEX(Ventas!$G$2:$G$5000,MATCH($A616,Ventas!$A$2:$A$5000,0)),INDEX(Ventas!$H$2:$H$5000,MATCH($A616,Ventas!$A$2:$A$5000,0)),INDEX(Ventas!$I$2:$I$5000,MATCH($A616,Ventas!$A$2:$A$5000,0)),INDEX(Ventas!$J$2:$J$5000,MATCH($A616,Ventas!$A$2:$A$5000,0)))/(AF616*4),"0%")&amp;" de 4 meses",""))</f>
        <v/>
      </c>
      <c r="AD616" s="62" t="str">
        <f t="shared" si="7"/>
        <v/>
      </c>
      <c r="AE616" s="62" t="str">
        <f t="array" ref="AE616">IF(X616="","",IF(AND(E616=0,AVERAGE(INDEX(Ventas!$C$2:$I$5000,MATCH($A616,Ventas!$A$2:$A$5000,0),0))&gt;0,INDEX(Ventas!$J$2:$J$5000,MATCH($A616,Ventas!$A$2:$A$5000,0))&lt;0.5*AVERAGE(INDEX(Ventas!$C$2:$I$5000,MATCH($A616,Ventas!$A$2:$A$5000,0),0))),"SÍ — stock 0 y Sep cayó (prom Feb-Ago "&amp;TEXT(AVERAGE(INDEX(Ventas!$C$2:$I$5000,MATCH($A616,Ventas!$A$2:$A$5000,0),0)),"#,##0")&amp;")",""))</f>
        <v/>
      </c>
      <c r="AF616" s="60">
        <f t="array" ref="AF616">IF(X616="","",IF(AE616&lt;&gt;"",MAX(X616,AVERAGE(INDEX(Ventas!$C$2:$I$5000,MATCH($A616,Ventas!$A$2:$A$5000,0),0))),X616))</f>
        <v>15</v>
      </c>
      <c r="AG616" s="60">
        <f t="shared" si="8"/>
        <v>-180</v>
      </c>
      <c r="AH616" s="63" t="str">
        <f t="shared" si="9"/>
        <v>SOBRESTOCK</v>
      </c>
    </row>
    <row r="617" ht="13.5" customHeight="1">
      <c r="A617" s="49" t="s">
        <v>3287</v>
      </c>
      <c r="B617" s="50" t="s">
        <v>3942</v>
      </c>
      <c r="C617" s="50" t="s">
        <v>3954</v>
      </c>
      <c r="D617" s="50" t="s">
        <v>3734</v>
      </c>
      <c r="E617" s="51">
        <v>1400.0</v>
      </c>
      <c r="F617" s="52"/>
      <c r="G617" s="53"/>
      <c r="H617" s="55"/>
      <c r="I617" s="55"/>
      <c r="J617" s="53"/>
      <c r="K617" s="53"/>
      <c r="L617" s="55"/>
      <c r="M617" s="53"/>
      <c r="N617" s="74"/>
      <c r="O617" s="57" t="str">
        <f t="shared" si="1"/>
        <v>SOBRESTOCK — 112.0 meses de cobertura</v>
      </c>
      <c r="P617" s="58">
        <f t="shared" si="2"/>
        <v>1400</v>
      </c>
      <c r="Q617" s="1"/>
      <c r="R617" s="1"/>
      <c r="S617" s="1"/>
      <c r="T617" s="1"/>
      <c r="U617" s="1"/>
      <c r="V617" s="1"/>
      <c r="W617" s="1"/>
      <c r="X617" s="60">
        <f>IFERROR(VLOOKUP($A617,Ventas!$A$2:$L$5000,12,FALSE()),"")</f>
        <v>12.5</v>
      </c>
      <c r="Y617" s="60">
        <f t="shared" si="3"/>
        <v>50</v>
      </c>
      <c r="Z617" s="61">
        <f t="shared" si="4"/>
        <v>112</v>
      </c>
      <c r="AA617" s="60">
        <f t="shared" si="5"/>
        <v>-1350</v>
      </c>
      <c r="AB617" s="62" t="str">
        <f t="shared" si="6"/>
        <v/>
      </c>
      <c r="AC617" s="62" t="str">
        <f t="array" ref="AC617">IF(AH617&lt;&gt;"COMPRAR","",IF(MAX(INDEX(Ventas!$G$2:$G$5000,MATCH($A617,Ventas!$A$2:$A$5000,0)),INDEX(Ventas!$H$2:$H$5000,MATCH($A617,Ventas!$A$2:$A$5000,0)),INDEX(Ventas!$I$2:$I$5000,MATCH($A617,Ventas!$A$2:$A$5000,0)),INDEX(Ventas!$J$2:$J$5000,MATCH($A617,Ventas!$A$2:$A$5000,0)))&gt;0.5*AF617*4,"1 mes = "&amp;TEXT(MAX(INDEX(Ventas!$G$2:$G$5000,MATCH($A617,Ventas!$A$2:$A$5000,0)),INDEX(Ventas!$H$2:$H$5000,MATCH($A617,Ventas!$A$2:$A$5000,0)),INDEX(Ventas!$I$2:$I$5000,MATCH($A617,Ventas!$A$2:$A$5000,0)),INDEX(Ventas!$J$2:$J$5000,MATCH($A617,Ventas!$A$2:$A$5000,0)))/(AF617*4),"0%")&amp;" de 4 meses",""))</f>
        <v/>
      </c>
      <c r="AD617" s="62" t="str">
        <f t="shared" si="7"/>
        <v/>
      </c>
      <c r="AE617" s="62" t="str">
        <f t="array" ref="AE617">IF(X617="","",IF(AND(E617=0,AVERAGE(INDEX(Ventas!$C$2:$I$5000,MATCH($A617,Ventas!$A$2:$A$5000,0),0))&gt;0,INDEX(Ventas!$J$2:$J$5000,MATCH($A617,Ventas!$A$2:$A$5000,0))&lt;0.5*AVERAGE(INDEX(Ventas!$C$2:$I$5000,MATCH($A617,Ventas!$A$2:$A$5000,0),0))),"SÍ — stock 0 y Sep cayó (prom Feb-Ago "&amp;TEXT(AVERAGE(INDEX(Ventas!$C$2:$I$5000,MATCH($A617,Ventas!$A$2:$A$5000,0),0)),"#,##0")&amp;")",""))</f>
        <v/>
      </c>
      <c r="AF617" s="60">
        <f t="array" ref="AF617">IF(X617="","",IF(AE617&lt;&gt;"",MAX(X617,AVERAGE(INDEX(Ventas!$C$2:$I$5000,MATCH($A617,Ventas!$A$2:$A$5000,0),0))),X617))</f>
        <v>12.5</v>
      </c>
      <c r="AG617" s="60">
        <f t="shared" si="8"/>
        <v>-1350</v>
      </c>
      <c r="AH617" s="63" t="str">
        <f t="shared" si="9"/>
        <v>SOBRESTOCK</v>
      </c>
    </row>
    <row r="618" ht="13.5" customHeight="1">
      <c r="A618" s="64" t="s">
        <v>3289</v>
      </c>
      <c r="B618" s="65" t="s">
        <v>3942</v>
      </c>
      <c r="C618" s="65" t="s">
        <v>3954</v>
      </c>
      <c r="D618" s="65" t="s">
        <v>3955</v>
      </c>
      <c r="E618" s="51">
        <v>750.0</v>
      </c>
      <c r="F618" s="66"/>
      <c r="G618" s="53"/>
      <c r="H618" s="55"/>
      <c r="I618" s="55"/>
      <c r="J618" s="53"/>
      <c r="K618" s="53"/>
      <c r="L618" s="55"/>
      <c r="M618" s="53"/>
      <c r="N618" s="73"/>
      <c r="O618" s="57" t="str">
        <f t="shared" si="1"/>
        <v>SOBRESTOCK — 60.0 meses de cobertura</v>
      </c>
      <c r="P618" s="58">
        <f t="shared" si="2"/>
        <v>750</v>
      </c>
      <c r="Q618" s="1"/>
      <c r="R618" s="1"/>
      <c r="S618" s="1"/>
      <c r="T618" s="1"/>
      <c r="U618" s="1"/>
      <c r="V618" s="1"/>
      <c r="W618" s="1"/>
      <c r="X618" s="60">
        <f>IFERROR(VLOOKUP($A618,Ventas!$A$2:$L$5000,12,FALSE()),"")</f>
        <v>12.5</v>
      </c>
      <c r="Y618" s="60">
        <f t="shared" si="3"/>
        <v>50</v>
      </c>
      <c r="Z618" s="61">
        <f t="shared" si="4"/>
        <v>60</v>
      </c>
      <c r="AA618" s="60">
        <f t="shared" si="5"/>
        <v>-700</v>
      </c>
      <c r="AB618" s="62" t="str">
        <f t="shared" si="6"/>
        <v/>
      </c>
      <c r="AC618" s="62" t="str">
        <f t="array" ref="AC618">IF(AH618&lt;&gt;"COMPRAR","",IF(MAX(INDEX(Ventas!$G$2:$G$5000,MATCH($A618,Ventas!$A$2:$A$5000,0)),INDEX(Ventas!$H$2:$H$5000,MATCH($A618,Ventas!$A$2:$A$5000,0)),INDEX(Ventas!$I$2:$I$5000,MATCH($A618,Ventas!$A$2:$A$5000,0)),INDEX(Ventas!$J$2:$J$5000,MATCH($A618,Ventas!$A$2:$A$5000,0)))&gt;0.5*AF618*4,"1 mes = "&amp;TEXT(MAX(INDEX(Ventas!$G$2:$G$5000,MATCH($A618,Ventas!$A$2:$A$5000,0)),INDEX(Ventas!$H$2:$H$5000,MATCH($A618,Ventas!$A$2:$A$5000,0)),INDEX(Ventas!$I$2:$I$5000,MATCH($A618,Ventas!$A$2:$A$5000,0)),INDEX(Ventas!$J$2:$J$5000,MATCH($A618,Ventas!$A$2:$A$5000,0)))/(AF618*4),"0%")&amp;" de 4 meses",""))</f>
        <v/>
      </c>
      <c r="AD618" s="62" t="str">
        <f t="shared" si="7"/>
        <v/>
      </c>
      <c r="AE618" s="62" t="str">
        <f t="array" ref="AE618">IF(X618="","",IF(AND(E618=0,AVERAGE(INDEX(Ventas!$C$2:$I$5000,MATCH($A618,Ventas!$A$2:$A$5000,0),0))&gt;0,INDEX(Ventas!$J$2:$J$5000,MATCH($A618,Ventas!$A$2:$A$5000,0))&lt;0.5*AVERAGE(INDEX(Ventas!$C$2:$I$5000,MATCH($A618,Ventas!$A$2:$A$5000,0),0))),"SÍ — stock 0 y Sep cayó (prom Feb-Ago "&amp;TEXT(AVERAGE(INDEX(Ventas!$C$2:$I$5000,MATCH($A618,Ventas!$A$2:$A$5000,0),0)),"#,##0")&amp;")",""))</f>
        <v/>
      </c>
      <c r="AF618" s="60">
        <f t="array" ref="AF618">IF(X618="","",IF(AE618&lt;&gt;"",MAX(X618,AVERAGE(INDEX(Ventas!$C$2:$I$5000,MATCH($A618,Ventas!$A$2:$A$5000,0),0))),X618))</f>
        <v>12.5</v>
      </c>
      <c r="AG618" s="60">
        <f t="shared" si="8"/>
        <v>-700</v>
      </c>
      <c r="AH618" s="63" t="str">
        <f t="shared" si="9"/>
        <v>SOBRESTOCK</v>
      </c>
    </row>
    <row r="619" ht="13.5" customHeight="1">
      <c r="A619" s="49" t="s">
        <v>3086</v>
      </c>
      <c r="B619" s="50" t="s">
        <v>3942</v>
      </c>
      <c r="C619" s="50" t="s">
        <v>3956</v>
      </c>
      <c r="D619" s="50" t="s">
        <v>3734</v>
      </c>
      <c r="E619" s="51">
        <v>436.0</v>
      </c>
      <c r="F619" s="52"/>
      <c r="G619" s="53"/>
      <c r="H619" s="55"/>
      <c r="I619" s="55"/>
      <c r="J619" s="53"/>
      <c r="K619" s="53"/>
      <c r="L619" s="55"/>
      <c r="M619" s="53"/>
      <c r="N619" s="74"/>
      <c r="O619" s="57" t="str">
        <f t="shared" si="1"/>
        <v>SOBRESTOCK — 43.6 meses de cobertura</v>
      </c>
      <c r="P619" s="58">
        <f t="shared" si="2"/>
        <v>436</v>
      </c>
      <c r="Q619" s="1"/>
      <c r="R619" s="1"/>
      <c r="S619" s="1"/>
      <c r="T619" s="1"/>
      <c r="U619" s="1"/>
      <c r="V619" s="1"/>
      <c r="W619" s="1"/>
      <c r="X619" s="60">
        <f>IFERROR(VLOOKUP($A619,Ventas!$A$2:$L$5000,12,FALSE()),"")</f>
        <v>10</v>
      </c>
      <c r="Y619" s="60">
        <f t="shared" si="3"/>
        <v>40</v>
      </c>
      <c r="Z619" s="61">
        <f t="shared" si="4"/>
        <v>43.6</v>
      </c>
      <c r="AA619" s="60">
        <f t="shared" si="5"/>
        <v>-396</v>
      </c>
      <c r="AB619" s="62" t="str">
        <f t="shared" si="6"/>
        <v/>
      </c>
      <c r="AC619" s="62" t="str">
        <f t="array" ref="AC619">IF(AH619&lt;&gt;"COMPRAR","",IF(MAX(INDEX(Ventas!$G$2:$G$5000,MATCH($A619,Ventas!$A$2:$A$5000,0)),INDEX(Ventas!$H$2:$H$5000,MATCH($A619,Ventas!$A$2:$A$5000,0)),INDEX(Ventas!$I$2:$I$5000,MATCH($A619,Ventas!$A$2:$A$5000,0)),INDEX(Ventas!$J$2:$J$5000,MATCH($A619,Ventas!$A$2:$A$5000,0)))&gt;0.5*AF619*4,"1 mes = "&amp;TEXT(MAX(INDEX(Ventas!$G$2:$G$5000,MATCH($A619,Ventas!$A$2:$A$5000,0)),INDEX(Ventas!$H$2:$H$5000,MATCH($A619,Ventas!$A$2:$A$5000,0)),INDEX(Ventas!$I$2:$I$5000,MATCH($A619,Ventas!$A$2:$A$5000,0)),INDEX(Ventas!$J$2:$J$5000,MATCH($A619,Ventas!$A$2:$A$5000,0)))/(AF619*4),"0%")&amp;" de 4 meses",""))</f>
        <v/>
      </c>
      <c r="AD619" s="62" t="str">
        <f t="shared" si="7"/>
        <v/>
      </c>
      <c r="AE619" s="62" t="str">
        <f t="array" ref="AE619">IF(X619="","",IF(AND(E619=0,AVERAGE(INDEX(Ventas!$C$2:$I$5000,MATCH($A619,Ventas!$A$2:$A$5000,0),0))&gt;0,INDEX(Ventas!$J$2:$J$5000,MATCH($A619,Ventas!$A$2:$A$5000,0))&lt;0.5*AVERAGE(INDEX(Ventas!$C$2:$I$5000,MATCH($A619,Ventas!$A$2:$A$5000,0),0))),"SÍ — stock 0 y Sep cayó (prom Feb-Ago "&amp;TEXT(AVERAGE(INDEX(Ventas!$C$2:$I$5000,MATCH($A619,Ventas!$A$2:$A$5000,0),0)),"#,##0")&amp;")",""))</f>
        <v/>
      </c>
      <c r="AF619" s="60">
        <f t="array" ref="AF619">IF(X619="","",IF(AE619&lt;&gt;"",MAX(X619,AVERAGE(INDEX(Ventas!$C$2:$I$5000,MATCH($A619,Ventas!$A$2:$A$5000,0),0))),X619))</f>
        <v>10</v>
      </c>
      <c r="AG619" s="60">
        <f t="shared" si="8"/>
        <v>-396</v>
      </c>
      <c r="AH619" s="63" t="str">
        <f t="shared" si="9"/>
        <v>SOBRESTOCK</v>
      </c>
    </row>
    <row r="620" ht="13.5" customHeight="1">
      <c r="A620" s="64" t="s">
        <v>3305</v>
      </c>
      <c r="B620" s="65" t="s">
        <v>3942</v>
      </c>
      <c r="C620" s="65" t="s">
        <v>3957</v>
      </c>
      <c r="D620" s="65" t="s">
        <v>3958</v>
      </c>
      <c r="E620" s="51">
        <v>490.0</v>
      </c>
      <c r="F620" s="66"/>
      <c r="G620" s="53"/>
      <c r="H620" s="55"/>
      <c r="I620" s="55"/>
      <c r="J620" s="53"/>
      <c r="K620" s="53"/>
      <c r="L620" s="55"/>
      <c r="M620" s="53"/>
      <c r="N620" s="73"/>
      <c r="O620" s="57" t="str">
        <f t="shared" si="1"/>
        <v>SOBRESTOCK — 35.0 meses de cobertura</v>
      </c>
      <c r="P620" s="58">
        <f t="shared" si="2"/>
        <v>490</v>
      </c>
      <c r="Q620" s="1"/>
      <c r="R620" s="1"/>
      <c r="S620" s="1"/>
      <c r="T620" s="1"/>
      <c r="U620" s="1"/>
      <c r="V620" s="1"/>
      <c r="W620" s="1"/>
      <c r="X620" s="60">
        <f>IFERROR(VLOOKUP($A620,Ventas!$A$2:$L$5000,12,FALSE()),"")</f>
        <v>14</v>
      </c>
      <c r="Y620" s="60">
        <f t="shared" si="3"/>
        <v>56</v>
      </c>
      <c r="Z620" s="61">
        <f t="shared" si="4"/>
        <v>35</v>
      </c>
      <c r="AA620" s="60">
        <f t="shared" si="5"/>
        <v>-434</v>
      </c>
      <c r="AB620" s="62" t="str">
        <f t="shared" si="6"/>
        <v/>
      </c>
      <c r="AC620" s="62" t="str">
        <f t="array" ref="AC620">IF(AH620&lt;&gt;"COMPRAR","",IF(MAX(INDEX(Ventas!$G$2:$G$5000,MATCH($A620,Ventas!$A$2:$A$5000,0)),INDEX(Ventas!$H$2:$H$5000,MATCH($A620,Ventas!$A$2:$A$5000,0)),INDEX(Ventas!$I$2:$I$5000,MATCH($A620,Ventas!$A$2:$A$5000,0)),INDEX(Ventas!$J$2:$J$5000,MATCH($A620,Ventas!$A$2:$A$5000,0)))&gt;0.5*AF620*4,"1 mes = "&amp;TEXT(MAX(INDEX(Ventas!$G$2:$G$5000,MATCH($A620,Ventas!$A$2:$A$5000,0)),INDEX(Ventas!$H$2:$H$5000,MATCH($A620,Ventas!$A$2:$A$5000,0)),INDEX(Ventas!$I$2:$I$5000,MATCH($A620,Ventas!$A$2:$A$5000,0)),INDEX(Ventas!$J$2:$J$5000,MATCH($A620,Ventas!$A$2:$A$5000,0)))/(AF620*4),"0%")&amp;" de 4 meses",""))</f>
        <v/>
      </c>
      <c r="AD620" s="62" t="str">
        <f t="shared" si="7"/>
        <v/>
      </c>
      <c r="AE620" s="62" t="str">
        <f t="array" ref="AE620">IF(X620="","",IF(AND(E620=0,AVERAGE(INDEX(Ventas!$C$2:$I$5000,MATCH($A620,Ventas!$A$2:$A$5000,0),0))&gt;0,INDEX(Ventas!$J$2:$J$5000,MATCH($A620,Ventas!$A$2:$A$5000,0))&lt;0.5*AVERAGE(INDEX(Ventas!$C$2:$I$5000,MATCH($A620,Ventas!$A$2:$A$5000,0),0))),"SÍ — stock 0 y Sep cayó (prom Feb-Ago "&amp;TEXT(AVERAGE(INDEX(Ventas!$C$2:$I$5000,MATCH($A620,Ventas!$A$2:$A$5000,0),0)),"#,##0")&amp;")",""))</f>
        <v/>
      </c>
      <c r="AF620" s="60">
        <f t="array" ref="AF620">IF(X620="","",IF(AE620&lt;&gt;"",MAX(X620,AVERAGE(INDEX(Ventas!$C$2:$I$5000,MATCH($A620,Ventas!$A$2:$A$5000,0),0))),X620))</f>
        <v>14</v>
      </c>
      <c r="AG620" s="60">
        <f t="shared" si="8"/>
        <v>-434</v>
      </c>
      <c r="AH620" s="63" t="str">
        <f t="shared" si="9"/>
        <v>SOBRESTOCK</v>
      </c>
    </row>
    <row r="621" ht="13.5" customHeight="1">
      <c r="A621" s="49" t="s">
        <v>3491</v>
      </c>
      <c r="B621" s="50" t="s">
        <v>3942</v>
      </c>
      <c r="C621" s="50" t="s">
        <v>3959</v>
      </c>
      <c r="D621" s="50" t="s">
        <v>3960</v>
      </c>
      <c r="E621" s="51">
        <v>0.0</v>
      </c>
      <c r="F621" s="52"/>
      <c r="G621" s="53"/>
      <c r="H621" s="55"/>
      <c r="I621" s="55"/>
      <c r="J621" s="53"/>
      <c r="K621" s="53"/>
      <c r="L621" s="55"/>
      <c r="M621" s="53"/>
      <c r="N621" s="74"/>
      <c r="O621" s="57" t="str">
        <f t="shared" si="1"/>
        <v>COMPRAR — faltan 285 m para 4 meses</v>
      </c>
      <c r="P621" s="58">
        <f t="shared" si="2"/>
        <v>0</v>
      </c>
      <c r="Q621" s="1"/>
      <c r="R621" s="1"/>
      <c r="S621" s="1"/>
      <c r="T621" s="1"/>
      <c r="U621" s="1"/>
      <c r="V621" s="1"/>
      <c r="W621" s="1"/>
      <c r="X621" s="60">
        <f>IFERROR(VLOOKUP($A621,Ventas!$A$2:$L$5000,12,FALSE()),"")</f>
        <v>71.25</v>
      </c>
      <c r="Y621" s="60">
        <f t="shared" si="3"/>
        <v>285</v>
      </c>
      <c r="Z621" s="61">
        <f t="shared" si="4"/>
        <v>0</v>
      </c>
      <c r="AA621" s="60">
        <f t="shared" si="5"/>
        <v>285</v>
      </c>
      <c r="AB621" s="62" t="str">
        <f t="shared" si="6"/>
        <v/>
      </c>
      <c r="AC621" s="62" t="str">
        <f t="array" ref="AC621">IF(AH621&lt;&gt;"COMPRAR","",IF(MAX(INDEX(Ventas!$G$2:$G$5000,MATCH($A621,Ventas!$A$2:$A$5000,0)),INDEX(Ventas!$H$2:$H$5000,MATCH($A621,Ventas!$A$2:$A$5000,0)),INDEX(Ventas!$I$2:$I$5000,MATCH($A621,Ventas!$A$2:$A$5000,0)),INDEX(Ventas!$J$2:$J$5000,MATCH($A621,Ventas!$A$2:$A$5000,0)))&gt;0.5*AF621*4,"1 mes = "&amp;TEXT(MAX(INDEX(Ventas!$G$2:$G$5000,MATCH($A621,Ventas!$A$2:$A$5000,0)),INDEX(Ventas!$H$2:$H$5000,MATCH($A621,Ventas!$A$2:$A$5000,0)),INDEX(Ventas!$I$2:$I$5000,MATCH($A621,Ventas!$A$2:$A$5000,0)),INDEX(Ventas!$J$2:$J$5000,MATCH($A621,Ventas!$A$2:$A$5000,0)))/(AF621*4),"0%")&amp;" de 4 meses",""))</f>
        <v>1 mes = 83% de 4 meses</v>
      </c>
      <c r="AD621" s="62" t="str">
        <f t="shared" si="7"/>
        <v>SÍ — 0 m vs 38 m</v>
      </c>
      <c r="AE621" s="62" t="str">
        <f t="array" ref="AE621">IF(X621="","",IF(AND(E621=0,AVERAGE(INDEX(Ventas!$C$2:$I$5000,MATCH($A621,Ventas!$A$2:$A$5000,0),0))&gt;0,INDEX(Ventas!$J$2:$J$5000,MATCH($A621,Ventas!$A$2:$A$5000,0))&lt;0.5*AVERAGE(INDEX(Ventas!$C$2:$I$5000,MATCH($A621,Ventas!$A$2:$A$5000,0),0))),"SÍ — stock 0 y Sep cayó (prom Feb-Ago "&amp;TEXT(AVERAGE(INDEX(Ventas!$C$2:$I$5000,MATCH($A621,Ventas!$A$2:$A$5000,0),0)),"#,##0")&amp;")",""))</f>
        <v/>
      </c>
      <c r="AF621" s="60">
        <f t="array" ref="AF621">IF(X621="","",IF(AE621&lt;&gt;"",MAX(X621,AVERAGE(INDEX(Ventas!$C$2:$I$5000,MATCH($A621,Ventas!$A$2:$A$5000,0),0))),X621))</f>
        <v>71.25</v>
      </c>
      <c r="AG621" s="60">
        <f t="shared" si="8"/>
        <v>285</v>
      </c>
      <c r="AH621" s="63" t="str">
        <f t="shared" si="9"/>
        <v>COMPRAR</v>
      </c>
    </row>
    <row r="622" ht="13.5" customHeight="1">
      <c r="A622" s="64" t="s">
        <v>3493</v>
      </c>
      <c r="B622" s="65" t="s">
        <v>3942</v>
      </c>
      <c r="C622" s="65" t="s">
        <v>3959</v>
      </c>
      <c r="D622" s="65" t="s">
        <v>3952</v>
      </c>
      <c r="E622" s="51">
        <v>282.0</v>
      </c>
      <c r="F622" s="66"/>
      <c r="G622" s="53">
        <v>1.0</v>
      </c>
      <c r="H622" s="55">
        <v>1.0</v>
      </c>
      <c r="I622" s="55"/>
      <c r="J622" s="53"/>
      <c r="K622" s="53"/>
      <c r="L622" s="55"/>
      <c r="M622" s="53"/>
      <c r="N622" s="73"/>
      <c r="O622" s="57" t="str">
        <f t="shared" si="1"/>
        <v>OK — cubierto (8.0 meses)</v>
      </c>
      <c r="P622" s="58">
        <f t="shared" si="2"/>
        <v>284</v>
      </c>
      <c r="Q622" s="1"/>
      <c r="R622" s="1"/>
      <c r="S622" s="1"/>
      <c r="T622" s="1"/>
      <c r="U622" s="1"/>
      <c r="V622" s="1"/>
      <c r="W622" s="1"/>
      <c r="X622" s="60">
        <f>IFERROR(VLOOKUP($A622,Ventas!$A$2:$L$5000,12,FALSE()),"")</f>
        <v>35.625</v>
      </c>
      <c r="Y622" s="60">
        <f t="shared" si="3"/>
        <v>143</v>
      </c>
      <c r="Z622" s="61">
        <f t="shared" si="4"/>
        <v>8</v>
      </c>
      <c r="AA622" s="60">
        <f t="shared" si="5"/>
        <v>-141</v>
      </c>
      <c r="AB622" s="62" t="str">
        <f t="shared" si="6"/>
        <v/>
      </c>
      <c r="AC622" s="62" t="str">
        <f t="array" ref="AC622">IF(AH622&lt;&gt;"COMPRAR","",IF(MAX(INDEX(Ventas!$G$2:$G$5000,MATCH($A622,Ventas!$A$2:$A$5000,0)),INDEX(Ventas!$H$2:$H$5000,MATCH($A622,Ventas!$A$2:$A$5000,0)),INDEX(Ventas!$I$2:$I$5000,MATCH($A622,Ventas!$A$2:$A$5000,0)),INDEX(Ventas!$J$2:$J$5000,MATCH($A622,Ventas!$A$2:$A$5000,0)))&gt;0.5*AF622*4,"1 mes = "&amp;TEXT(MAX(INDEX(Ventas!$G$2:$G$5000,MATCH($A622,Ventas!$A$2:$A$5000,0)),INDEX(Ventas!$H$2:$H$5000,MATCH($A622,Ventas!$A$2:$A$5000,0)),INDEX(Ventas!$I$2:$I$5000,MATCH($A622,Ventas!$A$2:$A$5000,0)),INDEX(Ventas!$J$2:$J$5000,MATCH($A622,Ventas!$A$2:$A$5000,0)))/(AF622*4),"0%")&amp;" de 4 meses",""))</f>
        <v/>
      </c>
      <c r="AD622" s="62" t="str">
        <f t="shared" si="7"/>
        <v/>
      </c>
      <c r="AE622" s="62" t="str">
        <f t="array" ref="AE622">IF(X622="","",IF(AND(E622=0,AVERAGE(INDEX(Ventas!$C$2:$I$5000,MATCH($A622,Ventas!$A$2:$A$5000,0),0))&gt;0,INDEX(Ventas!$J$2:$J$5000,MATCH($A622,Ventas!$A$2:$A$5000,0))&lt;0.5*AVERAGE(INDEX(Ventas!$C$2:$I$5000,MATCH($A622,Ventas!$A$2:$A$5000,0),0))),"SÍ — stock 0 y Sep cayó (prom Feb-Ago "&amp;TEXT(AVERAGE(INDEX(Ventas!$C$2:$I$5000,MATCH($A622,Ventas!$A$2:$A$5000,0),0)),"#,##0")&amp;")",""))</f>
        <v/>
      </c>
      <c r="AF622" s="60">
        <f t="array" ref="AF622">IF(X622="","",IF(AE622&lt;&gt;"",MAX(X622,AVERAGE(INDEX(Ventas!$C$2:$I$5000,MATCH($A622,Ventas!$A$2:$A$5000,0),0))),X622))</f>
        <v>35.625</v>
      </c>
      <c r="AG622" s="60">
        <f t="shared" si="8"/>
        <v>-141</v>
      </c>
      <c r="AH622" s="63" t="str">
        <f t="shared" si="9"/>
        <v>OK</v>
      </c>
    </row>
    <row r="623" ht="13.5" customHeight="1">
      <c r="A623" s="49" t="s">
        <v>3495</v>
      </c>
      <c r="B623" s="50" t="s">
        <v>3942</v>
      </c>
      <c r="C623" s="50" t="s">
        <v>3959</v>
      </c>
      <c r="D623" s="50" t="s">
        <v>3944</v>
      </c>
      <c r="E623" s="51">
        <v>141.0</v>
      </c>
      <c r="F623" s="52"/>
      <c r="G623" s="53"/>
      <c r="H623" s="55"/>
      <c r="I623" s="55"/>
      <c r="J623" s="53"/>
      <c r="K623" s="53"/>
      <c r="L623" s="55"/>
      <c r="M623" s="53"/>
      <c r="N623" s="74"/>
      <c r="O623" s="57" t="str">
        <f t="shared" si="1"/>
        <v>COMPRAR — faltan 97 m para 4 meses</v>
      </c>
      <c r="P623" s="58">
        <f t="shared" si="2"/>
        <v>141</v>
      </c>
      <c r="Q623" s="1"/>
      <c r="R623" s="1"/>
      <c r="S623" s="1"/>
      <c r="T623" s="1"/>
      <c r="U623" s="1"/>
      <c r="V623" s="1"/>
      <c r="W623" s="1"/>
      <c r="X623" s="60">
        <f>IFERROR(VLOOKUP($A623,Ventas!$A$2:$L$5000,12,FALSE()),"")</f>
        <v>59.375</v>
      </c>
      <c r="Y623" s="60">
        <f t="shared" si="3"/>
        <v>238</v>
      </c>
      <c r="Z623" s="61">
        <f t="shared" si="4"/>
        <v>2.4</v>
      </c>
      <c r="AA623" s="60">
        <f t="shared" si="5"/>
        <v>97</v>
      </c>
      <c r="AB623" s="62" t="str">
        <f t="shared" si="6"/>
        <v/>
      </c>
      <c r="AC623" s="62" t="str">
        <f t="array" ref="AC623">IF(AH623&lt;&gt;"COMPRAR","",IF(MAX(INDEX(Ventas!$G$2:$G$5000,MATCH($A623,Ventas!$A$2:$A$5000,0)),INDEX(Ventas!$H$2:$H$5000,MATCH($A623,Ventas!$A$2:$A$5000,0)),INDEX(Ventas!$I$2:$I$5000,MATCH($A623,Ventas!$A$2:$A$5000,0)),INDEX(Ventas!$J$2:$J$5000,MATCH($A623,Ventas!$A$2:$A$5000,0)))&gt;0.5*AF623*4,"1 mes = "&amp;TEXT(MAX(INDEX(Ventas!$G$2:$G$5000,MATCH($A623,Ventas!$A$2:$A$5000,0)),INDEX(Ventas!$H$2:$H$5000,MATCH($A623,Ventas!$A$2:$A$5000,0)),INDEX(Ventas!$I$2:$I$5000,MATCH($A623,Ventas!$A$2:$A$5000,0)),INDEX(Ventas!$J$2:$J$5000,MATCH($A623,Ventas!$A$2:$A$5000,0)))/(AF623*4),"0%")&amp;" de 4 meses",""))</f>
        <v>1 mes = 80% de 4 meses</v>
      </c>
      <c r="AD623" s="62" t="str">
        <f t="shared" si="7"/>
        <v/>
      </c>
      <c r="AE623" s="62" t="str">
        <f t="array" ref="AE623">IF(X623="","",IF(AND(E623=0,AVERAGE(INDEX(Ventas!$C$2:$I$5000,MATCH($A623,Ventas!$A$2:$A$5000,0),0))&gt;0,INDEX(Ventas!$J$2:$J$5000,MATCH($A623,Ventas!$A$2:$A$5000,0))&lt;0.5*AVERAGE(INDEX(Ventas!$C$2:$I$5000,MATCH($A623,Ventas!$A$2:$A$5000,0),0))),"SÍ — stock 0 y Sep cayó (prom Feb-Ago "&amp;TEXT(AVERAGE(INDEX(Ventas!$C$2:$I$5000,MATCH($A623,Ventas!$A$2:$A$5000,0),0)),"#,##0")&amp;")",""))</f>
        <v/>
      </c>
      <c r="AF623" s="60">
        <f t="array" ref="AF623">IF(X623="","",IF(AE623&lt;&gt;"",MAX(X623,AVERAGE(INDEX(Ventas!$C$2:$I$5000,MATCH($A623,Ventas!$A$2:$A$5000,0),0))),X623))</f>
        <v>59.375</v>
      </c>
      <c r="AG623" s="60">
        <f t="shared" si="8"/>
        <v>97</v>
      </c>
      <c r="AH623" s="63" t="str">
        <f t="shared" si="9"/>
        <v>COMPRAR</v>
      </c>
    </row>
    <row r="624" ht="13.5" customHeight="1">
      <c r="A624" s="64" t="s">
        <v>3303</v>
      </c>
      <c r="B624" s="65" t="s">
        <v>3942</v>
      </c>
      <c r="C624" s="65" t="s">
        <v>3961</v>
      </c>
      <c r="D624" s="65" t="s">
        <v>3944</v>
      </c>
      <c r="E624" s="51">
        <v>2550.0</v>
      </c>
      <c r="F624" s="66"/>
      <c r="G624" s="53">
        <v>1100.0</v>
      </c>
      <c r="H624" s="55"/>
      <c r="I624" s="55"/>
      <c r="J624" s="53"/>
      <c r="K624" s="53"/>
      <c r="L624" s="55"/>
      <c r="M624" s="53"/>
      <c r="N624" s="73"/>
      <c r="O624" s="57" t="str">
        <f t="shared" si="1"/>
        <v>SOBRESTOCK — 29.2 meses de cobertura</v>
      </c>
      <c r="P624" s="58">
        <f t="shared" si="2"/>
        <v>3650</v>
      </c>
      <c r="Q624" s="1"/>
      <c r="R624" s="1"/>
      <c r="S624" s="1"/>
      <c r="T624" s="1"/>
      <c r="U624" s="1"/>
      <c r="V624" s="1"/>
      <c r="W624" s="1"/>
      <c r="X624" s="60">
        <f>IFERROR(VLOOKUP($A624,Ventas!$A$2:$L$5000,12,FALSE()),"")</f>
        <v>125</v>
      </c>
      <c r="Y624" s="60">
        <f t="shared" si="3"/>
        <v>500</v>
      </c>
      <c r="Z624" s="61">
        <f t="shared" si="4"/>
        <v>29.2</v>
      </c>
      <c r="AA624" s="60">
        <f t="shared" si="5"/>
        <v>-3150</v>
      </c>
      <c r="AB624" s="62" t="str">
        <f t="shared" si="6"/>
        <v/>
      </c>
      <c r="AC624" s="62" t="str">
        <f t="array" ref="AC624">IF(AH624&lt;&gt;"COMPRAR","",IF(MAX(INDEX(Ventas!$G$2:$G$5000,MATCH($A624,Ventas!$A$2:$A$5000,0)),INDEX(Ventas!$H$2:$H$5000,MATCH($A624,Ventas!$A$2:$A$5000,0)),INDEX(Ventas!$I$2:$I$5000,MATCH($A624,Ventas!$A$2:$A$5000,0)),INDEX(Ventas!$J$2:$J$5000,MATCH($A624,Ventas!$A$2:$A$5000,0)))&gt;0.5*AF624*4,"1 mes = "&amp;TEXT(MAX(INDEX(Ventas!$G$2:$G$5000,MATCH($A624,Ventas!$A$2:$A$5000,0)),INDEX(Ventas!$H$2:$H$5000,MATCH($A624,Ventas!$A$2:$A$5000,0)),INDEX(Ventas!$I$2:$I$5000,MATCH($A624,Ventas!$A$2:$A$5000,0)),INDEX(Ventas!$J$2:$J$5000,MATCH($A624,Ventas!$A$2:$A$5000,0)))/(AF624*4),"0%")&amp;" de 4 meses",""))</f>
        <v/>
      </c>
      <c r="AD624" s="62" t="str">
        <f t="shared" si="7"/>
        <v/>
      </c>
      <c r="AE624" s="62" t="str">
        <f t="array" ref="AE624">IF(X624="","",IF(AND(E624=0,AVERAGE(INDEX(Ventas!$C$2:$I$5000,MATCH($A624,Ventas!$A$2:$A$5000,0),0))&gt;0,INDEX(Ventas!$J$2:$J$5000,MATCH($A624,Ventas!$A$2:$A$5000,0))&lt;0.5*AVERAGE(INDEX(Ventas!$C$2:$I$5000,MATCH($A624,Ventas!$A$2:$A$5000,0),0))),"SÍ — stock 0 y Sep cayó (prom Feb-Ago "&amp;TEXT(AVERAGE(INDEX(Ventas!$C$2:$I$5000,MATCH($A624,Ventas!$A$2:$A$5000,0),0)),"#,##0")&amp;")",""))</f>
        <v/>
      </c>
      <c r="AF624" s="60">
        <f t="array" ref="AF624">IF(X624="","",IF(AE624&lt;&gt;"",MAX(X624,AVERAGE(INDEX(Ventas!$C$2:$I$5000,MATCH($A624,Ventas!$A$2:$A$5000,0),0))),X624))</f>
        <v>125</v>
      </c>
      <c r="AG624" s="60">
        <f t="shared" si="8"/>
        <v>-3150</v>
      </c>
      <c r="AH624" s="63" t="str">
        <f t="shared" si="9"/>
        <v>SOBRESTOCK</v>
      </c>
    </row>
    <row r="625" ht="13.5" customHeight="1">
      <c r="A625" s="49" t="s">
        <v>3092</v>
      </c>
      <c r="B625" s="50" t="s">
        <v>3942</v>
      </c>
      <c r="C625" s="50" t="s">
        <v>3962</v>
      </c>
      <c r="D625" s="50" t="s">
        <v>3944</v>
      </c>
      <c r="E625" s="51">
        <v>1250.0</v>
      </c>
      <c r="F625" s="52"/>
      <c r="G625" s="53"/>
      <c r="H625" s="55"/>
      <c r="I625" s="55"/>
      <c r="J625" s="53"/>
      <c r="K625" s="53"/>
      <c r="L625" s="55"/>
      <c r="M625" s="53"/>
      <c r="N625" s="74"/>
      <c r="O625" s="57" t="str">
        <f t="shared" si="1"/>
        <v>SOBRESTOCK — 14.3 meses de cobertura</v>
      </c>
      <c r="P625" s="58">
        <f t="shared" si="2"/>
        <v>1250</v>
      </c>
      <c r="Q625" s="1"/>
      <c r="R625" s="1"/>
      <c r="S625" s="1"/>
      <c r="T625" s="1"/>
      <c r="U625" s="1"/>
      <c r="V625" s="1"/>
      <c r="W625" s="1"/>
      <c r="X625" s="60">
        <f>IFERROR(VLOOKUP($A625,Ventas!$A$2:$L$5000,12,FALSE()),"")</f>
        <v>87.5</v>
      </c>
      <c r="Y625" s="60">
        <f t="shared" si="3"/>
        <v>350</v>
      </c>
      <c r="Z625" s="61">
        <f t="shared" si="4"/>
        <v>14.3</v>
      </c>
      <c r="AA625" s="60">
        <f t="shared" si="5"/>
        <v>-900</v>
      </c>
      <c r="AB625" s="62" t="str">
        <f t="shared" si="6"/>
        <v/>
      </c>
      <c r="AC625" s="62" t="str">
        <f t="array" ref="AC625">IF(AH625&lt;&gt;"COMPRAR","",IF(MAX(INDEX(Ventas!$G$2:$G$5000,MATCH($A625,Ventas!$A$2:$A$5000,0)),INDEX(Ventas!$H$2:$H$5000,MATCH($A625,Ventas!$A$2:$A$5000,0)),INDEX(Ventas!$I$2:$I$5000,MATCH($A625,Ventas!$A$2:$A$5000,0)),INDEX(Ventas!$J$2:$J$5000,MATCH($A625,Ventas!$A$2:$A$5000,0)))&gt;0.5*AF625*4,"1 mes = "&amp;TEXT(MAX(INDEX(Ventas!$G$2:$G$5000,MATCH($A625,Ventas!$A$2:$A$5000,0)),INDEX(Ventas!$H$2:$H$5000,MATCH($A625,Ventas!$A$2:$A$5000,0)),INDEX(Ventas!$I$2:$I$5000,MATCH($A625,Ventas!$A$2:$A$5000,0)),INDEX(Ventas!$J$2:$J$5000,MATCH($A625,Ventas!$A$2:$A$5000,0)))/(AF625*4),"0%")&amp;" de 4 meses",""))</f>
        <v/>
      </c>
      <c r="AD625" s="62" t="str">
        <f t="shared" si="7"/>
        <v/>
      </c>
      <c r="AE625" s="62" t="str">
        <f t="array" ref="AE625">IF(X625="","",IF(AND(E625=0,AVERAGE(INDEX(Ventas!$C$2:$I$5000,MATCH($A625,Ventas!$A$2:$A$5000,0),0))&gt;0,INDEX(Ventas!$J$2:$J$5000,MATCH($A625,Ventas!$A$2:$A$5000,0))&lt;0.5*AVERAGE(INDEX(Ventas!$C$2:$I$5000,MATCH($A625,Ventas!$A$2:$A$5000,0),0))),"SÍ — stock 0 y Sep cayó (prom Feb-Ago "&amp;TEXT(AVERAGE(INDEX(Ventas!$C$2:$I$5000,MATCH($A625,Ventas!$A$2:$A$5000,0),0)),"#,##0")&amp;")",""))</f>
        <v/>
      </c>
      <c r="AF625" s="60">
        <f t="array" ref="AF625">IF(X625="","",IF(AE625&lt;&gt;"",MAX(X625,AVERAGE(INDEX(Ventas!$C$2:$I$5000,MATCH($A625,Ventas!$A$2:$A$5000,0),0))),X625))</f>
        <v>87.5</v>
      </c>
      <c r="AG625" s="60">
        <f t="shared" si="8"/>
        <v>-900</v>
      </c>
      <c r="AH625" s="63" t="str">
        <f t="shared" si="9"/>
        <v>SOBRESTOCK</v>
      </c>
    </row>
    <row r="626" ht="13.5" customHeight="1">
      <c r="A626" s="64" t="s">
        <v>3094</v>
      </c>
      <c r="B626" s="65" t="s">
        <v>3942</v>
      </c>
      <c r="C626" s="65" t="s">
        <v>3963</v>
      </c>
      <c r="D626" s="65" t="s">
        <v>3944</v>
      </c>
      <c r="E626" s="51">
        <v>2400.0</v>
      </c>
      <c r="F626" s="66"/>
      <c r="G626" s="53"/>
      <c r="H626" s="55"/>
      <c r="I626" s="55"/>
      <c r="J626" s="53"/>
      <c r="K626" s="53"/>
      <c r="L626" s="55"/>
      <c r="M626" s="53"/>
      <c r="N626" s="73"/>
      <c r="O626" s="57" t="str">
        <f t="shared" si="1"/>
        <v>SOBRESTOCK — 19.2 meses de cobertura</v>
      </c>
      <c r="P626" s="58">
        <f t="shared" si="2"/>
        <v>2400</v>
      </c>
      <c r="Q626" s="1"/>
      <c r="R626" s="1"/>
      <c r="S626" s="1"/>
      <c r="T626" s="1"/>
      <c r="U626" s="1"/>
      <c r="V626" s="1"/>
      <c r="W626" s="1"/>
      <c r="X626" s="60">
        <f>IFERROR(VLOOKUP($A626,Ventas!$A$2:$L$5000,12,FALSE()),"")</f>
        <v>125</v>
      </c>
      <c r="Y626" s="60">
        <f t="shared" si="3"/>
        <v>500</v>
      </c>
      <c r="Z626" s="61">
        <f t="shared" si="4"/>
        <v>19.2</v>
      </c>
      <c r="AA626" s="60">
        <f t="shared" si="5"/>
        <v>-1900</v>
      </c>
      <c r="AB626" s="62" t="str">
        <f t="shared" si="6"/>
        <v/>
      </c>
      <c r="AC626" s="62" t="str">
        <f t="array" ref="AC626">IF(AH626&lt;&gt;"COMPRAR","",IF(MAX(INDEX(Ventas!$G$2:$G$5000,MATCH($A626,Ventas!$A$2:$A$5000,0)),INDEX(Ventas!$H$2:$H$5000,MATCH($A626,Ventas!$A$2:$A$5000,0)),INDEX(Ventas!$I$2:$I$5000,MATCH($A626,Ventas!$A$2:$A$5000,0)),INDEX(Ventas!$J$2:$J$5000,MATCH($A626,Ventas!$A$2:$A$5000,0)))&gt;0.5*AF626*4,"1 mes = "&amp;TEXT(MAX(INDEX(Ventas!$G$2:$G$5000,MATCH($A626,Ventas!$A$2:$A$5000,0)),INDEX(Ventas!$H$2:$H$5000,MATCH($A626,Ventas!$A$2:$A$5000,0)),INDEX(Ventas!$I$2:$I$5000,MATCH($A626,Ventas!$A$2:$A$5000,0)),INDEX(Ventas!$J$2:$J$5000,MATCH($A626,Ventas!$A$2:$A$5000,0)))/(AF626*4),"0%")&amp;" de 4 meses",""))</f>
        <v/>
      </c>
      <c r="AD626" s="62" t="str">
        <f t="shared" si="7"/>
        <v/>
      </c>
      <c r="AE626" s="62" t="str">
        <f t="array" ref="AE626">IF(X626="","",IF(AND(E626=0,AVERAGE(INDEX(Ventas!$C$2:$I$5000,MATCH($A626,Ventas!$A$2:$A$5000,0),0))&gt;0,INDEX(Ventas!$J$2:$J$5000,MATCH($A626,Ventas!$A$2:$A$5000,0))&lt;0.5*AVERAGE(INDEX(Ventas!$C$2:$I$5000,MATCH($A626,Ventas!$A$2:$A$5000,0),0))),"SÍ — stock 0 y Sep cayó (prom Feb-Ago "&amp;TEXT(AVERAGE(INDEX(Ventas!$C$2:$I$5000,MATCH($A626,Ventas!$A$2:$A$5000,0),0)),"#,##0")&amp;")",""))</f>
        <v/>
      </c>
      <c r="AF626" s="60">
        <f t="array" ref="AF626">IF(X626="","",IF(AE626&lt;&gt;"",MAX(X626,AVERAGE(INDEX(Ventas!$C$2:$I$5000,MATCH($A626,Ventas!$A$2:$A$5000,0),0))),X626))</f>
        <v>125</v>
      </c>
      <c r="AG626" s="60">
        <f t="shared" si="8"/>
        <v>-1900</v>
      </c>
      <c r="AH626" s="63" t="str">
        <f t="shared" si="9"/>
        <v>SOBRESTOCK</v>
      </c>
    </row>
    <row r="627" ht="13.5" customHeight="1">
      <c r="A627" s="49" t="s">
        <v>3295</v>
      </c>
      <c r="B627" s="50" t="s">
        <v>3942</v>
      </c>
      <c r="C627" s="50" t="s">
        <v>3964</v>
      </c>
      <c r="D627" s="50" t="s">
        <v>3944</v>
      </c>
      <c r="E627" s="51">
        <v>800.0</v>
      </c>
      <c r="F627" s="52"/>
      <c r="G627" s="53"/>
      <c r="H627" s="55"/>
      <c r="I627" s="55"/>
      <c r="J627" s="53"/>
      <c r="K627" s="53"/>
      <c r="L627" s="55"/>
      <c r="M627" s="53"/>
      <c r="N627" s="74"/>
      <c r="O627" s="57" t="str">
        <f t="shared" si="1"/>
        <v>OK — cubierto (5.3 meses)</v>
      </c>
      <c r="P627" s="58">
        <f t="shared" si="2"/>
        <v>800</v>
      </c>
      <c r="Q627" s="1"/>
      <c r="R627" s="1"/>
      <c r="S627" s="1"/>
      <c r="T627" s="1"/>
      <c r="U627" s="1"/>
      <c r="V627" s="1"/>
      <c r="W627" s="1"/>
      <c r="X627" s="60">
        <f>IFERROR(VLOOKUP($A627,Ventas!$A$2:$L$5000,12,FALSE()),"")</f>
        <v>150</v>
      </c>
      <c r="Y627" s="60">
        <f t="shared" si="3"/>
        <v>600</v>
      </c>
      <c r="Z627" s="61">
        <f t="shared" si="4"/>
        <v>5.3</v>
      </c>
      <c r="AA627" s="60">
        <f t="shared" si="5"/>
        <v>-200</v>
      </c>
      <c r="AB627" s="62" t="str">
        <f t="shared" si="6"/>
        <v/>
      </c>
      <c r="AC627" s="62" t="str">
        <f t="array" ref="AC627">IF(AH627&lt;&gt;"COMPRAR","",IF(MAX(INDEX(Ventas!$G$2:$G$5000,MATCH($A627,Ventas!$A$2:$A$5000,0)),INDEX(Ventas!$H$2:$H$5000,MATCH($A627,Ventas!$A$2:$A$5000,0)),INDEX(Ventas!$I$2:$I$5000,MATCH($A627,Ventas!$A$2:$A$5000,0)),INDEX(Ventas!$J$2:$J$5000,MATCH($A627,Ventas!$A$2:$A$5000,0)))&gt;0.5*AF627*4,"1 mes = "&amp;TEXT(MAX(INDEX(Ventas!$G$2:$G$5000,MATCH($A627,Ventas!$A$2:$A$5000,0)),INDEX(Ventas!$H$2:$H$5000,MATCH($A627,Ventas!$A$2:$A$5000,0)),INDEX(Ventas!$I$2:$I$5000,MATCH($A627,Ventas!$A$2:$A$5000,0)),INDEX(Ventas!$J$2:$J$5000,MATCH($A627,Ventas!$A$2:$A$5000,0)))/(AF627*4),"0%")&amp;" de 4 meses",""))</f>
        <v/>
      </c>
      <c r="AD627" s="62" t="str">
        <f t="shared" si="7"/>
        <v/>
      </c>
      <c r="AE627" s="62" t="str">
        <f t="array" ref="AE627">IF(X627="","",IF(AND(E627=0,AVERAGE(INDEX(Ventas!$C$2:$I$5000,MATCH($A627,Ventas!$A$2:$A$5000,0),0))&gt;0,INDEX(Ventas!$J$2:$J$5000,MATCH($A627,Ventas!$A$2:$A$5000,0))&lt;0.5*AVERAGE(INDEX(Ventas!$C$2:$I$5000,MATCH($A627,Ventas!$A$2:$A$5000,0),0))),"SÍ — stock 0 y Sep cayó (prom Feb-Ago "&amp;TEXT(AVERAGE(INDEX(Ventas!$C$2:$I$5000,MATCH($A627,Ventas!$A$2:$A$5000,0),0)),"#,##0")&amp;")",""))</f>
        <v/>
      </c>
      <c r="AF627" s="60">
        <f t="array" ref="AF627">IF(X627="","",IF(AE627&lt;&gt;"",MAX(X627,AVERAGE(INDEX(Ventas!$C$2:$I$5000,MATCH($A627,Ventas!$A$2:$A$5000,0),0))),X627))</f>
        <v>150</v>
      </c>
      <c r="AG627" s="60">
        <f t="shared" si="8"/>
        <v>-200</v>
      </c>
      <c r="AH627" s="63" t="str">
        <f t="shared" si="9"/>
        <v>OK</v>
      </c>
    </row>
    <row r="628" ht="13.5" customHeight="1">
      <c r="A628" s="64" t="s">
        <v>3291</v>
      </c>
      <c r="B628" s="65" t="s">
        <v>3942</v>
      </c>
      <c r="C628" s="65" t="s">
        <v>3964</v>
      </c>
      <c r="D628" s="65" t="s">
        <v>3965</v>
      </c>
      <c r="E628" s="51">
        <v>450.0</v>
      </c>
      <c r="F628" s="66"/>
      <c r="G628" s="53"/>
      <c r="H628" s="55"/>
      <c r="I628" s="55"/>
      <c r="J628" s="53"/>
      <c r="K628" s="53"/>
      <c r="L628" s="55"/>
      <c r="M628" s="53"/>
      <c r="N628" s="73"/>
      <c r="O628" s="57" t="str">
        <f t="shared" si="1"/>
        <v>OK — cubierto (7.2 meses)</v>
      </c>
      <c r="P628" s="58">
        <f t="shared" si="2"/>
        <v>450</v>
      </c>
      <c r="Q628" s="1"/>
      <c r="R628" s="1"/>
      <c r="S628" s="1"/>
      <c r="T628" s="1"/>
      <c r="U628" s="1"/>
      <c r="V628" s="1"/>
      <c r="W628" s="1"/>
      <c r="X628" s="60">
        <f>IFERROR(VLOOKUP($A628,Ventas!$A$2:$L$5000,12,FALSE()),"")</f>
        <v>62.5</v>
      </c>
      <c r="Y628" s="60">
        <f t="shared" si="3"/>
        <v>250</v>
      </c>
      <c r="Z628" s="61">
        <f t="shared" si="4"/>
        <v>7.2</v>
      </c>
      <c r="AA628" s="60">
        <f t="shared" si="5"/>
        <v>-200</v>
      </c>
      <c r="AB628" s="62" t="str">
        <f t="shared" si="6"/>
        <v/>
      </c>
      <c r="AC628" s="62" t="str">
        <f t="array" ref="AC628">IF(AH628&lt;&gt;"COMPRAR","",IF(MAX(INDEX(Ventas!$G$2:$G$5000,MATCH($A628,Ventas!$A$2:$A$5000,0)),INDEX(Ventas!$H$2:$H$5000,MATCH($A628,Ventas!$A$2:$A$5000,0)),INDEX(Ventas!$I$2:$I$5000,MATCH($A628,Ventas!$A$2:$A$5000,0)),INDEX(Ventas!$J$2:$J$5000,MATCH($A628,Ventas!$A$2:$A$5000,0)))&gt;0.5*AF628*4,"1 mes = "&amp;TEXT(MAX(INDEX(Ventas!$G$2:$G$5000,MATCH($A628,Ventas!$A$2:$A$5000,0)),INDEX(Ventas!$H$2:$H$5000,MATCH($A628,Ventas!$A$2:$A$5000,0)),INDEX(Ventas!$I$2:$I$5000,MATCH($A628,Ventas!$A$2:$A$5000,0)),INDEX(Ventas!$J$2:$J$5000,MATCH($A628,Ventas!$A$2:$A$5000,0)))/(AF628*4),"0%")&amp;" de 4 meses",""))</f>
        <v/>
      </c>
      <c r="AD628" s="62" t="str">
        <f t="shared" si="7"/>
        <v/>
      </c>
      <c r="AE628" s="62" t="str">
        <f t="array" ref="AE628">IF(X628="","",IF(AND(E628=0,AVERAGE(INDEX(Ventas!$C$2:$I$5000,MATCH($A628,Ventas!$A$2:$A$5000,0),0))&gt;0,INDEX(Ventas!$J$2:$J$5000,MATCH($A628,Ventas!$A$2:$A$5000,0))&lt;0.5*AVERAGE(INDEX(Ventas!$C$2:$I$5000,MATCH($A628,Ventas!$A$2:$A$5000,0),0))),"SÍ — stock 0 y Sep cayó (prom Feb-Ago "&amp;TEXT(AVERAGE(INDEX(Ventas!$C$2:$I$5000,MATCH($A628,Ventas!$A$2:$A$5000,0),0)),"#,##0")&amp;")",""))</f>
        <v/>
      </c>
      <c r="AF628" s="60">
        <f t="array" ref="AF628">IF(X628="","",IF(AE628&lt;&gt;"",MAX(X628,AVERAGE(INDEX(Ventas!$C$2:$I$5000,MATCH($A628,Ventas!$A$2:$A$5000,0),0))),X628))</f>
        <v>62.5</v>
      </c>
      <c r="AG628" s="60">
        <f t="shared" si="8"/>
        <v>-200</v>
      </c>
      <c r="AH628" s="63" t="str">
        <f t="shared" si="9"/>
        <v>OK</v>
      </c>
    </row>
    <row r="629" ht="13.5" customHeight="1">
      <c r="A629" s="49" t="s">
        <v>3293</v>
      </c>
      <c r="B629" s="50" t="s">
        <v>3942</v>
      </c>
      <c r="C629" s="50" t="s">
        <v>3964</v>
      </c>
      <c r="D629" s="50" t="s">
        <v>3952</v>
      </c>
      <c r="E629" s="51">
        <v>1350.0</v>
      </c>
      <c r="F629" s="52"/>
      <c r="G629" s="53"/>
      <c r="H629" s="55"/>
      <c r="I629" s="55"/>
      <c r="J629" s="53"/>
      <c r="K629" s="53"/>
      <c r="L629" s="55"/>
      <c r="M629" s="53"/>
      <c r="N629" s="74"/>
      <c r="O629" s="57" t="str">
        <f t="shared" si="1"/>
        <v>SOBRESTOCK — 54.0 meses de cobertura</v>
      </c>
      <c r="P629" s="58">
        <f t="shared" si="2"/>
        <v>1350</v>
      </c>
      <c r="Q629" s="1"/>
      <c r="R629" s="1"/>
      <c r="S629" s="1"/>
      <c r="T629" s="1"/>
      <c r="U629" s="1"/>
      <c r="V629" s="1"/>
      <c r="W629" s="1"/>
      <c r="X629" s="60">
        <f>IFERROR(VLOOKUP($A629,Ventas!$A$2:$L$5000,12,FALSE()),"")</f>
        <v>25</v>
      </c>
      <c r="Y629" s="60">
        <f t="shared" si="3"/>
        <v>100</v>
      </c>
      <c r="Z629" s="61">
        <f t="shared" si="4"/>
        <v>54</v>
      </c>
      <c r="AA629" s="60">
        <f t="shared" si="5"/>
        <v>-1250</v>
      </c>
      <c r="AB629" s="62" t="str">
        <f t="shared" si="6"/>
        <v/>
      </c>
      <c r="AC629" s="62" t="str">
        <f t="array" ref="AC629">IF(AH629&lt;&gt;"COMPRAR","",IF(MAX(INDEX(Ventas!$G$2:$G$5000,MATCH($A629,Ventas!$A$2:$A$5000,0)),INDEX(Ventas!$H$2:$H$5000,MATCH($A629,Ventas!$A$2:$A$5000,0)),INDEX(Ventas!$I$2:$I$5000,MATCH($A629,Ventas!$A$2:$A$5000,0)),INDEX(Ventas!$J$2:$J$5000,MATCH($A629,Ventas!$A$2:$A$5000,0)))&gt;0.5*AF629*4,"1 mes = "&amp;TEXT(MAX(INDEX(Ventas!$G$2:$G$5000,MATCH($A629,Ventas!$A$2:$A$5000,0)),INDEX(Ventas!$H$2:$H$5000,MATCH($A629,Ventas!$A$2:$A$5000,0)),INDEX(Ventas!$I$2:$I$5000,MATCH($A629,Ventas!$A$2:$A$5000,0)),INDEX(Ventas!$J$2:$J$5000,MATCH($A629,Ventas!$A$2:$A$5000,0)))/(AF629*4),"0%")&amp;" de 4 meses",""))</f>
        <v/>
      </c>
      <c r="AD629" s="62" t="str">
        <f t="shared" si="7"/>
        <v/>
      </c>
      <c r="AE629" s="62" t="str">
        <f t="array" ref="AE629">IF(X629="","",IF(AND(E629=0,AVERAGE(INDEX(Ventas!$C$2:$I$5000,MATCH($A629,Ventas!$A$2:$A$5000,0),0))&gt;0,INDEX(Ventas!$J$2:$J$5000,MATCH($A629,Ventas!$A$2:$A$5000,0))&lt;0.5*AVERAGE(INDEX(Ventas!$C$2:$I$5000,MATCH($A629,Ventas!$A$2:$A$5000,0),0))),"SÍ — stock 0 y Sep cayó (prom Feb-Ago "&amp;TEXT(AVERAGE(INDEX(Ventas!$C$2:$I$5000,MATCH($A629,Ventas!$A$2:$A$5000,0),0)),"#,##0")&amp;")",""))</f>
        <v/>
      </c>
      <c r="AF629" s="60">
        <f t="array" ref="AF629">IF(X629="","",IF(AE629&lt;&gt;"",MAX(X629,AVERAGE(INDEX(Ventas!$C$2:$I$5000,MATCH($A629,Ventas!$A$2:$A$5000,0),0))),X629))</f>
        <v>25</v>
      </c>
      <c r="AG629" s="60">
        <f t="shared" si="8"/>
        <v>-1250</v>
      </c>
      <c r="AH629" s="63" t="str">
        <f t="shared" si="9"/>
        <v>SOBRESTOCK</v>
      </c>
    </row>
    <row r="630" ht="13.5" customHeight="1">
      <c r="A630" s="64" t="s">
        <v>3274</v>
      </c>
      <c r="B630" s="65" t="s">
        <v>3942</v>
      </c>
      <c r="C630" s="65" t="s">
        <v>3966</v>
      </c>
      <c r="D630" s="65" t="s">
        <v>3734</v>
      </c>
      <c r="E630" s="51">
        <v>1300.0</v>
      </c>
      <c r="F630" s="66"/>
      <c r="G630" s="53">
        <v>2600.0</v>
      </c>
      <c r="H630" s="55"/>
      <c r="I630" s="55"/>
      <c r="J630" s="53"/>
      <c r="K630" s="53"/>
      <c r="L630" s="55"/>
      <c r="M630" s="53"/>
      <c r="N630" s="73"/>
      <c r="O630" s="57" t="str">
        <f t="shared" si="1"/>
        <v>SOBRESTOCK — 14.2 meses de cobertura</v>
      </c>
      <c r="P630" s="58">
        <f t="shared" si="2"/>
        <v>3900</v>
      </c>
      <c r="Q630" s="1"/>
      <c r="R630" s="1"/>
      <c r="S630" s="1"/>
      <c r="T630" s="1"/>
      <c r="U630" s="1"/>
      <c r="V630" s="1"/>
      <c r="W630" s="1"/>
      <c r="X630" s="60">
        <f>IFERROR(VLOOKUP($A630,Ventas!$A$2:$L$5000,12,FALSE()),"")</f>
        <v>275</v>
      </c>
      <c r="Y630" s="60">
        <f t="shared" si="3"/>
        <v>1100</v>
      </c>
      <c r="Z630" s="61">
        <f t="shared" si="4"/>
        <v>14.2</v>
      </c>
      <c r="AA630" s="60">
        <f t="shared" si="5"/>
        <v>-2800</v>
      </c>
      <c r="AB630" s="62" t="str">
        <f t="shared" si="6"/>
        <v/>
      </c>
      <c r="AC630" s="62" t="str">
        <f t="array" ref="AC630">IF(AH630&lt;&gt;"COMPRAR","",IF(MAX(INDEX(Ventas!$G$2:$G$5000,MATCH($A630,Ventas!$A$2:$A$5000,0)),INDEX(Ventas!$H$2:$H$5000,MATCH($A630,Ventas!$A$2:$A$5000,0)),INDEX(Ventas!$I$2:$I$5000,MATCH($A630,Ventas!$A$2:$A$5000,0)),INDEX(Ventas!$J$2:$J$5000,MATCH($A630,Ventas!$A$2:$A$5000,0)))&gt;0.5*AF630*4,"1 mes = "&amp;TEXT(MAX(INDEX(Ventas!$G$2:$G$5000,MATCH($A630,Ventas!$A$2:$A$5000,0)),INDEX(Ventas!$H$2:$H$5000,MATCH($A630,Ventas!$A$2:$A$5000,0)),INDEX(Ventas!$I$2:$I$5000,MATCH($A630,Ventas!$A$2:$A$5000,0)),INDEX(Ventas!$J$2:$J$5000,MATCH($A630,Ventas!$A$2:$A$5000,0)))/(AF630*4),"0%")&amp;" de 4 meses",""))</f>
        <v/>
      </c>
      <c r="AD630" s="62" t="str">
        <f t="shared" si="7"/>
        <v/>
      </c>
      <c r="AE630" s="62" t="str">
        <f t="array" ref="AE630">IF(X630="","",IF(AND(E630=0,AVERAGE(INDEX(Ventas!$C$2:$I$5000,MATCH($A630,Ventas!$A$2:$A$5000,0),0))&gt;0,INDEX(Ventas!$J$2:$J$5000,MATCH($A630,Ventas!$A$2:$A$5000,0))&lt;0.5*AVERAGE(INDEX(Ventas!$C$2:$I$5000,MATCH($A630,Ventas!$A$2:$A$5000,0),0))),"SÍ — stock 0 y Sep cayó (prom Feb-Ago "&amp;TEXT(AVERAGE(INDEX(Ventas!$C$2:$I$5000,MATCH($A630,Ventas!$A$2:$A$5000,0),0)),"#,##0")&amp;")",""))</f>
        <v/>
      </c>
      <c r="AF630" s="60">
        <f t="array" ref="AF630">IF(X630="","",IF(AE630&lt;&gt;"",MAX(X630,AVERAGE(INDEX(Ventas!$C$2:$I$5000,MATCH($A630,Ventas!$A$2:$A$5000,0),0))),X630))</f>
        <v>275</v>
      </c>
      <c r="AG630" s="60">
        <f t="shared" si="8"/>
        <v>-2800</v>
      </c>
      <c r="AH630" s="63" t="str">
        <f t="shared" si="9"/>
        <v>SOBRESTOCK</v>
      </c>
    </row>
    <row r="631" ht="13.5" customHeight="1">
      <c r="A631" s="49" t="s">
        <v>3276</v>
      </c>
      <c r="B631" s="50" t="s">
        <v>3942</v>
      </c>
      <c r="C631" s="50" t="s">
        <v>3966</v>
      </c>
      <c r="D631" s="50" t="s">
        <v>3955</v>
      </c>
      <c r="E631" s="51">
        <v>100.0</v>
      </c>
      <c r="F631" s="52"/>
      <c r="G631" s="53"/>
      <c r="H631" s="55"/>
      <c r="I631" s="55"/>
      <c r="J631" s="53"/>
      <c r="K631" s="53"/>
      <c r="L631" s="55"/>
      <c r="M631" s="53"/>
      <c r="N631" s="74"/>
      <c r="O631" s="57" t="str">
        <f t="shared" si="1"/>
        <v>COMPRAR — faltan 350 m para 4 meses</v>
      </c>
      <c r="P631" s="58">
        <f t="shared" si="2"/>
        <v>100</v>
      </c>
      <c r="Q631" s="1"/>
      <c r="R631" s="1"/>
      <c r="S631" s="1"/>
      <c r="T631" s="1"/>
      <c r="U631" s="1"/>
      <c r="V631" s="1"/>
      <c r="W631" s="1"/>
      <c r="X631" s="60">
        <f>IFERROR(VLOOKUP($A631,Ventas!$A$2:$L$5000,12,FALSE()),"")</f>
        <v>112.5</v>
      </c>
      <c r="Y631" s="60">
        <f t="shared" si="3"/>
        <v>450</v>
      </c>
      <c r="Z631" s="61">
        <f t="shared" si="4"/>
        <v>0.9</v>
      </c>
      <c r="AA631" s="60">
        <f t="shared" si="5"/>
        <v>350</v>
      </c>
      <c r="AB631" s="62" t="str">
        <f t="shared" si="6"/>
        <v/>
      </c>
      <c r="AC631" s="62" t="str">
        <f t="array" ref="AC631">IF(AH631&lt;&gt;"COMPRAR","",IF(MAX(INDEX(Ventas!$G$2:$G$5000,MATCH($A631,Ventas!$A$2:$A$5000,0)),INDEX(Ventas!$H$2:$H$5000,MATCH($A631,Ventas!$A$2:$A$5000,0)),INDEX(Ventas!$I$2:$I$5000,MATCH($A631,Ventas!$A$2:$A$5000,0)),INDEX(Ventas!$J$2:$J$5000,MATCH($A631,Ventas!$A$2:$A$5000,0)))&gt;0.5*AF631*4,"1 mes = "&amp;TEXT(MAX(INDEX(Ventas!$G$2:$G$5000,MATCH($A631,Ventas!$A$2:$A$5000,0)),INDEX(Ventas!$H$2:$H$5000,MATCH($A631,Ventas!$A$2:$A$5000,0)),INDEX(Ventas!$I$2:$I$5000,MATCH($A631,Ventas!$A$2:$A$5000,0)),INDEX(Ventas!$J$2:$J$5000,MATCH($A631,Ventas!$A$2:$A$5000,0)))/(AF631*4),"0%")&amp;" de 4 meses",""))</f>
        <v>1 mes = 78% de 4 meses</v>
      </c>
      <c r="AD631" s="62" t="str">
        <f t="shared" si="7"/>
        <v/>
      </c>
      <c r="AE631" s="62" t="str">
        <f t="array" ref="AE631">IF(X631="","",IF(AND(E631=0,AVERAGE(INDEX(Ventas!$C$2:$I$5000,MATCH($A631,Ventas!$A$2:$A$5000,0),0))&gt;0,INDEX(Ventas!$J$2:$J$5000,MATCH($A631,Ventas!$A$2:$A$5000,0))&lt;0.5*AVERAGE(INDEX(Ventas!$C$2:$I$5000,MATCH($A631,Ventas!$A$2:$A$5000,0),0))),"SÍ — stock 0 y Sep cayó (prom Feb-Ago "&amp;TEXT(AVERAGE(INDEX(Ventas!$C$2:$I$5000,MATCH($A631,Ventas!$A$2:$A$5000,0),0)),"#,##0")&amp;")",""))</f>
        <v/>
      </c>
      <c r="AF631" s="60">
        <f t="array" ref="AF631">IF(X631="","",IF(AE631&lt;&gt;"",MAX(X631,AVERAGE(INDEX(Ventas!$C$2:$I$5000,MATCH($A631,Ventas!$A$2:$A$5000,0),0))),X631))</f>
        <v>112.5</v>
      </c>
      <c r="AG631" s="60">
        <f t="shared" si="8"/>
        <v>350</v>
      </c>
      <c r="AH631" s="63" t="str">
        <f t="shared" si="9"/>
        <v>COMPRAR</v>
      </c>
    </row>
    <row r="632" ht="13.5" customHeight="1">
      <c r="A632" s="64" t="s">
        <v>3278</v>
      </c>
      <c r="B632" s="65" t="s">
        <v>3942</v>
      </c>
      <c r="C632" s="65" t="s">
        <v>3966</v>
      </c>
      <c r="D632" s="65" t="s">
        <v>3944</v>
      </c>
      <c r="E632" s="51">
        <v>1300.0</v>
      </c>
      <c r="F632" s="66"/>
      <c r="G632" s="53">
        <v>2600.0</v>
      </c>
      <c r="H632" s="55"/>
      <c r="I632" s="55"/>
      <c r="J632" s="53"/>
      <c r="K632" s="53"/>
      <c r="L632" s="55"/>
      <c r="M632" s="53"/>
      <c r="N632" s="73"/>
      <c r="O632" s="57" t="str">
        <f t="shared" si="1"/>
        <v>SOBRESTOCK — 16.4 meses de cobertura</v>
      </c>
      <c r="P632" s="58">
        <f t="shared" si="2"/>
        <v>3900</v>
      </c>
      <c r="Q632" s="1"/>
      <c r="R632" s="1"/>
      <c r="S632" s="1"/>
      <c r="T632" s="1"/>
      <c r="U632" s="1"/>
      <c r="V632" s="1"/>
      <c r="W632" s="1"/>
      <c r="X632" s="60">
        <f>IFERROR(VLOOKUP($A632,Ventas!$A$2:$L$5000,12,FALSE()),"")</f>
        <v>237.5</v>
      </c>
      <c r="Y632" s="60">
        <f t="shared" si="3"/>
        <v>950</v>
      </c>
      <c r="Z632" s="61">
        <f t="shared" si="4"/>
        <v>16.4</v>
      </c>
      <c r="AA632" s="60">
        <f t="shared" si="5"/>
        <v>-2950</v>
      </c>
      <c r="AB632" s="62" t="str">
        <f t="shared" si="6"/>
        <v/>
      </c>
      <c r="AC632" s="62" t="str">
        <f t="array" ref="AC632">IF(AH632&lt;&gt;"COMPRAR","",IF(MAX(INDEX(Ventas!$G$2:$G$5000,MATCH($A632,Ventas!$A$2:$A$5000,0)),INDEX(Ventas!$H$2:$H$5000,MATCH($A632,Ventas!$A$2:$A$5000,0)),INDEX(Ventas!$I$2:$I$5000,MATCH($A632,Ventas!$A$2:$A$5000,0)),INDEX(Ventas!$J$2:$J$5000,MATCH($A632,Ventas!$A$2:$A$5000,0)))&gt;0.5*AF632*4,"1 mes = "&amp;TEXT(MAX(INDEX(Ventas!$G$2:$G$5000,MATCH($A632,Ventas!$A$2:$A$5000,0)),INDEX(Ventas!$H$2:$H$5000,MATCH($A632,Ventas!$A$2:$A$5000,0)),INDEX(Ventas!$I$2:$I$5000,MATCH($A632,Ventas!$A$2:$A$5000,0)),INDEX(Ventas!$J$2:$J$5000,MATCH($A632,Ventas!$A$2:$A$5000,0)))/(AF632*4),"0%")&amp;" de 4 meses",""))</f>
        <v/>
      </c>
      <c r="AD632" s="62" t="str">
        <f t="shared" si="7"/>
        <v/>
      </c>
      <c r="AE632" s="62" t="str">
        <f t="array" ref="AE632">IF(X632="","",IF(AND(E632=0,AVERAGE(INDEX(Ventas!$C$2:$I$5000,MATCH($A632,Ventas!$A$2:$A$5000,0),0))&gt;0,INDEX(Ventas!$J$2:$J$5000,MATCH($A632,Ventas!$A$2:$A$5000,0))&lt;0.5*AVERAGE(INDEX(Ventas!$C$2:$I$5000,MATCH($A632,Ventas!$A$2:$A$5000,0),0))),"SÍ — stock 0 y Sep cayó (prom Feb-Ago "&amp;TEXT(AVERAGE(INDEX(Ventas!$C$2:$I$5000,MATCH($A632,Ventas!$A$2:$A$5000,0),0)),"#,##0")&amp;")",""))</f>
        <v/>
      </c>
      <c r="AF632" s="60">
        <f t="array" ref="AF632">IF(X632="","",IF(AE632&lt;&gt;"",MAX(X632,AVERAGE(INDEX(Ventas!$C$2:$I$5000,MATCH($A632,Ventas!$A$2:$A$5000,0),0))),X632))</f>
        <v>237.5</v>
      </c>
      <c r="AG632" s="60">
        <f t="shared" si="8"/>
        <v>-2950</v>
      </c>
      <c r="AH632" s="63" t="str">
        <f t="shared" si="9"/>
        <v>SOBRESTOCK</v>
      </c>
    </row>
    <row r="633" ht="13.5" customHeight="1">
      <c r="A633" s="49" t="s">
        <v>3281</v>
      </c>
      <c r="B633" s="50" t="s">
        <v>3942</v>
      </c>
      <c r="C633" s="50" t="s">
        <v>3966</v>
      </c>
      <c r="D633" s="50" t="s">
        <v>3950</v>
      </c>
      <c r="E633" s="51">
        <v>700.0</v>
      </c>
      <c r="F633" s="52"/>
      <c r="G633" s="53"/>
      <c r="H633" s="55"/>
      <c r="I633" s="55"/>
      <c r="J633" s="53"/>
      <c r="K633" s="53"/>
      <c r="L633" s="55"/>
      <c r="M633" s="53"/>
      <c r="N633" s="74"/>
      <c r="O633" s="57" t="str">
        <f t="shared" si="1"/>
        <v>SOBRESTOCK — 8.2 meses de cobertura</v>
      </c>
      <c r="P633" s="58">
        <f t="shared" si="2"/>
        <v>700</v>
      </c>
      <c r="Q633" s="1"/>
      <c r="R633" s="1"/>
      <c r="S633" s="1"/>
      <c r="T633" s="1"/>
      <c r="U633" s="1"/>
      <c r="V633" s="1"/>
      <c r="W633" s="1"/>
      <c r="X633" s="60">
        <f>IFERROR(VLOOKUP($A633,Ventas!$A$2:$L$5000,12,FALSE()),"")</f>
        <v>85.25</v>
      </c>
      <c r="Y633" s="60">
        <f t="shared" si="3"/>
        <v>341</v>
      </c>
      <c r="Z633" s="61">
        <f t="shared" si="4"/>
        <v>8.2</v>
      </c>
      <c r="AA633" s="60">
        <f t="shared" si="5"/>
        <v>-359</v>
      </c>
      <c r="AB633" s="62" t="str">
        <f t="shared" si="6"/>
        <v/>
      </c>
      <c r="AC633" s="62" t="str">
        <f t="array" ref="AC633">IF(AH633&lt;&gt;"COMPRAR","",IF(MAX(INDEX(Ventas!$G$2:$G$5000,MATCH($A633,Ventas!$A$2:$A$5000,0)),INDEX(Ventas!$H$2:$H$5000,MATCH($A633,Ventas!$A$2:$A$5000,0)),INDEX(Ventas!$I$2:$I$5000,MATCH($A633,Ventas!$A$2:$A$5000,0)),INDEX(Ventas!$J$2:$J$5000,MATCH($A633,Ventas!$A$2:$A$5000,0)))&gt;0.5*AF633*4,"1 mes = "&amp;TEXT(MAX(INDEX(Ventas!$G$2:$G$5000,MATCH($A633,Ventas!$A$2:$A$5000,0)),INDEX(Ventas!$H$2:$H$5000,MATCH($A633,Ventas!$A$2:$A$5000,0)),INDEX(Ventas!$I$2:$I$5000,MATCH($A633,Ventas!$A$2:$A$5000,0)),INDEX(Ventas!$J$2:$J$5000,MATCH($A633,Ventas!$A$2:$A$5000,0)))/(AF633*4),"0%")&amp;" de 4 meses",""))</f>
        <v/>
      </c>
      <c r="AD633" s="62" t="str">
        <f t="shared" si="7"/>
        <v/>
      </c>
      <c r="AE633" s="62" t="str">
        <f t="array" ref="AE633">IF(X633="","",IF(AND(E633=0,AVERAGE(INDEX(Ventas!$C$2:$I$5000,MATCH($A633,Ventas!$A$2:$A$5000,0),0))&gt;0,INDEX(Ventas!$J$2:$J$5000,MATCH($A633,Ventas!$A$2:$A$5000,0))&lt;0.5*AVERAGE(INDEX(Ventas!$C$2:$I$5000,MATCH($A633,Ventas!$A$2:$A$5000,0),0))),"SÍ — stock 0 y Sep cayó (prom Feb-Ago "&amp;TEXT(AVERAGE(INDEX(Ventas!$C$2:$I$5000,MATCH($A633,Ventas!$A$2:$A$5000,0),0)),"#,##0")&amp;")",""))</f>
        <v/>
      </c>
      <c r="AF633" s="60">
        <f t="array" ref="AF633">IF(X633="","",IF(AE633&lt;&gt;"",MAX(X633,AVERAGE(INDEX(Ventas!$C$2:$I$5000,MATCH($A633,Ventas!$A$2:$A$5000,0),0))),X633))</f>
        <v>85.25</v>
      </c>
      <c r="AG633" s="60">
        <f t="shared" si="8"/>
        <v>-359</v>
      </c>
      <c r="AH633" s="63" t="str">
        <f t="shared" si="9"/>
        <v>SOBRESTOCK</v>
      </c>
    </row>
    <row r="634" ht="13.5" customHeight="1">
      <c r="A634" s="64" t="s">
        <v>3136</v>
      </c>
      <c r="B634" s="65" t="s">
        <v>3942</v>
      </c>
      <c r="C634" s="65" t="s">
        <v>3967</v>
      </c>
      <c r="D634" s="65" t="s">
        <v>3944</v>
      </c>
      <c r="E634" s="51">
        <v>300.0</v>
      </c>
      <c r="F634" s="66"/>
      <c r="G634" s="53"/>
      <c r="H634" s="55"/>
      <c r="I634" s="55"/>
      <c r="J634" s="53"/>
      <c r="K634" s="53"/>
      <c r="L634" s="55"/>
      <c r="M634" s="53"/>
      <c r="N634" s="73"/>
      <c r="O634" s="57" t="str">
        <f t="shared" si="1"/>
        <v>SIN VENTAS Jun-Sep — no comprar (300 m disponibles)</v>
      </c>
      <c r="P634" s="58">
        <f t="shared" si="2"/>
        <v>300</v>
      </c>
      <c r="Q634" s="1"/>
      <c r="R634" s="1"/>
      <c r="S634" s="1"/>
      <c r="T634" s="1"/>
      <c r="U634" s="1"/>
      <c r="V634" s="1"/>
      <c r="W634" s="1"/>
      <c r="X634" s="60">
        <f>IFERROR(VLOOKUP($A634,Ventas!$A$2:$L$5000,12,FALSE()),"")</f>
        <v>0</v>
      </c>
      <c r="Y634" s="60">
        <f t="shared" si="3"/>
        <v>0</v>
      </c>
      <c r="Z634" s="61" t="str">
        <f t="shared" si="4"/>
        <v/>
      </c>
      <c r="AA634" s="60">
        <f t="shared" si="5"/>
        <v>-300</v>
      </c>
      <c r="AB634" s="62" t="str">
        <f t="shared" si="6"/>
        <v/>
      </c>
      <c r="AC634" s="62" t="str">
        <f t="array" ref="AC634">IF(AH634&lt;&gt;"COMPRAR","",IF(MAX(INDEX(Ventas!$G$2:$G$5000,MATCH($A634,Ventas!$A$2:$A$5000,0)),INDEX(Ventas!$H$2:$H$5000,MATCH($A634,Ventas!$A$2:$A$5000,0)),INDEX(Ventas!$I$2:$I$5000,MATCH($A634,Ventas!$A$2:$A$5000,0)),INDEX(Ventas!$J$2:$J$5000,MATCH($A634,Ventas!$A$2:$A$5000,0)))&gt;0.5*AF634*4,"1 mes = "&amp;TEXT(MAX(INDEX(Ventas!$G$2:$G$5000,MATCH($A634,Ventas!$A$2:$A$5000,0)),INDEX(Ventas!$H$2:$H$5000,MATCH($A634,Ventas!$A$2:$A$5000,0)),INDEX(Ventas!$I$2:$I$5000,MATCH($A634,Ventas!$A$2:$A$5000,0)),INDEX(Ventas!$J$2:$J$5000,MATCH($A634,Ventas!$A$2:$A$5000,0)))/(AF634*4),"0%")&amp;" de 4 meses",""))</f>
        <v/>
      </c>
      <c r="AD634" s="62" t="str">
        <f t="shared" si="7"/>
        <v/>
      </c>
      <c r="AE634" s="62" t="str">
        <f t="array" ref="AE634">IF(X634="","",IF(AND(E634=0,AVERAGE(INDEX(Ventas!$C$2:$I$5000,MATCH($A634,Ventas!$A$2:$A$5000,0),0))&gt;0,INDEX(Ventas!$J$2:$J$5000,MATCH($A634,Ventas!$A$2:$A$5000,0))&lt;0.5*AVERAGE(INDEX(Ventas!$C$2:$I$5000,MATCH($A634,Ventas!$A$2:$A$5000,0),0))),"SÍ — stock 0 y Sep cayó (prom Feb-Ago "&amp;TEXT(AVERAGE(INDEX(Ventas!$C$2:$I$5000,MATCH($A634,Ventas!$A$2:$A$5000,0),0)),"#,##0")&amp;")",""))</f>
        <v/>
      </c>
      <c r="AF634" s="60">
        <f t="array" ref="AF634">IF(X634="","",IF(AE634&lt;&gt;"",MAX(X634,AVERAGE(INDEX(Ventas!$C$2:$I$5000,MATCH($A634,Ventas!$A$2:$A$5000,0),0))),X634))</f>
        <v>0</v>
      </c>
      <c r="AG634" s="60">
        <f t="shared" si="8"/>
        <v>-300</v>
      </c>
      <c r="AH634" s="63" t="str">
        <f t="shared" si="9"/>
        <v>SIN VENTAS</v>
      </c>
    </row>
    <row r="635" ht="13.5" customHeight="1">
      <c r="A635" s="49" t="s">
        <v>3499</v>
      </c>
      <c r="B635" s="50" t="s">
        <v>3942</v>
      </c>
      <c r="C635" s="50" t="s">
        <v>3968</v>
      </c>
      <c r="D635" s="50" t="s">
        <v>3944</v>
      </c>
      <c r="E635" s="51">
        <v>1450.0</v>
      </c>
      <c r="F635" s="52"/>
      <c r="G635" s="53"/>
      <c r="H635" s="55"/>
      <c r="I635" s="55"/>
      <c r="J635" s="53"/>
      <c r="K635" s="53"/>
      <c r="L635" s="55"/>
      <c r="M635" s="53"/>
      <c r="N635" s="74"/>
      <c r="O635" s="57" t="str">
        <f t="shared" si="1"/>
        <v>SOBRESTOCK — 116.0 meses de cobertura</v>
      </c>
      <c r="P635" s="58">
        <f t="shared" si="2"/>
        <v>1450</v>
      </c>
      <c r="Q635" s="1"/>
      <c r="R635" s="1"/>
      <c r="S635" s="1"/>
      <c r="T635" s="1"/>
      <c r="U635" s="1"/>
      <c r="V635" s="1"/>
      <c r="W635" s="1"/>
      <c r="X635" s="60">
        <f>IFERROR(VLOOKUP($A635,Ventas!$A$2:$L$5000,12,FALSE()),"")</f>
        <v>12.5</v>
      </c>
      <c r="Y635" s="60">
        <f t="shared" si="3"/>
        <v>50</v>
      </c>
      <c r="Z635" s="61">
        <f t="shared" si="4"/>
        <v>116</v>
      </c>
      <c r="AA635" s="60">
        <f t="shared" si="5"/>
        <v>-1400</v>
      </c>
      <c r="AB635" s="62" t="str">
        <f t="shared" si="6"/>
        <v/>
      </c>
      <c r="AC635" s="62" t="str">
        <f t="array" ref="AC635">IF(AH635&lt;&gt;"COMPRAR","",IF(MAX(INDEX(Ventas!$G$2:$G$5000,MATCH($A635,Ventas!$A$2:$A$5000,0)),INDEX(Ventas!$H$2:$H$5000,MATCH($A635,Ventas!$A$2:$A$5000,0)),INDEX(Ventas!$I$2:$I$5000,MATCH($A635,Ventas!$A$2:$A$5000,0)),INDEX(Ventas!$J$2:$J$5000,MATCH($A635,Ventas!$A$2:$A$5000,0)))&gt;0.5*AF635*4,"1 mes = "&amp;TEXT(MAX(INDEX(Ventas!$G$2:$G$5000,MATCH($A635,Ventas!$A$2:$A$5000,0)),INDEX(Ventas!$H$2:$H$5000,MATCH($A635,Ventas!$A$2:$A$5000,0)),INDEX(Ventas!$I$2:$I$5000,MATCH($A635,Ventas!$A$2:$A$5000,0)),INDEX(Ventas!$J$2:$J$5000,MATCH($A635,Ventas!$A$2:$A$5000,0)))/(AF635*4),"0%")&amp;" de 4 meses",""))</f>
        <v/>
      </c>
      <c r="AD635" s="62" t="str">
        <f t="shared" si="7"/>
        <v/>
      </c>
      <c r="AE635" s="62" t="str">
        <f t="array" ref="AE635">IF(X635="","",IF(AND(E635=0,AVERAGE(INDEX(Ventas!$C$2:$I$5000,MATCH($A635,Ventas!$A$2:$A$5000,0),0))&gt;0,INDEX(Ventas!$J$2:$J$5000,MATCH($A635,Ventas!$A$2:$A$5000,0))&lt;0.5*AVERAGE(INDEX(Ventas!$C$2:$I$5000,MATCH($A635,Ventas!$A$2:$A$5000,0),0))),"SÍ — stock 0 y Sep cayó (prom Feb-Ago "&amp;TEXT(AVERAGE(INDEX(Ventas!$C$2:$I$5000,MATCH($A635,Ventas!$A$2:$A$5000,0),0)),"#,##0")&amp;")",""))</f>
        <v/>
      </c>
      <c r="AF635" s="60">
        <f t="array" ref="AF635">IF(X635="","",IF(AE635&lt;&gt;"",MAX(X635,AVERAGE(INDEX(Ventas!$C$2:$I$5000,MATCH($A635,Ventas!$A$2:$A$5000,0),0))),X635))</f>
        <v>12.5</v>
      </c>
      <c r="AG635" s="60">
        <f t="shared" si="8"/>
        <v>-1400</v>
      </c>
      <c r="AH635" s="63" t="str">
        <f t="shared" si="9"/>
        <v>SOBRESTOCK</v>
      </c>
    </row>
    <row r="636" ht="13.5" customHeight="1">
      <c r="A636" s="64" t="s">
        <v>3501</v>
      </c>
      <c r="B636" s="65" t="s">
        <v>3942</v>
      </c>
      <c r="C636" s="65" t="s">
        <v>3969</v>
      </c>
      <c r="D636" s="65" t="s">
        <v>3944</v>
      </c>
      <c r="E636" s="51">
        <v>1357.0</v>
      </c>
      <c r="F636" s="66"/>
      <c r="G636" s="53"/>
      <c r="H636" s="55"/>
      <c r="I636" s="55"/>
      <c r="J636" s="53"/>
      <c r="K636" s="53"/>
      <c r="L636" s="55"/>
      <c r="M636" s="53"/>
      <c r="N636" s="73"/>
      <c r="O636" s="57" t="str">
        <f t="shared" si="1"/>
        <v>SOBRESTOCK — 21.7 meses de cobertura</v>
      </c>
      <c r="P636" s="58">
        <f t="shared" si="2"/>
        <v>1357</v>
      </c>
      <c r="Q636" s="1"/>
      <c r="R636" s="1"/>
      <c r="S636" s="1"/>
      <c r="T636" s="1"/>
      <c r="U636" s="1"/>
      <c r="V636" s="1"/>
      <c r="W636" s="1"/>
      <c r="X636" s="60">
        <f>IFERROR(VLOOKUP($A636,Ventas!$A$2:$L$5000,12,FALSE()),"")</f>
        <v>62.5</v>
      </c>
      <c r="Y636" s="60">
        <f t="shared" si="3"/>
        <v>250</v>
      </c>
      <c r="Z636" s="61">
        <f t="shared" si="4"/>
        <v>21.7</v>
      </c>
      <c r="AA636" s="60">
        <f t="shared" si="5"/>
        <v>-1107</v>
      </c>
      <c r="AB636" s="62" t="str">
        <f t="shared" si="6"/>
        <v/>
      </c>
      <c r="AC636" s="62" t="str">
        <f t="array" ref="AC636">IF(AH636&lt;&gt;"COMPRAR","",IF(MAX(INDEX(Ventas!$G$2:$G$5000,MATCH($A636,Ventas!$A$2:$A$5000,0)),INDEX(Ventas!$H$2:$H$5000,MATCH($A636,Ventas!$A$2:$A$5000,0)),INDEX(Ventas!$I$2:$I$5000,MATCH($A636,Ventas!$A$2:$A$5000,0)),INDEX(Ventas!$J$2:$J$5000,MATCH($A636,Ventas!$A$2:$A$5000,0)))&gt;0.5*AF636*4,"1 mes = "&amp;TEXT(MAX(INDEX(Ventas!$G$2:$G$5000,MATCH($A636,Ventas!$A$2:$A$5000,0)),INDEX(Ventas!$H$2:$H$5000,MATCH($A636,Ventas!$A$2:$A$5000,0)),INDEX(Ventas!$I$2:$I$5000,MATCH($A636,Ventas!$A$2:$A$5000,0)),INDEX(Ventas!$J$2:$J$5000,MATCH($A636,Ventas!$A$2:$A$5000,0)))/(AF636*4),"0%")&amp;" de 4 meses",""))</f>
        <v/>
      </c>
      <c r="AD636" s="62" t="str">
        <f t="shared" si="7"/>
        <v/>
      </c>
      <c r="AE636" s="62" t="str">
        <f t="array" ref="AE636">IF(X636="","",IF(AND(E636=0,AVERAGE(INDEX(Ventas!$C$2:$I$5000,MATCH($A636,Ventas!$A$2:$A$5000,0),0))&gt;0,INDEX(Ventas!$J$2:$J$5000,MATCH($A636,Ventas!$A$2:$A$5000,0))&lt;0.5*AVERAGE(INDEX(Ventas!$C$2:$I$5000,MATCH($A636,Ventas!$A$2:$A$5000,0),0))),"SÍ — stock 0 y Sep cayó (prom Feb-Ago "&amp;TEXT(AVERAGE(INDEX(Ventas!$C$2:$I$5000,MATCH($A636,Ventas!$A$2:$A$5000,0),0)),"#,##0")&amp;")",""))</f>
        <v/>
      </c>
      <c r="AF636" s="60">
        <f t="array" ref="AF636">IF(X636="","",IF(AE636&lt;&gt;"",MAX(X636,AVERAGE(INDEX(Ventas!$C$2:$I$5000,MATCH($A636,Ventas!$A$2:$A$5000,0),0))),X636))</f>
        <v>62.5</v>
      </c>
      <c r="AG636" s="60">
        <f t="shared" si="8"/>
        <v>-1107</v>
      </c>
      <c r="AH636" s="63" t="str">
        <f t="shared" si="9"/>
        <v>SOBRESTOCK</v>
      </c>
    </row>
    <row r="637" ht="13.5" customHeight="1">
      <c r="A637" s="49" t="s">
        <v>3297</v>
      </c>
      <c r="B637" s="50" t="s">
        <v>3942</v>
      </c>
      <c r="C637" s="50" t="s">
        <v>3970</v>
      </c>
      <c r="D637" s="50" t="s">
        <v>3944</v>
      </c>
      <c r="E637" s="51">
        <v>2916.0</v>
      </c>
      <c r="F637" s="52"/>
      <c r="G637" s="53">
        <v>3100.0</v>
      </c>
      <c r="H637" s="55"/>
      <c r="I637" s="55"/>
      <c r="J637" s="53"/>
      <c r="K637" s="53"/>
      <c r="L637" s="55"/>
      <c r="M637" s="53"/>
      <c r="N637" s="74"/>
      <c r="O637" s="57" t="str">
        <f t="shared" si="1"/>
        <v>SOBRESTOCK — 20.1 meses de cobertura</v>
      </c>
      <c r="P637" s="58">
        <f t="shared" si="2"/>
        <v>6016</v>
      </c>
      <c r="Q637" s="1"/>
      <c r="R637" s="1"/>
      <c r="S637" s="1"/>
      <c r="T637" s="1"/>
      <c r="U637" s="1"/>
      <c r="V637" s="1"/>
      <c r="W637" s="1"/>
      <c r="X637" s="60">
        <f>IFERROR(VLOOKUP($A637,Ventas!$A$2:$L$5000,12,FALSE()),"")</f>
        <v>300</v>
      </c>
      <c r="Y637" s="60">
        <f t="shared" si="3"/>
        <v>1200</v>
      </c>
      <c r="Z637" s="61">
        <f t="shared" si="4"/>
        <v>20.1</v>
      </c>
      <c r="AA637" s="60">
        <f t="shared" si="5"/>
        <v>-4816</v>
      </c>
      <c r="AB637" s="62" t="str">
        <f t="shared" si="6"/>
        <v/>
      </c>
      <c r="AC637" s="62" t="str">
        <f t="array" ref="AC637">IF(AH637&lt;&gt;"COMPRAR","",IF(MAX(INDEX(Ventas!$G$2:$G$5000,MATCH($A637,Ventas!$A$2:$A$5000,0)),INDEX(Ventas!$H$2:$H$5000,MATCH($A637,Ventas!$A$2:$A$5000,0)),INDEX(Ventas!$I$2:$I$5000,MATCH($A637,Ventas!$A$2:$A$5000,0)),INDEX(Ventas!$J$2:$J$5000,MATCH($A637,Ventas!$A$2:$A$5000,0)))&gt;0.5*AF637*4,"1 mes = "&amp;TEXT(MAX(INDEX(Ventas!$G$2:$G$5000,MATCH($A637,Ventas!$A$2:$A$5000,0)),INDEX(Ventas!$H$2:$H$5000,MATCH($A637,Ventas!$A$2:$A$5000,0)),INDEX(Ventas!$I$2:$I$5000,MATCH($A637,Ventas!$A$2:$A$5000,0)),INDEX(Ventas!$J$2:$J$5000,MATCH($A637,Ventas!$A$2:$A$5000,0)))/(AF637*4),"0%")&amp;" de 4 meses",""))</f>
        <v/>
      </c>
      <c r="AD637" s="62" t="str">
        <f t="shared" si="7"/>
        <v/>
      </c>
      <c r="AE637" s="62" t="str">
        <f t="array" ref="AE637">IF(X637="","",IF(AND(E637=0,AVERAGE(INDEX(Ventas!$C$2:$I$5000,MATCH($A637,Ventas!$A$2:$A$5000,0),0))&gt;0,INDEX(Ventas!$J$2:$J$5000,MATCH($A637,Ventas!$A$2:$A$5000,0))&lt;0.5*AVERAGE(INDEX(Ventas!$C$2:$I$5000,MATCH($A637,Ventas!$A$2:$A$5000,0),0))),"SÍ — stock 0 y Sep cayó (prom Feb-Ago "&amp;TEXT(AVERAGE(INDEX(Ventas!$C$2:$I$5000,MATCH($A637,Ventas!$A$2:$A$5000,0),0)),"#,##0")&amp;")",""))</f>
        <v/>
      </c>
      <c r="AF637" s="60">
        <f t="array" ref="AF637">IF(X637="","",IF(AE637&lt;&gt;"",MAX(X637,AVERAGE(INDEX(Ventas!$C$2:$I$5000,MATCH($A637,Ventas!$A$2:$A$5000,0),0))),X637))</f>
        <v>300</v>
      </c>
      <c r="AG637" s="60">
        <f t="shared" si="8"/>
        <v>-4816</v>
      </c>
      <c r="AH637" s="63" t="str">
        <f t="shared" si="9"/>
        <v>SOBRESTOCK</v>
      </c>
    </row>
    <row r="638" ht="13.5" customHeight="1">
      <c r="A638" s="64" t="s">
        <v>3077</v>
      </c>
      <c r="B638" s="65" t="s">
        <v>3942</v>
      </c>
      <c r="C638" s="65" t="s">
        <v>3971</v>
      </c>
      <c r="D638" s="65" t="s">
        <v>3944</v>
      </c>
      <c r="E638" s="51">
        <v>817.0</v>
      </c>
      <c r="F638" s="66"/>
      <c r="G638" s="53"/>
      <c r="H638" s="55"/>
      <c r="I638" s="55"/>
      <c r="J638" s="53"/>
      <c r="K638" s="53"/>
      <c r="L638" s="55"/>
      <c r="M638" s="53"/>
      <c r="N638" s="73"/>
      <c r="O638" s="57" t="str">
        <f t="shared" si="1"/>
        <v>SOBRESTOCK — 10.9 meses de cobertura</v>
      </c>
      <c r="P638" s="58">
        <f t="shared" si="2"/>
        <v>817</v>
      </c>
      <c r="Q638" s="1"/>
      <c r="R638" s="1"/>
      <c r="S638" s="1"/>
      <c r="T638" s="1"/>
      <c r="U638" s="1"/>
      <c r="V638" s="1"/>
      <c r="W638" s="1"/>
      <c r="X638" s="60">
        <f>IFERROR(VLOOKUP($A638,Ventas!$A$2:$L$5000,12,FALSE()),"")</f>
        <v>75</v>
      </c>
      <c r="Y638" s="60">
        <f t="shared" si="3"/>
        <v>300</v>
      </c>
      <c r="Z638" s="61">
        <f t="shared" si="4"/>
        <v>10.9</v>
      </c>
      <c r="AA638" s="60">
        <f t="shared" si="5"/>
        <v>-517</v>
      </c>
      <c r="AB638" s="62" t="str">
        <f t="shared" si="6"/>
        <v/>
      </c>
      <c r="AC638" s="62" t="str">
        <f t="array" ref="AC638">IF(AH638&lt;&gt;"COMPRAR","",IF(MAX(INDEX(Ventas!$G$2:$G$5000,MATCH($A638,Ventas!$A$2:$A$5000,0)),INDEX(Ventas!$H$2:$H$5000,MATCH($A638,Ventas!$A$2:$A$5000,0)),INDEX(Ventas!$I$2:$I$5000,MATCH($A638,Ventas!$A$2:$A$5000,0)),INDEX(Ventas!$J$2:$J$5000,MATCH($A638,Ventas!$A$2:$A$5000,0)))&gt;0.5*AF638*4,"1 mes = "&amp;TEXT(MAX(INDEX(Ventas!$G$2:$G$5000,MATCH($A638,Ventas!$A$2:$A$5000,0)),INDEX(Ventas!$H$2:$H$5000,MATCH($A638,Ventas!$A$2:$A$5000,0)),INDEX(Ventas!$I$2:$I$5000,MATCH($A638,Ventas!$A$2:$A$5000,0)),INDEX(Ventas!$J$2:$J$5000,MATCH($A638,Ventas!$A$2:$A$5000,0)))/(AF638*4),"0%")&amp;" de 4 meses",""))</f>
        <v/>
      </c>
      <c r="AD638" s="62" t="str">
        <f t="shared" si="7"/>
        <v/>
      </c>
      <c r="AE638" s="62" t="str">
        <f t="array" ref="AE638">IF(X638="","",IF(AND(E638=0,AVERAGE(INDEX(Ventas!$C$2:$I$5000,MATCH($A638,Ventas!$A$2:$A$5000,0),0))&gt;0,INDEX(Ventas!$J$2:$J$5000,MATCH($A638,Ventas!$A$2:$A$5000,0))&lt;0.5*AVERAGE(INDEX(Ventas!$C$2:$I$5000,MATCH($A638,Ventas!$A$2:$A$5000,0),0))),"SÍ — stock 0 y Sep cayó (prom Feb-Ago "&amp;TEXT(AVERAGE(INDEX(Ventas!$C$2:$I$5000,MATCH($A638,Ventas!$A$2:$A$5000,0),0)),"#,##0")&amp;")",""))</f>
        <v/>
      </c>
      <c r="AF638" s="60">
        <f t="array" ref="AF638">IF(X638="","",IF(AE638&lt;&gt;"",MAX(X638,AVERAGE(INDEX(Ventas!$C$2:$I$5000,MATCH($A638,Ventas!$A$2:$A$5000,0),0))),X638))</f>
        <v>75</v>
      </c>
      <c r="AG638" s="60">
        <f t="shared" si="8"/>
        <v>-517</v>
      </c>
      <c r="AH638" s="63" t="str">
        <f t="shared" si="9"/>
        <v>SOBRESTOCK</v>
      </c>
    </row>
    <row r="639" ht="13.5" customHeight="1">
      <c r="A639" s="49" t="s">
        <v>3323</v>
      </c>
      <c r="B639" s="50" t="s">
        <v>3942</v>
      </c>
      <c r="C639" s="50" t="s">
        <v>3972</v>
      </c>
      <c r="D639" s="50" t="s">
        <v>3734</v>
      </c>
      <c r="E639" s="51">
        <v>400.0</v>
      </c>
      <c r="F639" s="52"/>
      <c r="G639" s="53"/>
      <c r="H639" s="55"/>
      <c r="I639" s="55"/>
      <c r="J639" s="53"/>
      <c r="K639" s="53"/>
      <c r="L639" s="55"/>
      <c r="M639" s="53"/>
      <c r="N639" s="74"/>
      <c r="O639" s="57" t="str">
        <f t="shared" si="1"/>
        <v>SOBRESTOCK — 32.0 meses de cobertura</v>
      </c>
      <c r="P639" s="58">
        <f t="shared" si="2"/>
        <v>400</v>
      </c>
      <c r="Q639" s="1"/>
      <c r="R639" s="1"/>
      <c r="S639" s="1"/>
      <c r="T639" s="1"/>
      <c r="U639" s="1"/>
      <c r="V639" s="1"/>
      <c r="W639" s="1"/>
      <c r="X639" s="60">
        <f>IFERROR(VLOOKUP($A639,Ventas!$A$2:$L$5000,12,FALSE()),"")</f>
        <v>12.5</v>
      </c>
      <c r="Y639" s="60">
        <f t="shared" si="3"/>
        <v>50</v>
      </c>
      <c r="Z639" s="61">
        <f t="shared" si="4"/>
        <v>32</v>
      </c>
      <c r="AA639" s="60">
        <f t="shared" si="5"/>
        <v>-350</v>
      </c>
      <c r="AB639" s="62" t="str">
        <f t="shared" si="6"/>
        <v/>
      </c>
      <c r="AC639" s="62" t="str">
        <f t="array" ref="AC639">IF(AH639&lt;&gt;"COMPRAR","",IF(MAX(INDEX(Ventas!$G$2:$G$5000,MATCH($A639,Ventas!$A$2:$A$5000,0)),INDEX(Ventas!$H$2:$H$5000,MATCH($A639,Ventas!$A$2:$A$5000,0)),INDEX(Ventas!$I$2:$I$5000,MATCH($A639,Ventas!$A$2:$A$5000,0)),INDEX(Ventas!$J$2:$J$5000,MATCH($A639,Ventas!$A$2:$A$5000,0)))&gt;0.5*AF639*4,"1 mes = "&amp;TEXT(MAX(INDEX(Ventas!$G$2:$G$5000,MATCH($A639,Ventas!$A$2:$A$5000,0)),INDEX(Ventas!$H$2:$H$5000,MATCH($A639,Ventas!$A$2:$A$5000,0)),INDEX(Ventas!$I$2:$I$5000,MATCH($A639,Ventas!$A$2:$A$5000,0)),INDEX(Ventas!$J$2:$J$5000,MATCH($A639,Ventas!$A$2:$A$5000,0)))/(AF639*4),"0%")&amp;" de 4 meses",""))</f>
        <v/>
      </c>
      <c r="AD639" s="62" t="str">
        <f t="shared" si="7"/>
        <v/>
      </c>
      <c r="AE639" s="62" t="str">
        <f t="array" ref="AE639">IF(X639="","",IF(AND(E639=0,AVERAGE(INDEX(Ventas!$C$2:$I$5000,MATCH($A639,Ventas!$A$2:$A$5000,0),0))&gt;0,INDEX(Ventas!$J$2:$J$5000,MATCH($A639,Ventas!$A$2:$A$5000,0))&lt;0.5*AVERAGE(INDEX(Ventas!$C$2:$I$5000,MATCH($A639,Ventas!$A$2:$A$5000,0),0))),"SÍ — stock 0 y Sep cayó (prom Feb-Ago "&amp;TEXT(AVERAGE(INDEX(Ventas!$C$2:$I$5000,MATCH($A639,Ventas!$A$2:$A$5000,0),0)),"#,##0")&amp;")",""))</f>
        <v/>
      </c>
      <c r="AF639" s="60">
        <f t="array" ref="AF639">IF(X639="","",IF(AE639&lt;&gt;"",MAX(X639,AVERAGE(INDEX(Ventas!$C$2:$I$5000,MATCH($A639,Ventas!$A$2:$A$5000,0),0))),X639))</f>
        <v>12.5</v>
      </c>
      <c r="AG639" s="60">
        <f t="shared" si="8"/>
        <v>-350</v>
      </c>
      <c r="AH639" s="63" t="str">
        <f t="shared" si="9"/>
        <v>SOBRESTOCK</v>
      </c>
    </row>
    <row r="640" ht="13.5" customHeight="1">
      <c r="A640" s="64" t="s">
        <v>3497</v>
      </c>
      <c r="B640" s="65" t="s">
        <v>3942</v>
      </c>
      <c r="C640" s="65" t="s">
        <v>3973</v>
      </c>
      <c r="D640" s="65" t="s">
        <v>3944</v>
      </c>
      <c r="E640" s="51">
        <v>1457.0</v>
      </c>
      <c r="F640" s="66"/>
      <c r="G640" s="53"/>
      <c r="H640" s="55"/>
      <c r="I640" s="55"/>
      <c r="J640" s="53"/>
      <c r="K640" s="53"/>
      <c r="L640" s="55"/>
      <c r="M640" s="53"/>
      <c r="N640" s="73"/>
      <c r="O640" s="57" t="str">
        <f t="shared" si="1"/>
        <v>SOBRESTOCK — 58.3 meses de cobertura</v>
      </c>
      <c r="P640" s="58">
        <f t="shared" si="2"/>
        <v>1457</v>
      </c>
      <c r="Q640" s="1"/>
      <c r="R640" s="1"/>
      <c r="S640" s="1"/>
      <c r="T640" s="1"/>
      <c r="U640" s="1"/>
      <c r="V640" s="1"/>
      <c r="W640" s="1"/>
      <c r="X640" s="60">
        <f>IFERROR(VLOOKUP($A640,Ventas!$A$2:$L$5000,12,FALSE()),"")</f>
        <v>25</v>
      </c>
      <c r="Y640" s="60">
        <f t="shared" si="3"/>
        <v>100</v>
      </c>
      <c r="Z640" s="61">
        <f t="shared" si="4"/>
        <v>58.3</v>
      </c>
      <c r="AA640" s="60">
        <f t="shared" si="5"/>
        <v>-1357</v>
      </c>
      <c r="AB640" s="62" t="str">
        <f t="shared" si="6"/>
        <v/>
      </c>
      <c r="AC640" s="62" t="str">
        <f t="array" ref="AC640">IF(AH640&lt;&gt;"COMPRAR","",IF(MAX(INDEX(Ventas!$G$2:$G$5000,MATCH($A640,Ventas!$A$2:$A$5000,0)),INDEX(Ventas!$H$2:$H$5000,MATCH($A640,Ventas!$A$2:$A$5000,0)),INDEX(Ventas!$I$2:$I$5000,MATCH($A640,Ventas!$A$2:$A$5000,0)),INDEX(Ventas!$J$2:$J$5000,MATCH($A640,Ventas!$A$2:$A$5000,0)))&gt;0.5*AF640*4,"1 mes = "&amp;TEXT(MAX(INDEX(Ventas!$G$2:$G$5000,MATCH($A640,Ventas!$A$2:$A$5000,0)),INDEX(Ventas!$H$2:$H$5000,MATCH($A640,Ventas!$A$2:$A$5000,0)),INDEX(Ventas!$I$2:$I$5000,MATCH($A640,Ventas!$A$2:$A$5000,0)),INDEX(Ventas!$J$2:$J$5000,MATCH($A640,Ventas!$A$2:$A$5000,0)))/(AF640*4),"0%")&amp;" de 4 meses",""))</f>
        <v/>
      </c>
      <c r="AD640" s="62" t="str">
        <f t="shared" si="7"/>
        <v/>
      </c>
      <c r="AE640" s="62" t="str">
        <f t="array" ref="AE640">IF(X640="","",IF(AND(E640=0,AVERAGE(INDEX(Ventas!$C$2:$I$5000,MATCH($A640,Ventas!$A$2:$A$5000,0),0))&gt;0,INDEX(Ventas!$J$2:$J$5000,MATCH($A640,Ventas!$A$2:$A$5000,0))&lt;0.5*AVERAGE(INDEX(Ventas!$C$2:$I$5000,MATCH($A640,Ventas!$A$2:$A$5000,0),0))),"SÍ — stock 0 y Sep cayó (prom Feb-Ago "&amp;TEXT(AVERAGE(INDEX(Ventas!$C$2:$I$5000,MATCH($A640,Ventas!$A$2:$A$5000,0),0)),"#,##0")&amp;")",""))</f>
        <v/>
      </c>
      <c r="AF640" s="60">
        <f t="array" ref="AF640">IF(X640="","",IF(AE640&lt;&gt;"",MAX(X640,AVERAGE(INDEX(Ventas!$C$2:$I$5000,MATCH($A640,Ventas!$A$2:$A$5000,0),0))),X640))</f>
        <v>25</v>
      </c>
      <c r="AG640" s="60">
        <f t="shared" si="8"/>
        <v>-1357</v>
      </c>
      <c r="AH640" s="63" t="str">
        <f t="shared" si="9"/>
        <v>SOBRESTOCK</v>
      </c>
    </row>
    <row r="641" ht="13.5" customHeight="1">
      <c r="A641" s="49" t="s">
        <v>3489</v>
      </c>
      <c r="B641" s="50" t="s">
        <v>3942</v>
      </c>
      <c r="C641" s="50" t="s">
        <v>3974</v>
      </c>
      <c r="D641" s="50" t="s">
        <v>3944</v>
      </c>
      <c r="E641" s="51">
        <v>392.0</v>
      </c>
      <c r="F641" s="52"/>
      <c r="G641" s="53"/>
      <c r="H641" s="55"/>
      <c r="I641" s="55"/>
      <c r="J641" s="53"/>
      <c r="K641" s="53"/>
      <c r="L641" s="55"/>
      <c r="M641" s="53"/>
      <c r="N641" s="74"/>
      <c r="O641" s="57" t="str">
        <f t="shared" si="1"/>
        <v>SOBRESTOCK — 10.5 meses de cobertura</v>
      </c>
      <c r="P641" s="58">
        <f t="shared" si="2"/>
        <v>392</v>
      </c>
      <c r="Q641" s="1"/>
      <c r="R641" s="1"/>
      <c r="S641" s="1"/>
      <c r="T641" s="1"/>
      <c r="U641" s="1"/>
      <c r="V641" s="1"/>
      <c r="W641" s="1"/>
      <c r="X641" s="60">
        <f>IFERROR(VLOOKUP($A641,Ventas!$A$2:$L$5000,12,FALSE()),"")</f>
        <v>37.4</v>
      </c>
      <c r="Y641" s="60">
        <f t="shared" si="3"/>
        <v>150</v>
      </c>
      <c r="Z641" s="61">
        <f t="shared" si="4"/>
        <v>10.5</v>
      </c>
      <c r="AA641" s="60">
        <f t="shared" si="5"/>
        <v>-242</v>
      </c>
      <c r="AB641" s="62" t="str">
        <f t="shared" si="6"/>
        <v/>
      </c>
      <c r="AC641" s="62" t="str">
        <f t="array" ref="AC641">IF(AH641&lt;&gt;"COMPRAR","",IF(MAX(INDEX(Ventas!$G$2:$G$5000,MATCH($A641,Ventas!$A$2:$A$5000,0)),INDEX(Ventas!$H$2:$H$5000,MATCH($A641,Ventas!$A$2:$A$5000,0)),INDEX(Ventas!$I$2:$I$5000,MATCH($A641,Ventas!$A$2:$A$5000,0)),INDEX(Ventas!$J$2:$J$5000,MATCH($A641,Ventas!$A$2:$A$5000,0)))&gt;0.5*AF641*4,"1 mes = "&amp;TEXT(MAX(INDEX(Ventas!$G$2:$G$5000,MATCH($A641,Ventas!$A$2:$A$5000,0)),INDEX(Ventas!$H$2:$H$5000,MATCH($A641,Ventas!$A$2:$A$5000,0)),INDEX(Ventas!$I$2:$I$5000,MATCH($A641,Ventas!$A$2:$A$5000,0)),INDEX(Ventas!$J$2:$J$5000,MATCH($A641,Ventas!$A$2:$A$5000,0)))/(AF641*4),"0%")&amp;" de 4 meses",""))</f>
        <v/>
      </c>
      <c r="AD641" s="62" t="str">
        <f t="shared" si="7"/>
        <v/>
      </c>
      <c r="AE641" s="62" t="str">
        <f t="array" ref="AE641">IF(X641="","",IF(AND(E641=0,AVERAGE(INDEX(Ventas!$C$2:$I$5000,MATCH($A641,Ventas!$A$2:$A$5000,0),0))&gt;0,INDEX(Ventas!$J$2:$J$5000,MATCH($A641,Ventas!$A$2:$A$5000,0))&lt;0.5*AVERAGE(INDEX(Ventas!$C$2:$I$5000,MATCH($A641,Ventas!$A$2:$A$5000,0),0))),"SÍ — stock 0 y Sep cayó (prom Feb-Ago "&amp;TEXT(AVERAGE(INDEX(Ventas!$C$2:$I$5000,MATCH($A641,Ventas!$A$2:$A$5000,0),0)),"#,##0")&amp;")",""))</f>
        <v/>
      </c>
      <c r="AF641" s="60">
        <f t="array" ref="AF641">IF(X641="","",IF(AE641&lt;&gt;"",MAX(X641,AVERAGE(INDEX(Ventas!$C$2:$I$5000,MATCH($A641,Ventas!$A$2:$A$5000,0),0))),X641))</f>
        <v>37.4</v>
      </c>
      <c r="AG641" s="60">
        <f t="shared" si="8"/>
        <v>-242</v>
      </c>
      <c r="AH641" s="63" t="str">
        <f t="shared" si="9"/>
        <v>SOBRESTOCK</v>
      </c>
    </row>
    <row r="642" ht="13.5" customHeight="1">
      <c r="A642" s="64" t="s">
        <v>3098</v>
      </c>
      <c r="B642" s="65" t="s">
        <v>3942</v>
      </c>
      <c r="C642" s="65" t="s">
        <v>3975</v>
      </c>
      <c r="D642" s="65" t="s">
        <v>3976</v>
      </c>
      <c r="E642" s="51">
        <v>0.0</v>
      </c>
      <c r="F642" s="66"/>
      <c r="G642" s="53"/>
      <c r="H642" s="55"/>
      <c r="I642" s="55"/>
      <c r="J642" s="53"/>
      <c r="K642" s="53"/>
      <c r="L642" s="55"/>
      <c r="M642" s="53"/>
      <c r="N642" s="73"/>
      <c r="O642" s="57" t="str">
        <f t="shared" si="1"/>
        <v>COMPRAR — faltan 694 m para 4 meses</v>
      </c>
      <c r="P642" s="58">
        <f t="shared" si="2"/>
        <v>0</v>
      </c>
      <c r="Q642" s="1"/>
      <c r="R642" s="1"/>
      <c r="S642" s="1"/>
      <c r="T642" s="1"/>
      <c r="U642" s="1"/>
      <c r="V642" s="1"/>
      <c r="W642" s="1"/>
      <c r="X642" s="60">
        <f>IFERROR(VLOOKUP($A642,Ventas!$A$2:$L$5000,12,FALSE()),"")</f>
        <v>173.375</v>
      </c>
      <c r="Y642" s="60">
        <f t="shared" si="3"/>
        <v>694</v>
      </c>
      <c r="Z642" s="61">
        <f t="shared" si="4"/>
        <v>0</v>
      </c>
      <c r="AA642" s="60">
        <f t="shared" si="5"/>
        <v>694</v>
      </c>
      <c r="AB642" s="62" t="str">
        <f t="shared" si="6"/>
        <v/>
      </c>
      <c r="AC642" s="62" t="str">
        <f t="array" ref="AC642">IF(AH642&lt;&gt;"COMPRAR","",IF(MAX(INDEX(Ventas!$G$2:$G$5000,MATCH($A642,Ventas!$A$2:$A$5000,0)),INDEX(Ventas!$H$2:$H$5000,MATCH($A642,Ventas!$A$2:$A$5000,0)),INDEX(Ventas!$I$2:$I$5000,MATCH($A642,Ventas!$A$2:$A$5000,0)),INDEX(Ventas!$J$2:$J$5000,MATCH($A642,Ventas!$A$2:$A$5000,0)))&gt;0.5*AF642*4,"1 mes = "&amp;TEXT(MAX(INDEX(Ventas!$G$2:$G$5000,MATCH($A642,Ventas!$A$2:$A$5000,0)),INDEX(Ventas!$H$2:$H$5000,MATCH($A642,Ventas!$A$2:$A$5000,0)),INDEX(Ventas!$I$2:$I$5000,MATCH($A642,Ventas!$A$2:$A$5000,0)),INDEX(Ventas!$J$2:$J$5000,MATCH($A642,Ventas!$A$2:$A$5000,0)))/(AF642*4),"0%")&amp;" de 4 meses",""))</f>
        <v>1 mes = 88% de 4 meses</v>
      </c>
      <c r="AD642" s="62" t="str">
        <f t="shared" si="7"/>
        <v>SÍ — 0 m vs 92 m</v>
      </c>
      <c r="AE642" s="62" t="str">
        <f t="array" ref="AE642">IF(X642="","",IF(AND(E642=0,AVERAGE(INDEX(Ventas!$C$2:$I$5000,MATCH($A642,Ventas!$A$2:$A$5000,0),0))&gt;0,INDEX(Ventas!$J$2:$J$5000,MATCH($A642,Ventas!$A$2:$A$5000,0))&lt;0.5*AVERAGE(INDEX(Ventas!$C$2:$I$5000,MATCH($A642,Ventas!$A$2:$A$5000,0),0))),"SÍ — stock 0 y Sep cayó (prom Feb-Ago "&amp;TEXT(AVERAGE(INDEX(Ventas!$C$2:$I$5000,MATCH($A642,Ventas!$A$2:$A$5000,0),0)),"#,##0")&amp;")",""))</f>
        <v/>
      </c>
      <c r="AF642" s="60">
        <f t="array" ref="AF642">IF(X642="","",IF(AE642&lt;&gt;"",MAX(X642,AVERAGE(INDEX(Ventas!$C$2:$I$5000,MATCH($A642,Ventas!$A$2:$A$5000,0),0))),X642))</f>
        <v>173.375</v>
      </c>
      <c r="AG642" s="60">
        <f t="shared" si="8"/>
        <v>694</v>
      </c>
      <c r="AH642" s="63" t="str">
        <f t="shared" si="9"/>
        <v>COMPRAR</v>
      </c>
    </row>
    <row r="643" ht="13.5" customHeight="1">
      <c r="A643" s="49" t="s">
        <v>3096</v>
      </c>
      <c r="B643" s="50" t="s">
        <v>3942</v>
      </c>
      <c r="C643" s="50" t="s">
        <v>3975</v>
      </c>
      <c r="D643" s="50" t="s">
        <v>3977</v>
      </c>
      <c r="E643" s="51">
        <v>0.0</v>
      </c>
      <c r="F643" s="52"/>
      <c r="G643" s="53"/>
      <c r="H643" s="55"/>
      <c r="I643" s="55"/>
      <c r="J643" s="53"/>
      <c r="K643" s="53"/>
      <c r="L643" s="55"/>
      <c r="M643" s="53"/>
      <c r="N643" s="74"/>
      <c r="O643" s="57" t="str">
        <f t="shared" si="1"/>
        <v>COMPRAR — faltan 495 m para 4 meses</v>
      </c>
      <c r="P643" s="58">
        <f t="shared" si="2"/>
        <v>0</v>
      </c>
      <c r="Q643" s="1"/>
      <c r="R643" s="1"/>
      <c r="S643" s="1"/>
      <c r="T643" s="1"/>
      <c r="U643" s="1"/>
      <c r="V643" s="1"/>
      <c r="W643" s="1"/>
      <c r="X643" s="60">
        <f>IFERROR(VLOOKUP($A643,Ventas!$A$2:$L$5000,12,FALSE()),"")</f>
        <v>123.75</v>
      </c>
      <c r="Y643" s="60">
        <f t="shared" si="3"/>
        <v>495</v>
      </c>
      <c r="Z643" s="61">
        <f t="shared" si="4"/>
        <v>0</v>
      </c>
      <c r="AA643" s="60">
        <f t="shared" si="5"/>
        <v>495</v>
      </c>
      <c r="AB643" s="62" t="str">
        <f t="shared" si="6"/>
        <v/>
      </c>
      <c r="AC643" s="62" t="str">
        <f t="array" ref="AC643">IF(AH643&lt;&gt;"COMPRAR","",IF(MAX(INDEX(Ventas!$G$2:$G$5000,MATCH($A643,Ventas!$A$2:$A$5000,0)),INDEX(Ventas!$H$2:$H$5000,MATCH($A643,Ventas!$A$2:$A$5000,0)),INDEX(Ventas!$I$2:$I$5000,MATCH($A643,Ventas!$A$2:$A$5000,0)),INDEX(Ventas!$J$2:$J$5000,MATCH($A643,Ventas!$A$2:$A$5000,0)))&gt;0.5*AF643*4,"1 mes = "&amp;TEXT(MAX(INDEX(Ventas!$G$2:$G$5000,MATCH($A643,Ventas!$A$2:$A$5000,0)),INDEX(Ventas!$H$2:$H$5000,MATCH($A643,Ventas!$A$2:$A$5000,0)),INDEX(Ventas!$I$2:$I$5000,MATCH($A643,Ventas!$A$2:$A$5000,0)),INDEX(Ventas!$J$2:$J$5000,MATCH($A643,Ventas!$A$2:$A$5000,0)))/(AF643*4),"0%")&amp;" de 4 meses",""))</f>
        <v>1 mes = 89% de 4 meses</v>
      </c>
      <c r="AD643" s="62" t="str">
        <f t="shared" si="7"/>
        <v>SÍ — 0 m vs 66 m</v>
      </c>
      <c r="AE643" s="62" t="str">
        <f t="array" ref="AE643">IF(X643="","",IF(AND(E643=0,AVERAGE(INDEX(Ventas!$C$2:$I$5000,MATCH($A643,Ventas!$A$2:$A$5000,0),0))&gt;0,INDEX(Ventas!$J$2:$J$5000,MATCH($A643,Ventas!$A$2:$A$5000,0))&lt;0.5*AVERAGE(INDEX(Ventas!$C$2:$I$5000,MATCH($A643,Ventas!$A$2:$A$5000,0),0))),"SÍ — stock 0 y Sep cayó (prom Feb-Ago "&amp;TEXT(AVERAGE(INDEX(Ventas!$C$2:$I$5000,MATCH($A643,Ventas!$A$2:$A$5000,0),0)),"#,##0")&amp;")",""))</f>
        <v/>
      </c>
      <c r="AF643" s="60">
        <f t="array" ref="AF643">IF(X643="","",IF(AE643&lt;&gt;"",MAX(X643,AVERAGE(INDEX(Ventas!$C$2:$I$5000,MATCH($A643,Ventas!$A$2:$A$5000,0),0))),X643))</f>
        <v>123.75</v>
      </c>
      <c r="AG643" s="60">
        <f t="shared" si="8"/>
        <v>495</v>
      </c>
      <c r="AH643" s="63" t="str">
        <f t="shared" si="9"/>
        <v>COMPRAR</v>
      </c>
    </row>
    <row r="644" ht="13.5" customHeight="1">
      <c r="A644" s="64" t="s">
        <v>3100</v>
      </c>
      <c r="B644" s="65" t="s">
        <v>3942</v>
      </c>
      <c r="C644" s="65" t="s">
        <v>3975</v>
      </c>
      <c r="D644" s="65" t="s">
        <v>3978</v>
      </c>
      <c r="E644" s="51">
        <v>385.0</v>
      </c>
      <c r="F644" s="66"/>
      <c r="G644" s="53"/>
      <c r="H644" s="55"/>
      <c r="I644" s="55"/>
      <c r="J644" s="53"/>
      <c r="K644" s="53"/>
      <c r="L644" s="55"/>
      <c r="M644" s="53"/>
      <c r="N644" s="73"/>
      <c r="O644" s="57" t="str">
        <f t="shared" si="1"/>
        <v>SOBRESTOCK — 14.0 meses de cobertura</v>
      </c>
      <c r="P644" s="58">
        <f t="shared" si="2"/>
        <v>385</v>
      </c>
      <c r="Q644" s="1"/>
      <c r="R644" s="1"/>
      <c r="S644" s="1"/>
      <c r="T644" s="1"/>
      <c r="U644" s="1"/>
      <c r="V644" s="1"/>
      <c r="W644" s="1"/>
      <c r="X644" s="60">
        <f>IFERROR(VLOOKUP($A644,Ventas!$A$2:$L$5000,12,FALSE()),"")</f>
        <v>27.5</v>
      </c>
      <c r="Y644" s="60">
        <f t="shared" si="3"/>
        <v>110</v>
      </c>
      <c r="Z644" s="61">
        <f t="shared" si="4"/>
        <v>14</v>
      </c>
      <c r="AA644" s="60">
        <f t="shared" si="5"/>
        <v>-275</v>
      </c>
      <c r="AB644" s="62" t="str">
        <f t="shared" si="6"/>
        <v/>
      </c>
      <c r="AC644" s="62" t="str">
        <f t="array" ref="AC644">IF(AH644&lt;&gt;"COMPRAR","",IF(MAX(INDEX(Ventas!$G$2:$G$5000,MATCH($A644,Ventas!$A$2:$A$5000,0)),INDEX(Ventas!$H$2:$H$5000,MATCH($A644,Ventas!$A$2:$A$5000,0)),INDEX(Ventas!$I$2:$I$5000,MATCH($A644,Ventas!$A$2:$A$5000,0)),INDEX(Ventas!$J$2:$J$5000,MATCH($A644,Ventas!$A$2:$A$5000,0)))&gt;0.5*AF644*4,"1 mes = "&amp;TEXT(MAX(INDEX(Ventas!$G$2:$G$5000,MATCH($A644,Ventas!$A$2:$A$5000,0)),INDEX(Ventas!$H$2:$H$5000,MATCH($A644,Ventas!$A$2:$A$5000,0)),INDEX(Ventas!$I$2:$I$5000,MATCH($A644,Ventas!$A$2:$A$5000,0)),INDEX(Ventas!$J$2:$J$5000,MATCH($A644,Ventas!$A$2:$A$5000,0)))/(AF644*4),"0%")&amp;" de 4 meses",""))</f>
        <v/>
      </c>
      <c r="AD644" s="62" t="str">
        <f t="shared" si="7"/>
        <v/>
      </c>
      <c r="AE644" s="62" t="str">
        <f t="array" ref="AE644">IF(X644="","",IF(AND(E644=0,AVERAGE(INDEX(Ventas!$C$2:$I$5000,MATCH($A644,Ventas!$A$2:$A$5000,0),0))&gt;0,INDEX(Ventas!$J$2:$J$5000,MATCH($A644,Ventas!$A$2:$A$5000,0))&lt;0.5*AVERAGE(INDEX(Ventas!$C$2:$I$5000,MATCH($A644,Ventas!$A$2:$A$5000,0),0))),"SÍ — stock 0 y Sep cayó (prom Feb-Ago "&amp;TEXT(AVERAGE(INDEX(Ventas!$C$2:$I$5000,MATCH($A644,Ventas!$A$2:$A$5000,0),0)),"#,##0")&amp;")",""))</f>
        <v/>
      </c>
      <c r="AF644" s="60">
        <f t="array" ref="AF644">IF(X644="","",IF(AE644&lt;&gt;"",MAX(X644,AVERAGE(INDEX(Ventas!$C$2:$I$5000,MATCH($A644,Ventas!$A$2:$A$5000,0),0))),X644))</f>
        <v>27.5</v>
      </c>
      <c r="AG644" s="60">
        <f t="shared" si="8"/>
        <v>-275</v>
      </c>
      <c r="AH644" s="63" t="str">
        <f t="shared" si="9"/>
        <v>SOBRESTOCK</v>
      </c>
    </row>
    <row r="645" ht="13.5" customHeight="1">
      <c r="A645" s="49" t="s">
        <v>1316</v>
      </c>
      <c r="B645" s="50" t="s">
        <v>3979</v>
      </c>
      <c r="C645" s="50" t="s">
        <v>3980</v>
      </c>
      <c r="D645" s="50" t="s">
        <v>1329</v>
      </c>
      <c r="E645" s="51">
        <v>4574.0</v>
      </c>
      <c r="F645" s="52"/>
      <c r="G645" s="53"/>
      <c r="H645" s="55"/>
      <c r="I645" s="55"/>
      <c r="J645" s="53"/>
      <c r="K645" s="53"/>
      <c r="L645" s="55"/>
      <c r="M645" s="53"/>
      <c r="N645" s="74"/>
      <c r="O645" s="57" t="str">
        <f t="shared" si="1"/>
        <v>SOBRESTOCK — 100.5 meses de cobertura</v>
      </c>
      <c r="P645" s="58">
        <f t="shared" si="2"/>
        <v>4574</v>
      </c>
      <c r="Q645" s="1"/>
      <c r="R645" s="1"/>
      <c r="S645" s="1"/>
      <c r="T645" s="1"/>
      <c r="U645" s="1"/>
      <c r="V645" s="1"/>
      <c r="W645" s="1"/>
      <c r="X645" s="60">
        <f>IFERROR(VLOOKUP($A645,Ventas!$A$2:$L$5000,12,FALSE()),"")</f>
        <v>45.5</v>
      </c>
      <c r="Y645" s="60">
        <f t="shared" si="3"/>
        <v>182</v>
      </c>
      <c r="Z645" s="61">
        <f t="shared" si="4"/>
        <v>100.5</v>
      </c>
      <c r="AA645" s="60">
        <f t="shared" si="5"/>
        <v>-4392</v>
      </c>
      <c r="AB645" s="62" t="str">
        <f t="shared" si="6"/>
        <v/>
      </c>
      <c r="AC645" s="62" t="str">
        <f t="array" ref="AC645">IF(AH645&lt;&gt;"COMPRAR","",IF(MAX(INDEX(Ventas!$G$2:$G$5000,MATCH($A645,Ventas!$A$2:$A$5000,0)),INDEX(Ventas!$H$2:$H$5000,MATCH($A645,Ventas!$A$2:$A$5000,0)),INDEX(Ventas!$I$2:$I$5000,MATCH($A645,Ventas!$A$2:$A$5000,0)),INDEX(Ventas!$J$2:$J$5000,MATCH($A645,Ventas!$A$2:$A$5000,0)))&gt;0.5*AF645*4,"1 mes = "&amp;TEXT(MAX(INDEX(Ventas!$G$2:$G$5000,MATCH($A645,Ventas!$A$2:$A$5000,0)),INDEX(Ventas!$H$2:$H$5000,MATCH($A645,Ventas!$A$2:$A$5000,0)),INDEX(Ventas!$I$2:$I$5000,MATCH($A645,Ventas!$A$2:$A$5000,0)),INDEX(Ventas!$J$2:$J$5000,MATCH($A645,Ventas!$A$2:$A$5000,0)))/(AF645*4),"0%")&amp;" de 4 meses",""))</f>
        <v/>
      </c>
      <c r="AD645" s="62" t="str">
        <f t="shared" si="7"/>
        <v/>
      </c>
      <c r="AE645" s="62" t="str">
        <f t="array" ref="AE645">IF(X645="","",IF(AND(E645=0,AVERAGE(INDEX(Ventas!$C$2:$I$5000,MATCH($A645,Ventas!$A$2:$A$5000,0),0))&gt;0,INDEX(Ventas!$J$2:$J$5000,MATCH($A645,Ventas!$A$2:$A$5000,0))&lt;0.5*AVERAGE(INDEX(Ventas!$C$2:$I$5000,MATCH($A645,Ventas!$A$2:$A$5000,0),0))),"SÍ — stock 0 y Sep cayó (prom Feb-Ago "&amp;TEXT(AVERAGE(INDEX(Ventas!$C$2:$I$5000,MATCH($A645,Ventas!$A$2:$A$5000,0),0)),"#,##0")&amp;")",""))</f>
        <v/>
      </c>
      <c r="AF645" s="60">
        <f t="array" ref="AF645">IF(X645="","",IF(AE645&lt;&gt;"",MAX(X645,AVERAGE(INDEX(Ventas!$C$2:$I$5000,MATCH($A645,Ventas!$A$2:$A$5000,0),0))),X645))</f>
        <v>45.5</v>
      </c>
      <c r="AG645" s="60">
        <f t="shared" si="8"/>
        <v>-4392</v>
      </c>
      <c r="AH645" s="63" t="str">
        <f t="shared" si="9"/>
        <v>SOBRESTOCK</v>
      </c>
    </row>
    <row r="646" ht="13.5" customHeight="1">
      <c r="A646" s="64" t="s">
        <v>1318</v>
      </c>
      <c r="B646" s="65" t="s">
        <v>3979</v>
      </c>
      <c r="C646" s="65" t="s">
        <v>3980</v>
      </c>
      <c r="D646" s="65" t="s">
        <v>3756</v>
      </c>
      <c r="E646" s="51">
        <v>2983.0</v>
      </c>
      <c r="F646" s="66"/>
      <c r="G646" s="53"/>
      <c r="H646" s="55"/>
      <c r="I646" s="55"/>
      <c r="J646" s="53"/>
      <c r="K646" s="53"/>
      <c r="L646" s="55"/>
      <c r="M646" s="53"/>
      <c r="N646" s="73"/>
      <c r="O646" s="57" t="str">
        <f t="shared" si="1"/>
        <v>SOBRESTOCK — 11.0 meses de cobertura</v>
      </c>
      <c r="P646" s="58">
        <f t="shared" si="2"/>
        <v>2983</v>
      </c>
      <c r="Q646" s="1"/>
      <c r="R646" s="1"/>
      <c r="S646" s="1"/>
      <c r="T646" s="1"/>
      <c r="U646" s="1"/>
      <c r="V646" s="1"/>
      <c r="W646" s="1"/>
      <c r="X646" s="60">
        <f>IFERROR(VLOOKUP($A646,Ventas!$A$2:$L$5000,12,FALSE()),"")</f>
        <v>271.25</v>
      </c>
      <c r="Y646" s="60">
        <f t="shared" si="3"/>
        <v>1085</v>
      </c>
      <c r="Z646" s="61">
        <f t="shared" si="4"/>
        <v>11</v>
      </c>
      <c r="AA646" s="60">
        <f t="shared" si="5"/>
        <v>-1898</v>
      </c>
      <c r="AB646" s="62" t="str">
        <f t="shared" si="6"/>
        <v/>
      </c>
      <c r="AC646" s="62" t="str">
        <f t="array" ref="AC646">IF(AH646&lt;&gt;"COMPRAR","",IF(MAX(INDEX(Ventas!$G$2:$G$5000,MATCH($A646,Ventas!$A$2:$A$5000,0)),INDEX(Ventas!$H$2:$H$5000,MATCH($A646,Ventas!$A$2:$A$5000,0)),INDEX(Ventas!$I$2:$I$5000,MATCH($A646,Ventas!$A$2:$A$5000,0)),INDEX(Ventas!$J$2:$J$5000,MATCH($A646,Ventas!$A$2:$A$5000,0)))&gt;0.5*AF646*4,"1 mes = "&amp;TEXT(MAX(INDEX(Ventas!$G$2:$G$5000,MATCH($A646,Ventas!$A$2:$A$5000,0)),INDEX(Ventas!$H$2:$H$5000,MATCH($A646,Ventas!$A$2:$A$5000,0)),INDEX(Ventas!$I$2:$I$5000,MATCH($A646,Ventas!$A$2:$A$5000,0)),INDEX(Ventas!$J$2:$J$5000,MATCH($A646,Ventas!$A$2:$A$5000,0)))/(AF646*4),"0%")&amp;" de 4 meses",""))</f>
        <v/>
      </c>
      <c r="AD646" s="62" t="str">
        <f t="shared" si="7"/>
        <v/>
      </c>
      <c r="AE646" s="62" t="str">
        <f t="array" ref="AE646">IF(X646="","",IF(AND(E646=0,AVERAGE(INDEX(Ventas!$C$2:$I$5000,MATCH($A646,Ventas!$A$2:$A$5000,0),0))&gt;0,INDEX(Ventas!$J$2:$J$5000,MATCH($A646,Ventas!$A$2:$A$5000,0))&lt;0.5*AVERAGE(INDEX(Ventas!$C$2:$I$5000,MATCH($A646,Ventas!$A$2:$A$5000,0),0))),"SÍ — stock 0 y Sep cayó (prom Feb-Ago "&amp;TEXT(AVERAGE(INDEX(Ventas!$C$2:$I$5000,MATCH($A646,Ventas!$A$2:$A$5000,0),0)),"#,##0")&amp;")",""))</f>
        <v/>
      </c>
      <c r="AF646" s="60">
        <f t="array" ref="AF646">IF(X646="","",IF(AE646&lt;&gt;"",MAX(X646,AVERAGE(INDEX(Ventas!$C$2:$I$5000,MATCH($A646,Ventas!$A$2:$A$5000,0),0))),X646))</f>
        <v>271.25</v>
      </c>
      <c r="AG646" s="60">
        <f t="shared" si="8"/>
        <v>-1898</v>
      </c>
      <c r="AH646" s="63" t="str">
        <f t="shared" si="9"/>
        <v>SOBRESTOCK</v>
      </c>
    </row>
    <row r="647" ht="13.5" customHeight="1">
      <c r="A647" s="49" t="s">
        <v>126</v>
      </c>
      <c r="B647" s="50" t="s">
        <v>3981</v>
      </c>
      <c r="C647" s="50"/>
      <c r="D647" s="50" t="s">
        <v>3982</v>
      </c>
      <c r="E647" s="51">
        <v>10.0</v>
      </c>
      <c r="F647" s="52"/>
      <c r="G647" s="53"/>
      <c r="H647" s="55"/>
      <c r="I647" s="55"/>
      <c r="J647" s="53"/>
      <c r="K647" s="53"/>
      <c r="L647" s="55"/>
      <c r="M647" s="53"/>
      <c r="N647" s="74"/>
      <c r="O647" s="57" t="str">
        <f t="shared" si="1"/>
        <v>SIN VENTAS Jun-Sep — no comprar (10 m disponibles)</v>
      </c>
      <c r="P647" s="58">
        <f t="shared" si="2"/>
        <v>10</v>
      </c>
      <c r="Q647" s="1"/>
      <c r="R647" s="1"/>
      <c r="S647" s="1"/>
      <c r="T647" s="1"/>
      <c r="U647" s="1"/>
      <c r="V647" s="1"/>
      <c r="W647" s="1"/>
      <c r="X647" s="60">
        <f>IFERROR(VLOOKUP($A647,Ventas!$A$2:$L$5000,12,FALSE()),"")</f>
        <v>0</v>
      </c>
      <c r="Y647" s="60">
        <f t="shared" si="3"/>
        <v>0</v>
      </c>
      <c r="Z647" s="61" t="str">
        <f t="shared" si="4"/>
        <v/>
      </c>
      <c r="AA647" s="60">
        <f t="shared" si="5"/>
        <v>-10</v>
      </c>
      <c r="AB647" s="62" t="str">
        <f t="shared" si="6"/>
        <v/>
      </c>
      <c r="AC647" s="62" t="str">
        <f t="array" ref="AC647">IF(AH647&lt;&gt;"COMPRAR","",IF(MAX(INDEX(Ventas!$G$2:$G$5000,MATCH($A647,Ventas!$A$2:$A$5000,0)),INDEX(Ventas!$H$2:$H$5000,MATCH($A647,Ventas!$A$2:$A$5000,0)),INDEX(Ventas!$I$2:$I$5000,MATCH($A647,Ventas!$A$2:$A$5000,0)),INDEX(Ventas!$J$2:$J$5000,MATCH($A647,Ventas!$A$2:$A$5000,0)))&gt;0.5*AF647*4,"1 mes = "&amp;TEXT(MAX(INDEX(Ventas!$G$2:$G$5000,MATCH($A647,Ventas!$A$2:$A$5000,0)),INDEX(Ventas!$H$2:$H$5000,MATCH($A647,Ventas!$A$2:$A$5000,0)),INDEX(Ventas!$I$2:$I$5000,MATCH($A647,Ventas!$A$2:$A$5000,0)),INDEX(Ventas!$J$2:$J$5000,MATCH($A647,Ventas!$A$2:$A$5000,0)))/(AF647*4),"0%")&amp;" de 4 meses",""))</f>
        <v/>
      </c>
      <c r="AD647" s="62" t="str">
        <f t="shared" si="7"/>
        <v/>
      </c>
      <c r="AE647" s="62" t="str">
        <f t="array" ref="AE647">IF(X647="","",IF(AND(E647=0,AVERAGE(INDEX(Ventas!$C$2:$I$5000,MATCH($A647,Ventas!$A$2:$A$5000,0),0))&gt;0,INDEX(Ventas!$J$2:$J$5000,MATCH($A647,Ventas!$A$2:$A$5000,0))&lt;0.5*AVERAGE(INDEX(Ventas!$C$2:$I$5000,MATCH($A647,Ventas!$A$2:$A$5000,0),0))),"SÍ — stock 0 y Sep cayó (prom Feb-Ago "&amp;TEXT(AVERAGE(INDEX(Ventas!$C$2:$I$5000,MATCH($A647,Ventas!$A$2:$A$5000,0),0)),"#,##0")&amp;")",""))</f>
        <v/>
      </c>
      <c r="AF647" s="60">
        <f t="array" ref="AF647">IF(X647="","",IF(AE647&lt;&gt;"",MAX(X647,AVERAGE(INDEX(Ventas!$C$2:$I$5000,MATCH($A647,Ventas!$A$2:$A$5000,0),0))),X647))</f>
        <v>0</v>
      </c>
      <c r="AG647" s="60">
        <f t="shared" si="8"/>
        <v>-10</v>
      </c>
      <c r="AH647" s="63" t="str">
        <f t="shared" si="9"/>
        <v>SIN VENTAS</v>
      </c>
    </row>
    <row r="648" ht="13.5" customHeight="1">
      <c r="A648" s="64" t="s">
        <v>124</v>
      </c>
      <c r="B648" s="65" t="s">
        <v>3981</v>
      </c>
      <c r="C648" s="65"/>
      <c r="D648" s="65" t="s">
        <v>3983</v>
      </c>
      <c r="E648" s="51">
        <v>10.0</v>
      </c>
      <c r="F648" s="66"/>
      <c r="G648" s="53"/>
      <c r="H648" s="55"/>
      <c r="I648" s="55"/>
      <c r="J648" s="53"/>
      <c r="K648" s="53"/>
      <c r="L648" s="55"/>
      <c r="M648" s="53"/>
      <c r="N648" s="73"/>
      <c r="O648" s="57" t="str">
        <f t="shared" si="1"/>
        <v>COMPRAR — faltan 10 m para 4 meses</v>
      </c>
      <c r="P648" s="58">
        <f t="shared" si="2"/>
        <v>10</v>
      </c>
      <c r="Q648" s="1"/>
      <c r="R648" s="1"/>
      <c r="S648" s="1"/>
      <c r="T648" s="1"/>
      <c r="U648" s="1"/>
      <c r="V648" s="1"/>
      <c r="W648" s="1"/>
      <c r="X648" s="60">
        <f>IFERROR(VLOOKUP($A648,Ventas!$A$2:$L$5000,12,FALSE()),"")</f>
        <v>5</v>
      </c>
      <c r="Y648" s="60">
        <f t="shared" si="3"/>
        <v>20</v>
      </c>
      <c r="Z648" s="61">
        <f t="shared" si="4"/>
        <v>2</v>
      </c>
      <c r="AA648" s="60">
        <f t="shared" si="5"/>
        <v>10</v>
      </c>
      <c r="AB648" s="62" t="str">
        <f t="shared" si="6"/>
        <v/>
      </c>
      <c r="AC648" s="62" t="str">
        <f t="array" ref="AC648">IF(AH648&lt;&gt;"COMPRAR","",IF(MAX(INDEX(Ventas!$G$2:$G$5000,MATCH($A648,Ventas!$A$2:$A$5000,0)),INDEX(Ventas!$H$2:$H$5000,MATCH($A648,Ventas!$A$2:$A$5000,0)),INDEX(Ventas!$I$2:$I$5000,MATCH($A648,Ventas!$A$2:$A$5000,0)),INDEX(Ventas!$J$2:$J$5000,MATCH($A648,Ventas!$A$2:$A$5000,0)))&gt;0.5*AF648*4,"1 mes = "&amp;TEXT(MAX(INDEX(Ventas!$G$2:$G$5000,MATCH($A648,Ventas!$A$2:$A$5000,0)),INDEX(Ventas!$H$2:$H$5000,MATCH($A648,Ventas!$A$2:$A$5000,0)),INDEX(Ventas!$I$2:$I$5000,MATCH($A648,Ventas!$A$2:$A$5000,0)),INDEX(Ventas!$J$2:$J$5000,MATCH($A648,Ventas!$A$2:$A$5000,0)))/(AF648*4),"0%")&amp;" de 4 meses",""))</f>
        <v>1 mes = 100% de 4 meses</v>
      </c>
      <c r="AD648" s="62" t="str">
        <f t="shared" si="7"/>
        <v/>
      </c>
      <c r="AE648" s="62" t="str">
        <f t="array" ref="AE648">IF(X648="","",IF(AND(E648=0,AVERAGE(INDEX(Ventas!$C$2:$I$5000,MATCH($A648,Ventas!$A$2:$A$5000,0),0))&gt;0,INDEX(Ventas!$J$2:$J$5000,MATCH($A648,Ventas!$A$2:$A$5000,0))&lt;0.5*AVERAGE(INDEX(Ventas!$C$2:$I$5000,MATCH($A648,Ventas!$A$2:$A$5000,0),0))),"SÍ — stock 0 y Sep cayó (prom Feb-Ago "&amp;TEXT(AVERAGE(INDEX(Ventas!$C$2:$I$5000,MATCH($A648,Ventas!$A$2:$A$5000,0),0)),"#,##0")&amp;")",""))</f>
        <v/>
      </c>
      <c r="AF648" s="60">
        <f t="array" ref="AF648">IF(X648="","",IF(AE648&lt;&gt;"",MAX(X648,AVERAGE(INDEX(Ventas!$C$2:$I$5000,MATCH($A648,Ventas!$A$2:$A$5000,0),0))),X648))</f>
        <v>5</v>
      </c>
      <c r="AG648" s="60">
        <f t="shared" si="8"/>
        <v>10</v>
      </c>
      <c r="AH648" s="63" t="str">
        <f t="shared" si="9"/>
        <v>COMPRAR</v>
      </c>
    </row>
    <row r="649" ht="13.5" customHeight="1">
      <c r="A649" s="49" t="s">
        <v>130</v>
      </c>
      <c r="B649" s="50" t="s">
        <v>3981</v>
      </c>
      <c r="C649" s="50"/>
      <c r="D649" s="50" t="s">
        <v>3984</v>
      </c>
      <c r="E649" s="51">
        <v>10.0</v>
      </c>
      <c r="F649" s="52"/>
      <c r="G649" s="53"/>
      <c r="H649" s="55"/>
      <c r="I649" s="55"/>
      <c r="J649" s="53"/>
      <c r="K649" s="53"/>
      <c r="L649" s="55"/>
      <c r="M649" s="53"/>
      <c r="N649" s="74"/>
      <c r="O649" s="57" t="str">
        <f t="shared" si="1"/>
        <v>COMPRAR — faltan 50 m para 4 meses</v>
      </c>
      <c r="P649" s="58">
        <f t="shared" si="2"/>
        <v>10</v>
      </c>
      <c r="Q649" s="1"/>
      <c r="R649" s="1"/>
      <c r="S649" s="1"/>
      <c r="T649" s="1"/>
      <c r="U649" s="1"/>
      <c r="V649" s="1"/>
      <c r="W649" s="1"/>
      <c r="X649" s="60">
        <f>IFERROR(VLOOKUP($A649,Ventas!$A$2:$L$5000,12,FALSE()),"")</f>
        <v>15</v>
      </c>
      <c r="Y649" s="60">
        <f t="shared" si="3"/>
        <v>60</v>
      </c>
      <c r="Z649" s="61">
        <f t="shared" si="4"/>
        <v>0.7</v>
      </c>
      <c r="AA649" s="60">
        <f t="shared" si="5"/>
        <v>50</v>
      </c>
      <c r="AB649" s="62" t="str">
        <f t="shared" si="6"/>
        <v/>
      </c>
      <c r="AC649" s="62" t="str">
        <f t="array" ref="AC649">IF(AH649&lt;&gt;"COMPRAR","",IF(MAX(INDEX(Ventas!$G$2:$G$5000,MATCH($A649,Ventas!$A$2:$A$5000,0)),INDEX(Ventas!$H$2:$H$5000,MATCH($A649,Ventas!$A$2:$A$5000,0)),INDEX(Ventas!$I$2:$I$5000,MATCH($A649,Ventas!$A$2:$A$5000,0)),INDEX(Ventas!$J$2:$J$5000,MATCH($A649,Ventas!$A$2:$A$5000,0)))&gt;0.5*AF649*4,"1 mes = "&amp;TEXT(MAX(INDEX(Ventas!$G$2:$G$5000,MATCH($A649,Ventas!$A$2:$A$5000,0)),INDEX(Ventas!$H$2:$H$5000,MATCH($A649,Ventas!$A$2:$A$5000,0)),INDEX(Ventas!$I$2:$I$5000,MATCH($A649,Ventas!$A$2:$A$5000,0)),INDEX(Ventas!$J$2:$J$5000,MATCH($A649,Ventas!$A$2:$A$5000,0)))/(AF649*4),"0%")&amp;" de 4 meses",""))</f>
        <v>1 mes = 100% de 4 meses</v>
      </c>
      <c r="AD649" s="62" t="str">
        <f t="shared" si="7"/>
        <v/>
      </c>
      <c r="AE649" s="62" t="str">
        <f t="array" ref="AE649">IF(X649="","",IF(AND(E649=0,AVERAGE(INDEX(Ventas!$C$2:$I$5000,MATCH($A649,Ventas!$A$2:$A$5000,0),0))&gt;0,INDEX(Ventas!$J$2:$J$5000,MATCH($A649,Ventas!$A$2:$A$5000,0))&lt;0.5*AVERAGE(INDEX(Ventas!$C$2:$I$5000,MATCH($A649,Ventas!$A$2:$A$5000,0),0))),"SÍ — stock 0 y Sep cayó (prom Feb-Ago "&amp;TEXT(AVERAGE(INDEX(Ventas!$C$2:$I$5000,MATCH($A649,Ventas!$A$2:$A$5000,0),0)),"#,##0")&amp;")",""))</f>
        <v/>
      </c>
      <c r="AF649" s="60">
        <f t="array" ref="AF649">IF(X649="","",IF(AE649&lt;&gt;"",MAX(X649,AVERAGE(INDEX(Ventas!$C$2:$I$5000,MATCH($A649,Ventas!$A$2:$A$5000,0),0))),X649))</f>
        <v>15</v>
      </c>
      <c r="AG649" s="60">
        <f t="shared" si="8"/>
        <v>50</v>
      </c>
      <c r="AH649" s="63" t="str">
        <f t="shared" si="9"/>
        <v>COMPRAR</v>
      </c>
    </row>
    <row r="650" ht="13.5" customHeight="1">
      <c r="A650" s="64" t="s">
        <v>128</v>
      </c>
      <c r="B650" s="65" t="s">
        <v>3981</v>
      </c>
      <c r="C650" s="65"/>
      <c r="D650" s="65" t="s">
        <v>3985</v>
      </c>
      <c r="E650" s="51">
        <v>10.0</v>
      </c>
      <c r="F650" s="66"/>
      <c r="G650" s="53"/>
      <c r="H650" s="55"/>
      <c r="I650" s="55"/>
      <c r="J650" s="53"/>
      <c r="K650" s="53"/>
      <c r="L650" s="55"/>
      <c r="M650" s="53"/>
      <c r="N650" s="73"/>
      <c r="O650" s="57" t="str">
        <f t="shared" si="1"/>
        <v>COMPRAR — faltan 30 m para 4 meses</v>
      </c>
      <c r="P650" s="58">
        <f t="shared" si="2"/>
        <v>10</v>
      </c>
      <c r="Q650" s="1"/>
      <c r="R650" s="1"/>
      <c r="S650" s="1"/>
      <c r="T650" s="1"/>
      <c r="U650" s="1"/>
      <c r="V650" s="1"/>
      <c r="W650" s="1"/>
      <c r="X650" s="60">
        <f>IFERROR(VLOOKUP($A650,Ventas!$A$2:$L$5000,12,FALSE()),"")</f>
        <v>10</v>
      </c>
      <c r="Y650" s="60">
        <f t="shared" si="3"/>
        <v>40</v>
      </c>
      <c r="Z650" s="61">
        <f t="shared" si="4"/>
        <v>1</v>
      </c>
      <c r="AA650" s="60">
        <f t="shared" si="5"/>
        <v>30</v>
      </c>
      <c r="AB650" s="62" t="str">
        <f t="shared" si="6"/>
        <v/>
      </c>
      <c r="AC650" s="62" t="str">
        <f t="array" ref="AC650">IF(AH650&lt;&gt;"COMPRAR","",IF(MAX(INDEX(Ventas!$G$2:$G$5000,MATCH($A650,Ventas!$A$2:$A$5000,0)),INDEX(Ventas!$H$2:$H$5000,MATCH($A650,Ventas!$A$2:$A$5000,0)),INDEX(Ventas!$I$2:$I$5000,MATCH($A650,Ventas!$A$2:$A$5000,0)),INDEX(Ventas!$J$2:$J$5000,MATCH($A650,Ventas!$A$2:$A$5000,0)))&gt;0.5*AF650*4,"1 mes = "&amp;TEXT(MAX(INDEX(Ventas!$G$2:$G$5000,MATCH($A650,Ventas!$A$2:$A$5000,0)),INDEX(Ventas!$H$2:$H$5000,MATCH($A650,Ventas!$A$2:$A$5000,0)),INDEX(Ventas!$I$2:$I$5000,MATCH($A650,Ventas!$A$2:$A$5000,0)),INDEX(Ventas!$J$2:$J$5000,MATCH($A650,Ventas!$A$2:$A$5000,0)))/(AF650*4),"0%")&amp;" de 4 meses",""))</f>
        <v>1 mes = 100% de 4 meses</v>
      </c>
      <c r="AD650" s="62" t="str">
        <f t="shared" si="7"/>
        <v/>
      </c>
      <c r="AE650" s="62" t="str">
        <f t="array" ref="AE650">IF(X650="","",IF(AND(E650=0,AVERAGE(INDEX(Ventas!$C$2:$I$5000,MATCH($A650,Ventas!$A$2:$A$5000,0),0))&gt;0,INDEX(Ventas!$J$2:$J$5000,MATCH($A650,Ventas!$A$2:$A$5000,0))&lt;0.5*AVERAGE(INDEX(Ventas!$C$2:$I$5000,MATCH($A650,Ventas!$A$2:$A$5000,0),0))),"SÍ — stock 0 y Sep cayó (prom Feb-Ago "&amp;TEXT(AVERAGE(INDEX(Ventas!$C$2:$I$5000,MATCH($A650,Ventas!$A$2:$A$5000,0),0)),"#,##0")&amp;")",""))</f>
        <v/>
      </c>
      <c r="AF650" s="60">
        <f t="array" ref="AF650">IF(X650="","",IF(AE650&lt;&gt;"",MAX(X650,AVERAGE(INDEX(Ventas!$C$2:$I$5000,MATCH($A650,Ventas!$A$2:$A$5000,0),0))),X650))</f>
        <v>10</v>
      </c>
      <c r="AG650" s="60">
        <f t="shared" si="8"/>
        <v>30</v>
      </c>
      <c r="AH650" s="63" t="str">
        <f t="shared" si="9"/>
        <v>COMPRAR</v>
      </c>
    </row>
    <row r="651" ht="13.5" customHeight="1">
      <c r="A651" s="87"/>
      <c r="B651" s="50" t="s">
        <v>3986</v>
      </c>
      <c r="C651" s="50"/>
      <c r="D651" s="50" t="s">
        <v>3756</v>
      </c>
      <c r="E651" s="51">
        <v>0.0</v>
      </c>
      <c r="F651" s="52"/>
      <c r="G651" s="53"/>
      <c r="H651" s="69">
        <v>40000.0</v>
      </c>
      <c r="I651" s="55"/>
      <c r="J651" s="53"/>
      <c r="K651" s="53"/>
      <c r="L651" s="55"/>
      <c r="M651" s="53"/>
      <c r="N651" s="74"/>
      <c r="O651" s="57" t="str">
        <f t="shared" si="1"/>
        <v>SIN SKU — cargar código para calcular</v>
      </c>
      <c r="P651" s="58">
        <f t="shared" si="2"/>
        <v>40000</v>
      </c>
      <c r="Q651" s="1"/>
      <c r="R651" s="1"/>
      <c r="S651" s="1"/>
      <c r="T651" s="1"/>
      <c r="U651" s="1"/>
      <c r="V651" s="1"/>
      <c r="W651" s="1"/>
      <c r="X651" s="60" t="str">
        <f>IFERROR(VLOOKUP($A651,Ventas!$A$2:$L$5000,12,FALSE()),"")</f>
        <v/>
      </c>
      <c r="Y651" s="60" t="str">
        <f t="shared" si="3"/>
        <v/>
      </c>
      <c r="Z651" s="61" t="str">
        <f t="shared" si="4"/>
        <v/>
      </c>
      <c r="AA651" s="60" t="str">
        <f t="shared" si="5"/>
        <v/>
      </c>
      <c r="AB651" s="62" t="str">
        <f t="shared" si="6"/>
        <v/>
      </c>
      <c r="AC651" s="62" t="str">
        <f t="array" ref="AC651">IF(AH651&lt;&gt;"COMPRAR","",IF(MAX(INDEX(Ventas!$G$2:$G$5000,MATCH($A651,Ventas!$A$2:$A$5000,0)),INDEX(Ventas!$H$2:$H$5000,MATCH($A651,Ventas!$A$2:$A$5000,0)),INDEX(Ventas!$I$2:$I$5000,MATCH($A651,Ventas!$A$2:$A$5000,0)),INDEX(Ventas!$J$2:$J$5000,MATCH($A651,Ventas!$A$2:$A$5000,0)))&gt;0.5*AF651*4,"1 mes = "&amp;TEXT(MAX(INDEX(Ventas!$G$2:$G$5000,MATCH($A651,Ventas!$A$2:$A$5000,0)),INDEX(Ventas!$H$2:$H$5000,MATCH($A651,Ventas!$A$2:$A$5000,0)),INDEX(Ventas!$I$2:$I$5000,MATCH($A651,Ventas!$A$2:$A$5000,0)),INDEX(Ventas!$J$2:$J$5000,MATCH($A651,Ventas!$A$2:$A$5000,0)))/(AF651*4),"0%")&amp;" de 4 meses",""))</f>
        <v/>
      </c>
      <c r="AD651" s="62" t="str">
        <f t="shared" si="7"/>
        <v/>
      </c>
      <c r="AE651" s="62" t="str">
        <f t="array" ref="AE651">IF(X651="","",IF(AND(E651=0,AVERAGE(INDEX(Ventas!$C$2:$I$5000,MATCH($A651,Ventas!$A$2:$A$5000,0),0))&gt;0,INDEX(Ventas!$J$2:$J$5000,MATCH($A651,Ventas!$A$2:$A$5000,0))&lt;0.5*AVERAGE(INDEX(Ventas!$C$2:$I$5000,MATCH($A651,Ventas!$A$2:$A$5000,0),0))),"SÍ — stock 0 y Sep cayó (prom Feb-Ago "&amp;TEXT(AVERAGE(INDEX(Ventas!$C$2:$I$5000,MATCH($A651,Ventas!$A$2:$A$5000,0),0)),"#,##0")&amp;")",""))</f>
        <v/>
      </c>
      <c r="AF651" s="60" t="str">
        <f t="array" ref="AF651">IF(X651="","",IF(AE651&lt;&gt;"",MAX(X651,AVERAGE(INDEX(Ventas!$C$2:$I$5000,MATCH($A651,Ventas!$A$2:$A$5000,0),0))),X651))</f>
        <v/>
      </c>
      <c r="AG651" s="60" t="str">
        <f t="shared" si="8"/>
        <v/>
      </c>
      <c r="AH651" s="63" t="str">
        <f t="shared" si="9"/>
        <v/>
      </c>
    </row>
    <row r="652" ht="13.5" customHeight="1">
      <c r="A652" s="87"/>
      <c r="B652" s="65" t="s">
        <v>3986</v>
      </c>
      <c r="C652" s="65"/>
      <c r="D652" s="65" t="s">
        <v>3743</v>
      </c>
      <c r="E652" s="51">
        <v>0.0</v>
      </c>
      <c r="F652" s="66"/>
      <c r="G652" s="53"/>
      <c r="H652" s="69">
        <v>40000.0</v>
      </c>
      <c r="I652" s="55"/>
      <c r="J652" s="53"/>
      <c r="K652" s="53"/>
      <c r="L652" s="55"/>
      <c r="M652" s="53"/>
      <c r="N652" s="73"/>
      <c r="O652" s="57" t="str">
        <f t="shared" si="1"/>
        <v>SIN SKU — cargar código para calcular</v>
      </c>
      <c r="P652" s="58">
        <f t="shared" si="2"/>
        <v>40000</v>
      </c>
      <c r="Q652" s="1"/>
      <c r="R652" s="1"/>
      <c r="S652" s="1"/>
      <c r="T652" s="1"/>
      <c r="U652" s="1"/>
      <c r="V652" s="1"/>
      <c r="W652" s="1"/>
      <c r="X652" s="60" t="str">
        <f>IFERROR(VLOOKUP($A652,Ventas!$A$2:$L$5000,12,FALSE()),"")</f>
        <v/>
      </c>
      <c r="Y652" s="60" t="str">
        <f t="shared" si="3"/>
        <v/>
      </c>
      <c r="Z652" s="61" t="str">
        <f t="shared" si="4"/>
        <v/>
      </c>
      <c r="AA652" s="60" t="str">
        <f t="shared" si="5"/>
        <v/>
      </c>
      <c r="AB652" s="62" t="str">
        <f t="shared" si="6"/>
        <v/>
      </c>
      <c r="AC652" s="62" t="str">
        <f t="array" ref="AC652">IF(AH652&lt;&gt;"COMPRAR","",IF(MAX(INDEX(Ventas!$G$2:$G$5000,MATCH($A652,Ventas!$A$2:$A$5000,0)),INDEX(Ventas!$H$2:$H$5000,MATCH($A652,Ventas!$A$2:$A$5000,0)),INDEX(Ventas!$I$2:$I$5000,MATCH($A652,Ventas!$A$2:$A$5000,0)),INDEX(Ventas!$J$2:$J$5000,MATCH($A652,Ventas!$A$2:$A$5000,0)))&gt;0.5*AF652*4,"1 mes = "&amp;TEXT(MAX(INDEX(Ventas!$G$2:$G$5000,MATCH($A652,Ventas!$A$2:$A$5000,0)),INDEX(Ventas!$H$2:$H$5000,MATCH($A652,Ventas!$A$2:$A$5000,0)),INDEX(Ventas!$I$2:$I$5000,MATCH($A652,Ventas!$A$2:$A$5000,0)),INDEX(Ventas!$J$2:$J$5000,MATCH($A652,Ventas!$A$2:$A$5000,0)))/(AF652*4),"0%")&amp;" de 4 meses",""))</f>
        <v/>
      </c>
      <c r="AD652" s="62" t="str">
        <f t="shared" si="7"/>
        <v/>
      </c>
      <c r="AE652" s="62" t="str">
        <f t="array" ref="AE652">IF(X652="","",IF(AND(E652=0,AVERAGE(INDEX(Ventas!$C$2:$I$5000,MATCH($A652,Ventas!$A$2:$A$5000,0),0))&gt;0,INDEX(Ventas!$J$2:$J$5000,MATCH($A652,Ventas!$A$2:$A$5000,0))&lt;0.5*AVERAGE(INDEX(Ventas!$C$2:$I$5000,MATCH($A652,Ventas!$A$2:$A$5000,0),0))),"SÍ — stock 0 y Sep cayó (prom Feb-Ago "&amp;TEXT(AVERAGE(INDEX(Ventas!$C$2:$I$5000,MATCH($A652,Ventas!$A$2:$A$5000,0),0)),"#,##0")&amp;")",""))</f>
        <v/>
      </c>
      <c r="AF652" s="60" t="str">
        <f t="array" ref="AF652">IF(X652="","",IF(AE652&lt;&gt;"",MAX(X652,AVERAGE(INDEX(Ventas!$C$2:$I$5000,MATCH($A652,Ventas!$A$2:$A$5000,0),0))),X652))</f>
        <v/>
      </c>
      <c r="AG652" s="60" t="str">
        <f t="shared" si="8"/>
        <v/>
      </c>
      <c r="AH652" s="63" t="str">
        <f t="shared" si="9"/>
        <v/>
      </c>
    </row>
    <row r="653" ht="13.5" customHeight="1">
      <c r="A653" s="87"/>
      <c r="B653" s="50" t="s">
        <v>3986</v>
      </c>
      <c r="C653" s="50"/>
      <c r="D653" s="50" t="s">
        <v>3758</v>
      </c>
      <c r="E653" s="51">
        <v>0.0</v>
      </c>
      <c r="F653" s="52"/>
      <c r="G653" s="53"/>
      <c r="H653" s="69">
        <v>10000.0</v>
      </c>
      <c r="I653" s="55"/>
      <c r="J653" s="53"/>
      <c r="K653" s="53"/>
      <c r="L653" s="55"/>
      <c r="M653" s="53"/>
      <c r="N653" s="74"/>
      <c r="O653" s="57" t="str">
        <f t="shared" si="1"/>
        <v>SIN SKU — cargar código para calcular</v>
      </c>
      <c r="P653" s="58">
        <f t="shared" si="2"/>
        <v>10000</v>
      </c>
      <c r="Q653" s="1"/>
      <c r="R653" s="1"/>
      <c r="S653" s="1"/>
      <c r="T653" s="1"/>
      <c r="U653" s="1"/>
      <c r="V653" s="1"/>
      <c r="W653" s="1"/>
      <c r="X653" s="60" t="str">
        <f>IFERROR(VLOOKUP($A653,Ventas!$A$2:$L$5000,12,FALSE()),"")</f>
        <v/>
      </c>
      <c r="Y653" s="60" t="str">
        <f t="shared" si="3"/>
        <v/>
      </c>
      <c r="Z653" s="61" t="str">
        <f t="shared" si="4"/>
        <v/>
      </c>
      <c r="AA653" s="60" t="str">
        <f t="shared" si="5"/>
        <v/>
      </c>
      <c r="AB653" s="62" t="str">
        <f t="shared" si="6"/>
        <v/>
      </c>
      <c r="AC653" s="62" t="str">
        <f t="array" ref="AC653">IF(AH653&lt;&gt;"COMPRAR","",IF(MAX(INDEX(Ventas!$G$2:$G$5000,MATCH($A653,Ventas!$A$2:$A$5000,0)),INDEX(Ventas!$H$2:$H$5000,MATCH($A653,Ventas!$A$2:$A$5000,0)),INDEX(Ventas!$I$2:$I$5000,MATCH($A653,Ventas!$A$2:$A$5000,0)),INDEX(Ventas!$J$2:$J$5000,MATCH($A653,Ventas!$A$2:$A$5000,0)))&gt;0.5*AF653*4,"1 mes = "&amp;TEXT(MAX(INDEX(Ventas!$G$2:$G$5000,MATCH($A653,Ventas!$A$2:$A$5000,0)),INDEX(Ventas!$H$2:$H$5000,MATCH($A653,Ventas!$A$2:$A$5000,0)),INDEX(Ventas!$I$2:$I$5000,MATCH($A653,Ventas!$A$2:$A$5000,0)),INDEX(Ventas!$J$2:$J$5000,MATCH($A653,Ventas!$A$2:$A$5000,0)))/(AF653*4),"0%")&amp;" de 4 meses",""))</f>
        <v/>
      </c>
      <c r="AD653" s="62" t="str">
        <f t="shared" si="7"/>
        <v/>
      </c>
      <c r="AE653" s="62" t="str">
        <f t="array" ref="AE653">IF(X653="","",IF(AND(E653=0,AVERAGE(INDEX(Ventas!$C$2:$I$5000,MATCH($A653,Ventas!$A$2:$A$5000,0),0))&gt;0,INDEX(Ventas!$J$2:$J$5000,MATCH($A653,Ventas!$A$2:$A$5000,0))&lt;0.5*AVERAGE(INDEX(Ventas!$C$2:$I$5000,MATCH($A653,Ventas!$A$2:$A$5000,0),0))),"SÍ — stock 0 y Sep cayó (prom Feb-Ago "&amp;TEXT(AVERAGE(INDEX(Ventas!$C$2:$I$5000,MATCH($A653,Ventas!$A$2:$A$5000,0),0)),"#,##0")&amp;")",""))</f>
        <v/>
      </c>
      <c r="AF653" s="60" t="str">
        <f t="array" ref="AF653">IF(X653="","",IF(AE653&lt;&gt;"",MAX(X653,AVERAGE(INDEX(Ventas!$C$2:$I$5000,MATCH($A653,Ventas!$A$2:$A$5000,0),0))),X653))</f>
        <v/>
      </c>
      <c r="AG653" s="60" t="str">
        <f t="shared" si="8"/>
        <v/>
      </c>
      <c r="AH653" s="63" t="str">
        <f t="shared" si="9"/>
        <v/>
      </c>
    </row>
    <row r="654" ht="13.5" customHeight="1">
      <c r="A654" s="64" t="s">
        <v>1922</v>
      </c>
      <c r="B654" s="65" t="s">
        <v>3987</v>
      </c>
      <c r="C654" s="65" t="s">
        <v>3988</v>
      </c>
      <c r="D654" s="65" t="s">
        <v>1329</v>
      </c>
      <c r="E654" s="51">
        <v>0.0</v>
      </c>
      <c r="F654" s="66"/>
      <c r="G654" s="53"/>
      <c r="H654" s="55"/>
      <c r="I654" s="55"/>
      <c r="J654" s="53"/>
      <c r="K654" s="53"/>
      <c r="L654" s="55"/>
      <c r="M654" s="53"/>
      <c r="N654" s="73"/>
      <c r="O654" s="57" t="str">
        <f t="shared" si="1"/>
        <v>SIN VENTAS Jun-Sep — no comprar</v>
      </c>
      <c r="P654" s="58">
        <f t="shared" si="2"/>
        <v>0</v>
      </c>
      <c r="Q654" s="1"/>
      <c r="R654" s="1"/>
      <c r="S654" s="1"/>
      <c r="T654" s="1"/>
      <c r="U654" s="1"/>
      <c r="V654" s="1"/>
      <c r="W654" s="1"/>
      <c r="X654" s="60">
        <f>IFERROR(VLOOKUP($A654,Ventas!$A$2:$L$5000,12,FALSE()),"")</f>
        <v>0</v>
      </c>
      <c r="Y654" s="60">
        <f t="shared" si="3"/>
        <v>0</v>
      </c>
      <c r="Z654" s="61" t="str">
        <f t="shared" si="4"/>
        <v/>
      </c>
      <c r="AA654" s="60">
        <f t="shared" si="5"/>
        <v>0</v>
      </c>
      <c r="AB654" s="62" t="str">
        <f t="shared" si="6"/>
        <v/>
      </c>
      <c r="AC654" s="62" t="str">
        <f t="array" ref="AC654">IF(AH654&lt;&gt;"COMPRAR","",IF(MAX(INDEX(Ventas!$G$2:$G$5000,MATCH($A654,Ventas!$A$2:$A$5000,0)),INDEX(Ventas!$H$2:$H$5000,MATCH($A654,Ventas!$A$2:$A$5000,0)),INDEX(Ventas!$I$2:$I$5000,MATCH($A654,Ventas!$A$2:$A$5000,0)),INDEX(Ventas!$J$2:$J$5000,MATCH($A654,Ventas!$A$2:$A$5000,0)))&gt;0.5*AF654*4,"1 mes = "&amp;TEXT(MAX(INDEX(Ventas!$G$2:$G$5000,MATCH($A654,Ventas!$A$2:$A$5000,0)),INDEX(Ventas!$H$2:$H$5000,MATCH($A654,Ventas!$A$2:$A$5000,0)),INDEX(Ventas!$I$2:$I$5000,MATCH($A654,Ventas!$A$2:$A$5000,0)),INDEX(Ventas!$J$2:$J$5000,MATCH($A654,Ventas!$A$2:$A$5000,0)))/(AF654*4),"0%")&amp;" de 4 meses",""))</f>
        <v/>
      </c>
      <c r="AD654" s="62" t="str">
        <f t="shared" si="7"/>
        <v/>
      </c>
      <c r="AE654" s="62" t="str">
        <f t="array" ref="AE654">IF(X654="","",IF(AND(E654=0,AVERAGE(INDEX(Ventas!$C$2:$I$5000,MATCH($A654,Ventas!$A$2:$A$5000,0),0))&gt;0,INDEX(Ventas!$J$2:$J$5000,MATCH($A654,Ventas!$A$2:$A$5000,0))&lt;0.5*AVERAGE(INDEX(Ventas!$C$2:$I$5000,MATCH($A654,Ventas!$A$2:$A$5000,0),0))),"SÍ — stock 0 y Sep cayó (prom Feb-Ago "&amp;TEXT(AVERAGE(INDEX(Ventas!$C$2:$I$5000,MATCH($A654,Ventas!$A$2:$A$5000,0),0)),"#,##0")&amp;")",""))</f>
        <v>SÍ — stock 0 y Sep cayó (prom Feb-Ago 707)</v>
      </c>
      <c r="AF654" s="60">
        <f t="array" ref="AF654">IF(X654="","",IF(AE654&lt;&gt;"",MAX(X654,AVERAGE(INDEX(Ventas!$C$2:$I$5000,MATCH($A654,Ventas!$A$2:$A$5000,0),0))),X654))</f>
        <v>706.8571429</v>
      </c>
      <c r="AG654" s="60">
        <f t="shared" si="8"/>
        <v>2827</v>
      </c>
      <c r="AH654" s="63" t="str">
        <f t="shared" si="9"/>
        <v>COMPRAR</v>
      </c>
    </row>
    <row r="655" ht="13.5" customHeight="1">
      <c r="A655" s="49" t="s">
        <v>1916</v>
      </c>
      <c r="B655" s="50" t="s">
        <v>3987</v>
      </c>
      <c r="C655" s="50" t="s">
        <v>3988</v>
      </c>
      <c r="D655" s="50" t="s">
        <v>3870</v>
      </c>
      <c r="E655" s="51">
        <v>0.0</v>
      </c>
      <c r="F655" s="52"/>
      <c r="G655" s="53"/>
      <c r="H655" s="55"/>
      <c r="I655" s="55"/>
      <c r="J655" s="53"/>
      <c r="K655" s="53"/>
      <c r="L655" s="55"/>
      <c r="M655" s="53"/>
      <c r="N655" s="74"/>
      <c r="O655" s="57" t="str">
        <f t="shared" si="1"/>
        <v>SIN VENTAS Jun-Sep — no comprar</v>
      </c>
      <c r="P655" s="58">
        <f t="shared" si="2"/>
        <v>0</v>
      </c>
      <c r="Q655" s="1"/>
      <c r="R655" s="1"/>
      <c r="S655" s="1"/>
      <c r="T655" s="1"/>
      <c r="U655" s="1"/>
      <c r="V655" s="1"/>
      <c r="W655" s="1"/>
      <c r="X655" s="60">
        <f>IFERROR(VLOOKUP($A655,Ventas!$A$2:$L$5000,12,FALSE()),"")</f>
        <v>0</v>
      </c>
      <c r="Y655" s="60">
        <f t="shared" si="3"/>
        <v>0</v>
      </c>
      <c r="Z655" s="61" t="str">
        <f t="shared" si="4"/>
        <v/>
      </c>
      <c r="AA655" s="60">
        <f t="shared" si="5"/>
        <v>0</v>
      </c>
      <c r="AB655" s="62" t="str">
        <f t="shared" si="6"/>
        <v/>
      </c>
      <c r="AC655" s="62" t="str">
        <f t="array" ref="AC655">IF(AH655&lt;&gt;"COMPRAR","",IF(MAX(INDEX(Ventas!$G$2:$G$5000,MATCH($A655,Ventas!$A$2:$A$5000,0)),INDEX(Ventas!$H$2:$H$5000,MATCH($A655,Ventas!$A$2:$A$5000,0)),INDEX(Ventas!$I$2:$I$5000,MATCH($A655,Ventas!$A$2:$A$5000,0)),INDEX(Ventas!$J$2:$J$5000,MATCH($A655,Ventas!$A$2:$A$5000,0)))&gt;0.5*AF655*4,"1 mes = "&amp;TEXT(MAX(INDEX(Ventas!$G$2:$G$5000,MATCH($A655,Ventas!$A$2:$A$5000,0)),INDEX(Ventas!$H$2:$H$5000,MATCH($A655,Ventas!$A$2:$A$5000,0)),INDEX(Ventas!$I$2:$I$5000,MATCH($A655,Ventas!$A$2:$A$5000,0)),INDEX(Ventas!$J$2:$J$5000,MATCH($A655,Ventas!$A$2:$A$5000,0)))/(AF655*4),"0%")&amp;" de 4 meses",""))</f>
        <v/>
      </c>
      <c r="AD655" s="62" t="str">
        <f t="shared" si="7"/>
        <v/>
      </c>
      <c r="AE655" s="62" t="str">
        <f t="array" ref="AE655">IF(X655="","",IF(AND(E655=0,AVERAGE(INDEX(Ventas!$C$2:$I$5000,MATCH($A655,Ventas!$A$2:$A$5000,0),0))&gt;0,INDEX(Ventas!$J$2:$J$5000,MATCH($A655,Ventas!$A$2:$A$5000,0))&lt;0.5*AVERAGE(INDEX(Ventas!$C$2:$I$5000,MATCH($A655,Ventas!$A$2:$A$5000,0),0))),"SÍ — stock 0 y Sep cayó (prom Feb-Ago "&amp;TEXT(AVERAGE(INDEX(Ventas!$C$2:$I$5000,MATCH($A655,Ventas!$A$2:$A$5000,0),0)),"#,##0")&amp;")",""))</f>
        <v/>
      </c>
      <c r="AF655" s="60">
        <f t="array" ref="AF655">IF(X655="","",IF(AE655&lt;&gt;"",MAX(X655,AVERAGE(INDEX(Ventas!$C$2:$I$5000,MATCH($A655,Ventas!$A$2:$A$5000,0),0))),X655))</f>
        <v>0</v>
      </c>
      <c r="AG655" s="60">
        <f t="shared" si="8"/>
        <v>0</v>
      </c>
      <c r="AH655" s="63" t="str">
        <f t="shared" si="9"/>
        <v>SIN VENTAS</v>
      </c>
    </row>
    <row r="656" ht="13.5" customHeight="1">
      <c r="A656" s="64" t="s">
        <v>1914</v>
      </c>
      <c r="B656" s="65" t="s">
        <v>3987</v>
      </c>
      <c r="C656" s="65" t="s">
        <v>3988</v>
      </c>
      <c r="D656" s="65" t="s">
        <v>3654</v>
      </c>
      <c r="E656" s="51">
        <v>0.0</v>
      </c>
      <c r="F656" s="66"/>
      <c r="G656" s="53"/>
      <c r="H656" s="55"/>
      <c r="I656" s="55"/>
      <c r="J656" s="53"/>
      <c r="K656" s="53"/>
      <c r="L656" s="55"/>
      <c r="M656" s="53"/>
      <c r="N656" s="73"/>
      <c r="O656" s="57" t="str">
        <f t="shared" si="1"/>
        <v>SIN VENTAS Jun-Sep — no comprar</v>
      </c>
      <c r="P656" s="58">
        <f t="shared" si="2"/>
        <v>0</v>
      </c>
      <c r="Q656" s="1"/>
      <c r="R656" s="1"/>
      <c r="S656" s="1"/>
      <c r="T656" s="1"/>
      <c r="U656" s="1"/>
      <c r="V656" s="1"/>
      <c r="W656" s="1"/>
      <c r="X656" s="60">
        <f>IFERROR(VLOOKUP($A656,Ventas!$A$2:$L$5000,12,FALSE()),"")</f>
        <v>0</v>
      </c>
      <c r="Y656" s="60">
        <f t="shared" si="3"/>
        <v>0</v>
      </c>
      <c r="Z656" s="61" t="str">
        <f t="shared" si="4"/>
        <v/>
      </c>
      <c r="AA656" s="60">
        <f t="shared" si="5"/>
        <v>0</v>
      </c>
      <c r="AB656" s="62" t="str">
        <f t="shared" si="6"/>
        <v/>
      </c>
      <c r="AC656" s="62" t="str">
        <f t="array" ref="AC656">IF(AH656&lt;&gt;"COMPRAR","",IF(MAX(INDEX(Ventas!$G$2:$G$5000,MATCH($A656,Ventas!$A$2:$A$5000,0)),INDEX(Ventas!$H$2:$H$5000,MATCH($A656,Ventas!$A$2:$A$5000,0)),INDEX(Ventas!$I$2:$I$5000,MATCH($A656,Ventas!$A$2:$A$5000,0)),INDEX(Ventas!$J$2:$J$5000,MATCH($A656,Ventas!$A$2:$A$5000,0)))&gt;0.5*AF656*4,"1 mes = "&amp;TEXT(MAX(INDEX(Ventas!$G$2:$G$5000,MATCH($A656,Ventas!$A$2:$A$5000,0)),INDEX(Ventas!$H$2:$H$5000,MATCH($A656,Ventas!$A$2:$A$5000,0)),INDEX(Ventas!$I$2:$I$5000,MATCH($A656,Ventas!$A$2:$A$5000,0)),INDEX(Ventas!$J$2:$J$5000,MATCH($A656,Ventas!$A$2:$A$5000,0)))/(AF656*4),"0%")&amp;" de 4 meses",""))</f>
        <v/>
      </c>
      <c r="AD656" s="62" t="str">
        <f t="shared" si="7"/>
        <v/>
      </c>
      <c r="AE656" s="62" t="str">
        <f t="array" ref="AE656">IF(X656="","",IF(AND(E656=0,AVERAGE(INDEX(Ventas!$C$2:$I$5000,MATCH($A656,Ventas!$A$2:$A$5000,0),0))&gt;0,INDEX(Ventas!$J$2:$J$5000,MATCH($A656,Ventas!$A$2:$A$5000,0))&lt;0.5*AVERAGE(INDEX(Ventas!$C$2:$I$5000,MATCH($A656,Ventas!$A$2:$A$5000,0),0))),"SÍ — stock 0 y Sep cayó (prom Feb-Ago "&amp;TEXT(AVERAGE(INDEX(Ventas!$C$2:$I$5000,MATCH($A656,Ventas!$A$2:$A$5000,0),0)),"#,##0")&amp;")",""))</f>
        <v>SÍ — stock 0 y Sep cayó (prom Feb-Ago 125)</v>
      </c>
      <c r="AF656" s="60">
        <f t="array" ref="AF656">IF(X656="","",IF(AE656&lt;&gt;"",MAX(X656,AVERAGE(INDEX(Ventas!$C$2:$I$5000,MATCH($A656,Ventas!$A$2:$A$5000,0),0))),X656))</f>
        <v>124.7142857</v>
      </c>
      <c r="AG656" s="60">
        <f t="shared" si="8"/>
        <v>499</v>
      </c>
      <c r="AH656" s="63" t="str">
        <f t="shared" si="9"/>
        <v>COMPRAR</v>
      </c>
    </row>
    <row r="657" ht="13.5" customHeight="1">
      <c r="A657" s="49" t="s">
        <v>1912</v>
      </c>
      <c r="B657" s="50" t="s">
        <v>3987</v>
      </c>
      <c r="C657" s="50" t="s">
        <v>3989</v>
      </c>
      <c r="D657" s="50" t="s">
        <v>1329</v>
      </c>
      <c r="E657" s="51">
        <v>8829.0</v>
      </c>
      <c r="F657" s="52"/>
      <c r="G657" s="53"/>
      <c r="H657" s="55"/>
      <c r="I657" s="55"/>
      <c r="J657" s="53"/>
      <c r="K657" s="53"/>
      <c r="L657" s="55"/>
      <c r="M657" s="53"/>
      <c r="N657" s="74"/>
      <c r="O657" s="57" t="str">
        <f t="shared" si="1"/>
        <v>OK — cubierto (4.1 meses)</v>
      </c>
      <c r="P657" s="58">
        <f t="shared" si="2"/>
        <v>8829</v>
      </c>
      <c r="Q657" s="1"/>
      <c r="R657" s="1"/>
      <c r="S657" s="1"/>
      <c r="T657" s="1"/>
      <c r="U657" s="1"/>
      <c r="V657" s="1"/>
      <c r="W657" s="1"/>
      <c r="X657" s="60">
        <f>IFERROR(VLOOKUP($A657,Ventas!$A$2:$L$5000,12,FALSE()),"")</f>
        <v>2158</v>
      </c>
      <c r="Y657" s="60">
        <f t="shared" si="3"/>
        <v>8632</v>
      </c>
      <c r="Z657" s="61">
        <f t="shared" si="4"/>
        <v>4.1</v>
      </c>
      <c r="AA657" s="60">
        <f t="shared" si="5"/>
        <v>-197</v>
      </c>
      <c r="AB657" s="62" t="str">
        <f t="shared" si="6"/>
        <v/>
      </c>
      <c r="AC657" s="62" t="str">
        <f t="array" ref="AC657">IF(AH657&lt;&gt;"COMPRAR","",IF(MAX(INDEX(Ventas!$G$2:$G$5000,MATCH($A657,Ventas!$A$2:$A$5000,0)),INDEX(Ventas!$H$2:$H$5000,MATCH($A657,Ventas!$A$2:$A$5000,0)),INDEX(Ventas!$I$2:$I$5000,MATCH($A657,Ventas!$A$2:$A$5000,0)),INDEX(Ventas!$J$2:$J$5000,MATCH($A657,Ventas!$A$2:$A$5000,0)))&gt;0.5*AF657*4,"1 mes = "&amp;TEXT(MAX(INDEX(Ventas!$G$2:$G$5000,MATCH($A657,Ventas!$A$2:$A$5000,0)),INDEX(Ventas!$H$2:$H$5000,MATCH($A657,Ventas!$A$2:$A$5000,0)),INDEX(Ventas!$I$2:$I$5000,MATCH($A657,Ventas!$A$2:$A$5000,0)),INDEX(Ventas!$J$2:$J$5000,MATCH($A657,Ventas!$A$2:$A$5000,0)))/(AF657*4),"0%")&amp;" de 4 meses",""))</f>
        <v/>
      </c>
      <c r="AD657" s="62" t="str">
        <f t="shared" si="7"/>
        <v/>
      </c>
      <c r="AE657" s="62" t="str">
        <f t="array" ref="AE657">IF(X657="","",IF(AND(E657=0,AVERAGE(INDEX(Ventas!$C$2:$I$5000,MATCH($A657,Ventas!$A$2:$A$5000,0),0))&gt;0,INDEX(Ventas!$J$2:$J$5000,MATCH($A657,Ventas!$A$2:$A$5000,0))&lt;0.5*AVERAGE(INDEX(Ventas!$C$2:$I$5000,MATCH($A657,Ventas!$A$2:$A$5000,0),0))),"SÍ — stock 0 y Sep cayó (prom Feb-Ago "&amp;TEXT(AVERAGE(INDEX(Ventas!$C$2:$I$5000,MATCH($A657,Ventas!$A$2:$A$5000,0),0)),"#,##0")&amp;")",""))</f>
        <v/>
      </c>
      <c r="AF657" s="60">
        <f t="array" ref="AF657">IF(X657="","",IF(AE657&lt;&gt;"",MAX(X657,AVERAGE(INDEX(Ventas!$C$2:$I$5000,MATCH($A657,Ventas!$A$2:$A$5000,0),0))),X657))</f>
        <v>2158</v>
      </c>
      <c r="AG657" s="60">
        <f t="shared" si="8"/>
        <v>-197</v>
      </c>
      <c r="AH657" s="63" t="str">
        <f t="shared" si="9"/>
        <v>OK</v>
      </c>
    </row>
    <row r="658" ht="13.5" customHeight="1">
      <c r="A658" s="64" t="s">
        <v>1906</v>
      </c>
      <c r="B658" s="65" t="s">
        <v>3987</v>
      </c>
      <c r="C658" s="65" t="s">
        <v>3989</v>
      </c>
      <c r="D658" s="65" t="s">
        <v>336</v>
      </c>
      <c r="E658" s="51">
        <v>0.0</v>
      </c>
      <c r="F658" s="66"/>
      <c r="G658" s="53"/>
      <c r="H658" s="91"/>
      <c r="I658" s="55"/>
      <c r="J658" s="53"/>
      <c r="K658" s="53"/>
      <c r="L658" s="55"/>
      <c r="M658" s="53"/>
      <c r="N658" s="73"/>
      <c r="O658" s="57" t="str">
        <f t="shared" si="1"/>
        <v>COMPRAR — faltan 1,019 m para 4 meses</v>
      </c>
      <c r="P658" s="58">
        <f t="shared" si="2"/>
        <v>0</v>
      </c>
      <c r="Q658" s="1"/>
      <c r="R658" s="1"/>
      <c r="S658" s="1"/>
      <c r="T658" s="1"/>
      <c r="U658" s="1"/>
      <c r="V658" s="1"/>
      <c r="W658" s="1"/>
      <c r="X658" s="60">
        <f>IFERROR(VLOOKUP($A658,Ventas!$A$2:$L$5000,12,FALSE()),"")</f>
        <v>254.75</v>
      </c>
      <c r="Y658" s="60">
        <f t="shared" si="3"/>
        <v>1019</v>
      </c>
      <c r="Z658" s="61">
        <f t="shared" si="4"/>
        <v>0</v>
      </c>
      <c r="AA658" s="60">
        <f t="shared" si="5"/>
        <v>1019</v>
      </c>
      <c r="AB658" s="62" t="str">
        <f t="shared" si="6"/>
        <v/>
      </c>
      <c r="AC658" s="62" t="str">
        <f t="array" ref="AC658">IF(AH658&lt;&gt;"COMPRAR","",IF(MAX(INDEX(Ventas!$G$2:$G$5000,MATCH($A658,Ventas!$A$2:$A$5000,0)),INDEX(Ventas!$H$2:$H$5000,MATCH($A658,Ventas!$A$2:$A$5000,0)),INDEX(Ventas!$I$2:$I$5000,MATCH($A658,Ventas!$A$2:$A$5000,0)),INDEX(Ventas!$J$2:$J$5000,MATCH($A658,Ventas!$A$2:$A$5000,0)))&gt;0.5*AF658*4,"1 mes = "&amp;TEXT(MAX(INDEX(Ventas!$G$2:$G$5000,MATCH($A658,Ventas!$A$2:$A$5000,0)),INDEX(Ventas!$H$2:$H$5000,MATCH($A658,Ventas!$A$2:$A$5000,0)),INDEX(Ventas!$I$2:$I$5000,MATCH($A658,Ventas!$A$2:$A$5000,0)),INDEX(Ventas!$J$2:$J$5000,MATCH($A658,Ventas!$A$2:$A$5000,0)))/(AF658*4),"0%")&amp;" de 4 meses",""))</f>
        <v>1 mes = 79% de 4 meses</v>
      </c>
      <c r="AD658" s="62" t="str">
        <f t="shared" si="7"/>
        <v>SÍ — 0 m vs 135 m</v>
      </c>
      <c r="AE658" s="62" t="str">
        <f t="array" ref="AE658">IF(X658="","",IF(AND(E658=0,AVERAGE(INDEX(Ventas!$C$2:$I$5000,MATCH($A658,Ventas!$A$2:$A$5000,0),0))&gt;0,INDEX(Ventas!$J$2:$J$5000,MATCH($A658,Ventas!$A$2:$A$5000,0))&lt;0.5*AVERAGE(INDEX(Ventas!$C$2:$I$5000,MATCH($A658,Ventas!$A$2:$A$5000,0),0))),"SÍ — stock 0 y Sep cayó (prom Feb-Ago "&amp;TEXT(AVERAGE(INDEX(Ventas!$C$2:$I$5000,MATCH($A658,Ventas!$A$2:$A$5000,0),0)),"#,##0")&amp;")",""))</f>
        <v>SÍ — stock 0 y Sep cayó (prom Feb-Ago 291)</v>
      </c>
      <c r="AF658" s="60">
        <f t="array" ref="AF658">IF(X658="","",IF(AE658&lt;&gt;"",MAX(X658,AVERAGE(INDEX(Ventas!$C$2:$I$5000,MATCH($A658,Ventas!$A$2:$A$5000,0),0))),X658))</f>
        <v>291</v>
      </c>
      <c r="AG658" s="60">
        <f t="shared" si="8"/>
        <v>1164</v>
      </c>
      <c r="AH658" s="63" t="str">
        <f t="shared" si="9"/>
        <v>COMPRAR</v>
      </c>
    </row>
    <row r="659" ht="13.5" customHeight="1">
      <c r="A659" s="49" t="s">
        <v>1904</v>
      </c>
      <c r="B659" s="50" t="s">
        <v>3987</v>
      </c>
      <c r="C659" s="50" t="s">
        <v>3989</v>
      </c>
      <c r="D659" s="50" t="s">
        <v>3654</v>
      </c>
      <c r="E659" s="51">
        <v>1995.0</v>
      </c>
      <c r="F659" s="52"/>
      <c r="G659" s="53"/>
      <c r="H659" s="91"/>
      <c r="I659" s="55"/>
      <c r="J659" s="53"/>
      <c r="K659" s="53"/>
      <c r="L659" s="55"/>
      <c r="M659" s="53"/>
      <c r="N659" s="74"/>
      <c r="O659" s="57" t="str">
        <f t="shared" si="1"/>
        <v>OK — cubierto (4.2 meses)</v>
      </c>
      <c r="P659" s="58">
        <f t="shared" si="2"/>
        <v>1995</v>
      </c>
      <c r="Q659" s="1"/>
      <c r="R659" s="1"/>
      <c r="S659" s="1"/>
      <c r="T659" s="1"/>
      <c r="U659" s="1"/>
      <c r="V659" s="1"/>
      <c r="W659" s="1"/>
      <c r="X659" s="60">
        <f>IFERROR(VLOOKUP($A659,Ventas!$A$2:$L$5000,12,FALSE()),"")</f>
        <v>471.25</v>
      </c>
      <c r="Y659" s="60">
        <f t="shared" si="3"/>
        <v>1885</v>
      </c>
      <c r="Z659" s="61">
        <f t="shared" si="4"/>
        <v>4.2</v>
      </c>
      <c r="AA659" s="60">
        <f t="shared" si="5"/>
        <v>-110</v>
      </c>
      <c r="AB659" s="62" t="str">
        <f t="shared" si="6"/>
        <v/>
      </c>
      <c r="AC659" s="62" t="str">
        <f t="array" ref="AC659">IF(AH659&lt;&gt;"COMPRAR","",IF(MAX(INDEX(Ventas!$G$2:$G$5000,MATCH($A659,Ventas!$A$2:$A$5000,0)),INDEX(Ventas!$H$2:$H$5000,MATCH($A659,Ventas!$A$2:$A$5000,0)),INDEX(Ventas!$I$2:$I$5000,MATCH($A659,Ventas!$A$2:$A$5000,0)),INDEX(Ventas!$J$2:$J$5000,MATCH($A659,Ventas!$A$2:$A$5000,0)))&gt;0.5*AF659*4,"1 mes = "&amp;TEXT(MAX(INDEX(Ventas!$G$2:$G$5000,MATCH($A659,Ventas!$A$2:$A$5000,0)),INDEX(Ventas!$H$2:$H$5000,MATCH($A659,Ventas!$A$2:$A$5000,0)),INDEX(Ventas!$I$2:$I$5000,MATCH($A659,Ventas!$A$2:$A$5000,0)),INDEX(Ventas!$J$2:$J$5000,MATCH($A659,Ventas!$A$2:$A$5000,0)))/(AF659*4),"0%")&amp;" de 4 meses",""))</f>
        <v/>
      </c>
      <c r="AD659" s="62" t="str">
        <f t="shared" si="7"/>
        <v/>
      </c>
      <c r="AE659" s="62" t="str">
        <f t="array" ref="AE659">IF(X659="","",IF(AND(E659=0,AVERAGE(INDEX(Ventas!$C$2:$I$5000,MATCH($A659,Ventas!$A$2:$A$5000,0),0))&gt;0,INDEX(Ventas!$J$2:$J$5000,MATCH($A659,Ventas!$A$2:$A$5000,0))&lt;0.5*AVERAGE(INDEX(Ventas!$C$2:$I$5000,MATCH($A659,Ventas!$A$2:$A$5000,0),0))),"SÍ — stock 0 y Sep cayó (prom Feb-Ago "&amp;TEXT(AVERAGE(INDEX(Ventas!$C$2:$I$5000,MATCH($A659,Ventas!$A$2:$A$5000,0),0)),"#,##0")&amp;")",""))</f>
        <v/>
      </c>
      <c r="AF659" s="60">
        <f t="array" ref="AF659">IF(X659="","",IF(AE659&lt;&gt;"",MAX(X659,AVERAGE(INDEX(Ventas!$C$2:$I$5000,MATCH($A659,Ventas!$A$2:$A$5000,0),0))),X659))</f>
        <v>471.25</v>
      </c>
      <c r="AG659" s="60">
        <f t="shared" si="8"/>
        <v>-110</v>
      </c>
      <c r="AH659" s="63" t="str">
        <f t="shared" si="9"/>
        <v>OK</v>
      </c>
    </row>
    <row r="660" ht="13.5" customHeight="1">
      <c r="A660" s="64" t="s">
        <v>1924</v>
      </c>
      <c r="B660" s="65" t="s">
        <v>3987</v>
      </c>
      <c r="C660" s="65" t="s">
        <v>3988</v>
      </c>
      <c r="D660" s="65" t="s">
        <v>646</v>
      </c>
      <c r="E660" s="51">
        <v>290.0</v>
      </c>
      <c r="F660" s="66"/>
      <c r="G660" s="53"/>
      <c r="H660" s="91"/>
      <c r="I660" s="55"/>
      <c r="J660" s="53"/>
      <c r="K660" s="53"/>
      <c r="L660" s="55"/>
      <c r="M660" s="53"/>
      <c r="N660" s="73"/>
      <c r="O660" s="57" t="str">
        <f t="shared" si="1"/>
        <v>SOBRESTOCK — 23.2 meses de cobertura</v>
      </c>
      <c r="P660" s="58">
        <f t="shared" si="2"/>
        <v>290</v>
      </c>
      <c r="Q660" s="1"/>
      <c r="R660" s="1"/>
      <c r="S660" s="1"/>
      <c r="T660" s="1"/>
      <c r="U660" s="1"/>
      <c r="V660" s="1"/>
      <c r="W660" s="1"/>
      <c r="X660" s="60">
        <f>IFERROR(VLOOKUP($A660,Ventas!$A$2:$L$5000,12,FALSE()),"")</f>
        <v>12.5</v>
      </c>
      <c r="Y660" s="60">
        <f t="shared" si="3"/>
        <v>50</v>
      </c>
      <c r="Z660" s="61">
        <f t="shared" si="4"/>
        <v>23.2</v>
      </c>
      <c r="AA660" s="60">
        <f t="shared" si="5"/>
        <v>-240</v>
      </c>
      <c r="AB660" s="62" t="str">
        <f t="shared" si="6"/>
        <v/>
      </c>
      <c r="AC660" s="62" t="str">
        <f t="array" ref="AC660">IF(AH660&lt;&gt;"COMPRAR","",IF(MAX(INDEX(Ventas!$G$2:$G$5000,MATCH($A660,Ventas!$A$2:$A$5000,0)),INDEX(Ventas!$H$2:$H$5000,MATCH($A660,Ventas!$A$2:$A$5000,0)),INDEX(Ventas!$I$2:$I$5000,MATCH($A660,Ventas!$A$2:$A$5000,0)),INDEX(Ventas!$J$2:$J$5000,MATCH($A660,Ventas!$A$2:$A$5000,0)))&gt;0.5*AF660*4,"1 mes = "&amp;TEXT(MAX(INDEX(Ventas!$G$2:$G$5000,MATCH($A660,Ventas!$A$2:$A$5000,0)),INDEX(Ventas!$H$2:$H$5000,MATCH($A660,Ventas!$A$2:$A$5000,0)),INDEX(Ventas!$I$2:$I$5000,MATCH($A660,Ventas!$A$2:$A$5000,0)),INDEX(Ventas!$J$2:$J$5000,MATCH($A660,Ventas!$A$2:$A$5000,0)))/(AF660*4),"0%")&amp;" de 4 meses",""))</f>
        <v/>
      </c>
      <c r="AD660" s="62" t="str">
        <f t="shared" si="7"/>
        <v/>
      </c>
      <c r="AE660" s="62" t="str">
        <f t="array" ref="AE660">IF(X660="","",IF(AND(E660=0,AVERAGE(INDEX(Ventas!$C$2:$I$5000,MATCH($A660,Ventas!$A$2:$A$5000,0),0))&gt;0,INDEX(Ventas!$J$2:$J$5000,MATCH($A660,Ventas!$A$2:$A$5000,0))&lt;0.5*AVERAGE(INDEX(Ventas!$C$2:$I$5000,MATCH($A660,Ventas!$A$2:$A$5000,0),0))),"SÍ — stock 0 y Sep cayó (prom Feb-Ago "&amp;TEXT(AVERAGE(INDEX(Ventas!$C$2:$I$5000,MATCH($A660,Ventas!$A$2:$A$5000,0),0)),"#,##0")&amp;")",""))</f>
        <v/>
      </c>
      <c r="AF660" s="60">
        <f t="array" ref="AF660">IF(X660="","",IF(AE660&lt;&gt;"",MAX(X660,AVERAGE(INDEX(Ventas!$C$2:$I$5000,MATCH($A660,Ventas!$A$2:$A$5000,0),0))),X660))</f>
        <v>12.5</v>
      </c>
      <c r="AG660" s="60">
        <f t="shared" si="8"/>
        <v>-240</v>
      </c>
      <c r="AH660" s="63" t="str">
        <f t="shared" si="9"/>
        <v>SOBRESTOCK</v>
      </c>
    </row>
    <row r="661" ht="13.5" customHeight="1">
      <c r="A661" s="49" t="s">
        <v>1920</v>
      </c>
      <c r="B661" s="50" t="s">
        <v>3987</v>
      </c>
      <c r="C661" s="50" t="s">
        <v>3988</v>
      </c>
      <c r="D661" s="50" t="s">
        <v>3014</v>
      </c>
      <c r="E661" s="51">
        <v>386.0</v>
      </c>
      <c r="F661" s="52"/>
      <c r="G661" s="53"/>
      <c r="H661" s="91"/>
      <c r="I661" s="55"/>
      <c r="J661" s="53"/>
      <c r="K661" s="53"/>
      <c r="L661" s="55"/>
      <c r="M661" s="53"/>
      <c r="N661" s="74"/>
      <c r="O661" s="57" t="str">
        <f t="shared" si="1"/>
        <v>SOBRESTOCK — 30.9 meses de cobertura</v>
      </c>
      <c r="P661" s="58">
        <f t="shared" si="2"/>
        <v>386</v>
      </c>
      <c r="Q661" s="1"/>
      <c r="R661" s="1"/>
      <c r="S661" s="1"/>
      <c r="T661" s="1"/>
      <c r="U661" s="1"/>
      <c r="V661" s="1"/>
      <c r="W661" s="1"/>
      <c r="X661" s="60">
        <f>IFERROR(VLOOKUP($A661,Ventas!$A$2:$L$5000,12,FALSE()),"")</f>
        <v>12.5</v>
      </c>
      <c r="Y661" s="60">
        <f t="shared" si="3"/>
        <v>50</v>
      </c>
      <c r="Z661" s="61">
        <f t="shared" si="4"/>
        <v>30.9</v>
      </c>
      <c r="AA661" s="60">
        <f t="shared" si="5"/>
        <v>-336</v>
      </c>
      <c r="AB661" s="62" t="str">
        <f t="shared" si="6"/>
        <v/>
      </c>
      <c r="AC661" s="62" t="str">
        <f t="array" ref="AC661">IF(AH661&lt;&gt;"COMPRAR","",IF(MAX(INDEX(Ventas!$G$2:$G$5000,MATCH($A661,Ventas!$A$2:$A$5000,0)),INDEX(Ventas!$H$2:$H$5000,MATCH($A661,Ventas!$A$2:$A$5000,0)),INDEX(Ventas!$I$2:$I$5000,MATCH($A661,Ventas!$A$2:$A$5000,0)),INDEX(Ventas!$J$2:$J$5000,MATCH($A661,Ventas!$A$2:$A$5000,0)))&gt;0.5*AF661*4,"1 mes = "&amp;TEXT(MAX(INDEX(Ventas!$G$2:$G$5000,MATCH($A661,Ventas!$A$2:$A$5000,0)),INDEX(Ventas!$H$2:$H$5000,MATCH($A661,Ventas!$A$2:$A$5000,0)),INDEX(Ventas!$I$2:$I$5000,MATCH($A661,Ventas!$A$2:$A$5000,0)),INDEX(Ventas!$J$2:$J$5000,MATCH($A661,Ventas!$A$2:$A$5000,0)))/(AF661*4),"0%")&amp;" de 4 meses",""))</f>
        <v/>
      </c>
      <c r="AD661" s="62" t="str">
        <f t="shared" si="7"/>
        <v/>
      </c>
      <c r="AE661" s="62" t="str">
        <f t="array" ref="AE661">IF(X661="","",IF(AND(E661=0,AVERAGE(INDEX(Ventas!$C$2:$I$5000,MATCH($A661,Ventas!$A$2:$A$5000,0),0))&gt;0,INDEX(Ventas!$J$2:$J$5000,MATCH($A661,Ventas!$A$2:$A$5000,0))&lt;0.5*AVERAGE(INDEX(Ventas!$C$2:$I$5000,MATCH($A661,Ventas!$A$2:$A$5000,0),0))),"SÍ — stock 0 y Sep cayó (prom Feb-Ago "&amp;TEXT(AVERAGE(INDEX(Ventas!$C$2:$I$5000,MATCH($A661,Ventas!$A$2:$A$5000,0),0)),"#,##0")&amp;")",""))</f>
        <v/>
      </c>
      <c r="AF661" s="60">
        <f t="array" ref="AF661">IF(X661="","",IF(AE661&lt;&gt;"",MAX(X661,AVERAGE(INDEX(Ventas!$C$2:$I$5000,MATCH($A661,Ventas!$A$2:$A$5000,0),0))),X661))</f>
        <v>12.5</v>
      </c>
      <c r="AG661" s="60">
        <f t="shared" si="8"/>
        <v>-336</v>
      </c>
      <c r="AH661" s="63" t="str">
        <f t="shared" si="9"/>
        <v>SOBRESTOCK</v>
      </c>
    </row>
    <row r="662" ht="13.5" customHeight="1">
      <c r="A662" s="64" t="s">
        <v>1908</v>
      </c>
      <c r="B662" s="65" t="s">
        <v>3987</v>
      </c>
      <c r="C662" s="65" t="s">
        <v>3989</v>
      </c>
      <c r="D662" s="65" t="s">
        <v>1009</v>
      </c>
      <c r="E662" s="51">
        <v>2642.0</v>
      </c>
      <c r="F662" s="66"/>
      <c r="G662" s="53"/>
      <c r="H662" s="91"/>
      <c r="I662" s="55"/>
      <c r="J662" s="53"/>
      <c r="K662" s="53"/>
      <c r="L662" s="55"/>
      <c r="M662" s="53"/>
      <c r="N662" s="73"/>
      <c r="O662" s="57" t="str">
        <f t="shared" si="1"/>
        <v>SOBRESTOCK — 11.4 meses de cobertura</v>
      </c>
      <c r="P662" s="58">
        <f t="shared" si="2"/>
        <v>2642</v>
      </c>
      <c r="Q662" s="1"/>
      <c r="R662" s="1"/>
      <c r="S662" s="1"/>
      <c r="T662" s="1"/>
      <c r="U662" s="1"/>
      <c r="V662" s="1"/>
      <c r="W662" s="1"/>
      <c r="X662" s="60">
        <f>IFERROR(VLOOKUP($A662,Ventas!$A$2:$L$5000,12,FALSE()),"")</f>
        <v>231.5</v>
      </c>
      <c r="Y662" s="60">
        <f t="shared" si="3"/>
        <v>926</v>
      </c>
      <c r="Z662" s="61">
        <f t="shared" si="4"/>
        <v>11.4</v>
      </c>
      <c r="AA662" s="60">
        <f t="shared" si="5"/>
        <v>-1716</v>
      </c>
      <c r="AB662" s="62" t="str">
        <f t="shared" si="6"/>
        <v/>
      </c>
      <c r="AC662" s="62" t="str">
        <f t="array" ref="AC662">IF(AH662&lt;&gt;"COMPRAR","",IF(MAX(INDEX(Ventas!$G$2:$G$5000,MATCH($A662,Ventas!$A$2:$A$5000,0)),INDEX(Ventas!$H$2:$H$5000,MATCH($A662,Ventas!$A$2:$A$5000,0)),INDEX(Ventas!$I$2:$I$5000,MATCH($A662,Ventas!$A$2:$A$5000,0)),INDEX(Ventas!$J$2:$J$5000,MATCH($A662,Ventas!$A$2:$A$5000,0)))&gt;0.5*AF662*4,"1 mes = "&amp;TEXT(MAX(INDEX(Ventas!$G$2:$G$5000,MATCH($A662,Ventas!$A$2:$A$5000,0)),INDEX(Ventas!$H$2:$H$5000,MATCH($A662,Ventas!$A$2:$A$5000,0)),INDEX(Ventas!$I$2:$I$5000,MATCH($A662,Ventas!$A$2:$A$5000,0)),INDEX(Ventas!$J$2:$J$5000,MATCH($A662,Ventas!$A$2:$A$5000,0)))/(AF662*4),"0%")&amp;" de 4 meses",""))</f>
        <v/>
      </c>
      <c r="AD662" s="62" t="str">
        <f t="shared" si="7"/>
        <v/>
      </c>
      <c r="AE662" s="62" t="str">
        <f t="array" ref="AE662">IF(X662="","",IF(AND(E662=0,AVERAGE(INDEX(Ventas!$C$2:$I$5000,MATCH($A662,Ventas!$A$2:$A$5000,0),0))&gt;0,INDEX(Ventas!$J$2:$J$5000,MATCH($A662,Ventas!$A$2:$A$5000,0))&lt;0.5*AVERAGE(INDEX(Ventas!$C$2:$I$5000,MATCH($A662,Ventas!$A$2:$A$5000,0),0))),"SÍ — stock 0 y Sep cayó (prom Feb-Ago "&amp;TEXT(AVERAGE(INDEX(Ventas!$C$2:$I$5000,MATCH($A662,Ventas!$A$2:$A$5000,0),0)),"#,##0")&amp;")",""))</f>
        <v/>
      </c>
      <c r="AF662" s="60">
        <f t="array" ref="AF662">IF(X662="","",IF(AE662&lt;&gt;"",MAX(X662,AVERAGE(INDEX(Ventas!$C$2:$I$5000,MATCH($A662,Ventas!$A$2:$A$5000,0),0))),X662))</f>
        <v>231.5</v>
      </c>
      <c r="AG662" s="60">
        <f t="shared" si="8"/>
        <v>-1716</v>
      </c>
      <c r="AH662" s="63" t="str">
        <f t="shared" si="9"/>
        <v>SOBRESTOCK</v>
      </c>
    </row>
    <row r="663" ht="13.5" customHeight="1">
      <c r="A663" s="49" t="s">
        <v>2957</v>
      </c>
      <c r="B663" s="50" t="s">
        <v>3990</v>
      </c>
      <c r="C663" s="50" t="s">
        <v>3991</v>
      </c>
      <c r="D663" s="50" t="s">
        <v>1329</v>
      </c>
      <c r="E663" s="51">
        <v>0.0</v>
      </c>
      <c r="F663" s="52"/>
      <c r="G663" s="53"/>
      <c r="H663" s="69"/>
      <c r="I663" s="55"/>
      <c r="J663" s="53"/>
      <c r="K663" s="53"/>
      <c r="L663" s="55"/>
      <c r="M663" s="53"/>
      <c r="N663" s="74"/>
      <c r="O663" s="57" t="str">
        <f t="shared" si="1"/>
        <v>SIN VENTAS Jun-Sep — no comprar</v>
      </c>
      <c r="P663" s="58">
        <f t="shared" si="2"/>
        <v>0</v>
      </c>
      <c r="Q663" s="1"/>
      <c r="R663" s="1"/>
      <c r="S663" s="1"/>
      <c r="T663" s="1"/>
      <c r="U663" s="1"/>
      <c r="V663" s="1"/>
      <c r="W663" s="1"/>
      <c r="X663" s="60">
        <f>IFERROR(VLOOKUP($A663,Ventas!$A$2:$L$5000,12,FALSE()),"")</f>
        <v>0</v>
      </c>
      <c r="Y663" s="60">
        <f t="shared" si="3"/>
        <v>0</v>
      </c>
      <c r="Z663" s="61" t="str">
        <f t="shared" si="4"/>
        <v/>
      </c>
      <c r="AA663" s="60">
        <f t="shared" si="5"/>
        <v>0</v>
      </c>
      <c r="AB663" s="62" t="str">
        <f t="shared" si="6"/>
        <v/>
      </c>
      <c r="AC663" s="62" t="str">
        <f t="array" ref="AC663">IF(AH663&lt;&gt;"COMPRAR","",IF(MAX(INDEX(Ventas!$G$2:$G$5000,MATCH($A663,Ventas!$A$2:$A$5000,0)),INDEX(Ventas!$H$2:$H$5000,MATCH($A663,Ventas!$A$2:$A$5000,0)),INDEX(Ventas!$I$2:$I$5000,MATCH($A663,Ventas!$A$2:$A$5000,0)),INDEX(Ventas!$J$2:$J$5000,MATCH($A663,Ventas!$A$2:$A$5000,0)))&gt;0.5*AF663*4,"1 mes = "&amp;TEXT(MAX(INDEX(Ventas!$G$2:$G$5000,MATCH($A663,Ventas!$A$2:$A$5000,0)),INDEX(Ventas!$H$2:$H$5000,MATCH($A663,Ventas!$A$2:$A$5000,0)),INDEX(Ventas!$I$2:$I$5000,MATCH($A663,Ventas!$A$2:$A$5000,0)),INDEX(Ventas!$J$2:$J$5000,MATCH($A663,Ventas!$A$2:$A$5000,0)))/(AF663*4),"0%")&amp;" de 4 meses",""))</f>
        <v/>
      </c>
      <c r="AD663" s="62" t="str">
        <f t="shared" si="7"/>
        <v/>
      </c>
      <c r="AE663" s="62" t="str">
        <f t="array" ref="AE663">IF(X663="","",IF(AND(E663=0,AVERAGE(INDEX(Ventas!$C$2:$I$5000,MATCH($A663,Ventas!$A$2:$A$5000,0),0))&gt;0,INDEX(Ventas!$J$2:$J$5000,MATCH($A663,Ventas!$A$2:$A$5000,0))&lt;0.5*AVERAGE(INDEX(Ventas!$C$2:$I$5000,MATCH($A663,Ventas!$A$2:$A$5000,0),0))),"SÍ — stock 0 y Sep cayó (prom Feb-Ago "&amp;TEXT(AVERAGE(INDEX(Ventas!$C$2:$I$5000,MATCH($A663,Ventas!$A$2:$A$5000,0),0)),"#,##0")&amp;")",""))</f>
        <v>SÍ — stock 0 y Sep cayó (prom Feb-Ago 68)</v>
      </c>
      <c r="AF663" s="60">
        <f t="array" ref="AF663">IF(X663="","",IF(AE663&lt;&gt;"",MAX(X663,AVERAGE(INDEX(Ventas!$C$2:$I$5000,MATCH($A663,Ventas!$A$2:$A$5000,0),0))),X663))</f>
        <v>68.14285714</v>
      </c>
      <c r="AG663" s="60">
        <f t="shared" si="8"/>
        <v>273</v>
      </c>
      <c r="AH663" s="63" t="str">
        <f t="shared" si="9"/>
        <v>COMPRAR</v>
      </c>
    </row>
    <row r="664" ht="13.5" customHeight="1">
      <c r="A664" s="49"/>
      <c r="B664" s="65" t="s">
        <v>3992</v>
      </c>
      <c r="C664" s="68" t="s">
        <v>3993</v>
      </c>
      <c r="D664" s="68" t="s">
        <v>336</v>
      </c>
      <c r="E664" s="51">
        <v>0.0</v>
      </c>
      <c r="F664" s="98">
        <v>0.0</v>
      </c>
      <c r="G664" s="98">
        <v>0.0</v>
      </c>
      <c r="H664" s="69">
        <v>960.0</v>
      </c>
      <c r="I664" s="99">
        <v>0.0</v>
      </c>
      <c r="J664" s="98">
        <v>0.0</v>
      </c>
      <c r="K664" s="53"/>
      <c r="L664" s="100"/>
      <c r="M664" s="53"/>
      <c r="N664" s="101"/>
      <c r="O664" s="57" t="str">
        <f t="shared" si="1"/>
        <v>SIN SKU — cargar código para calcular</v>
      </c>
      <c r="P664" s="58">
        <f t="shared" si="2"/>
        <v>960</v>
      </c>
      <c r="Q664" s="10"/>
      <c r="R664" s="10"/>
      <c r="S664" s="10"/>
      <c r="T664" s="10"/>
      <c r="U664" s="10"/>
      <c r="V664" s="10"/>
      <c r="W664" s="10"/>
      <c r="X664" s="60" t="str">
        <f>IFERROR(VLOOKUP($A664,Ventas!$A$2:$L$5000,12,FALSE()),"")</f>
        <v/>
      </c>
      <c r="Y664" s="60" t="str">
        <f t="shared" si="3"/>
        <v/>
      </c>
      <c r="Z664" s="61" t="str">
        <f t="shared" si="4"/>
        <v/>
      </c>
      <c r="AA664" s="60" t="str">
        <f t="shared" si="5"/>
        <v/>
      </c>
      <c r="AB664" s="62" t="str">
        <f t="shared" si="6"/>
        <v/>
      </c>
      <c r="AC664" s="62" t="str">
        <f t="array" ref="AC664">IF(AH664&lt;&gt;"COMPRAR","",IF(MAX(INDEX(Ventas!$G$2:$G$5000,MATCH($A664,Ventas!$A$2:$A$5000,0)),INDEX(Ventas!$H$2:$H$5000,MATCH($A664,Ventas!$A$2:$A$5000,0)),INDEX(Ventas!$I$2:$I$5000,MATCH($A664,Ventas!$A$2:$A$5000,0)),INDEX(Ventas!$J$2:$J$5000,MATCH($A664,Ventas!$A$2:$A$5000,0)))&gt;0.5*AF664*4,"1 mes = "&amp;TEXT(MAX(INDEX(Ventas!$G$2:$G$5000,MATCH($A664,Ventas!$A$2:$A$5000,0)),INDEX(Ventas!$H$2:$H$5000,MATCH($A664,Ventas!$A$2:$A$5000,0)),INDEX(Ventas!$I$2:$I$5000,MATCH($A664,Ventas!$A$2:$A$5000,0)),INDEX(Ventas!$J$2:$J$5000,MATCH($A664,Ventas!$A$2:$A$5000,0)))/(AF664*4),"0%")&amp;" de 4 meses",""))</f>
        <v/>
      </c>
      <c r="AD664" s="62" t="str">
        <f t="shared" si="7"/>
        <v/>
      </c>
      <c r="AE664" s="62" t="str">
        <f t="array" ref="AE664">IF(X664="","",IF(AND(E664=0,AVERAGE(INDEX(Ventas!$C$2:$I$5000,MATCH($A664,Ventas!$A$2:$A$5000,0),0))&gt;0,INDEX(Ventas!$J$2:$J$5000,MATCH($A664,Ventas!$A$2:$A$5000,0))&lt;0.5*AVERAGE(INDEX(Ventas!$C$2:$I$5000,MATCH($A664,Ventas!$A$2:$A$5000,0),0))),"SÍ — stock 0 y Sep cayó (prom Feb-Ago "&amp;TEXT(AVERAGE(INDEX(Ventas!$C$2:$I$5000,MATCH($A664,Ventas!$A$2:$A$5000,0),0)),"#,##0")&amp;")",""))</f>
        <v/>
      </c>
      <c r="AF664" s="60" t="str">
        <f t="array" ref="AF664">IF(X664="","",IF(AE664&lt;&gt;"",MAX(X664,AVERAGE(INDEX(Ventas!$C$2:$I$5000,MATCH($A664,Ventas!$A$2:$A$5000,0),0))),X664))</f>
        <v/>
      </c>
      <c r="AG664" s="60" t="str">
        <f t="shared" si="8"/>
        <v/>
      </c>
      <c r="AH664" s="63" t="str">
        <f t="shared" si="9"/>
        <v/>
      </c>
    </row>
    <row r="665" ht="13.5" customHeight="1">
      <c r="A665" s="49"/>
      <c r="B665" s="65" t="s">
        <v>3992</v>
      </c>
      <c r="C665" s="68" t="s">
        <v>3993</v>
      </c>
      <c r="D665" s="68" t="s">
        <v>3845</v>
      </c>
      <c r="E665" s="51"/>
      <c r="F665" s="102">
        <v>0.0</v>
      </c>
      <c r="G665" s="102">
        <v>0.0</v>
      </c>
      <c r="H665" s="69">
        <v>720.0</v>
      </c>
      <c r="I665" s="91">
        <v>0.0</v>
      </c>
      <c r="J665" s="102">
        <v>0.0</v>
      </c>
      <c r="K665" s="53"/>
      <c r="L665" s="100"/>
      <c r="M665" s="53"/>
      <c r="N665" s="101"/>
      <c r="O665" s="57" t="str">
        <f t="shared" si="1"/>
        <v>SIN SKU — cargar código para calcular</v>
      </c>
      <c r="P665" s="58">
        <f t="shared" si="2"/>
        <v>720</v>
      </c>
      <c r="Q665" s="10"/>
      <c r="R665" s="10"/>
      <c r="S665" s="10"/>
      <c r="T665" s="10"/>
      <c r="U665" s="10"/>
      <c r="V665" s="10"/>
      <c r="W665" s="10"/>
      <c r="X665" s="60" t="str">
        <f>IFERROR(VLOOKUP($A665,Ventas!$A$2:$L$5000,12,FALSE()),"")</f>
        <v/>
      </c>
      <c r="Y665" s="60" t="str">
        <f t="shared" si="3"/>
        <v/>
      </c>
      <c r="Z665" s="61" t="str">
        <f t="shared" si="4"/>
        <v/>
      </c>
      <c r="AA665" s="60" t="str">
        <f t="shared" si="5"/>
        <v/>
      </c>
      <c r="AB665" s="62" t="str">
        <f t="shared" si="6"/>
        <v/>
      </c>
      <c r="AC665" s="62" t="str">
        <f t="array" ref="AC665">IF(AH665&lt;&gt;"COMPRAR","",IF(MAX(INDEX(Ventas!$G$2:$G$5000,MATCH($A665,Ventas!$A$2:$A$5000,0)),INDEX(Ventas!$H$2:$H$5000,MATCH($A665,Ventas!$A$2:$A$5000,0)),INDEX(Ventas!$I$2:$I$5000,MATCH($A665,Ventas!$A$2:$A$5000,0)),INDEX(Ventas!$J$2:$J$5000,MATCH($A665,Ventas!$A$2:$A$5000,0)))&gt;0.5*AF665*4,"1 mes = "&amp;TEXT(MAX(INDEX(Ventas!$G$2:$G$5000,MATCH($A665,Ventas!$A$2:$A$5000,0)),INDEX(Ventas!$H$2:$H$5000,MATCH($A665,Ventas!$A$2:$A$5000,0)),INDEX(Ventas!$I$2:$I$5000,MATCH($A665,Ventas!$A$2:$A$5000,0)),INDEX(Ventas!$J$2:$J$5000,MATCH($A665,Ventas!$A$2:$A$5000,0)))/(AF665*4),"0%")&amp;" de 4 meses",""))</f>
        <v/>
      </c>
      <c r="AD665" s="62" t="str">
        <f t="shared" si="7"/>
        <v/>
      </c>
      <c r="AE665" s="62" t="str">
        <f t="array" ref="AE665">IF(X665="","",IF(AND(E665=0,AVERAGE(INDEX(Ventas!$C$2:$I$5000,MATCH($A665,Ventas!$A$2:$A$5000,0),0))&gt;0,INDEX(Ventas!$J$2:$J$5000,MATCH($A665,Ventas!$A$2:$A$5000,0))&lt;0.5*AVERAGE(INDEX(Ventas!$C$2:$I$5000,MATCH($A665,Ventas!$A$2:$A$5000,0),0))),"SÍ — stock 0 y Sep cayó (prom Feb-Ago "&amp;TEXT(AVERAGE(INDEX(Ventas!$C$2:$I$5000,MATCH($A665,Ventas!$A$2:$A$5000,0),0)),"#,##0")&amp;")",""))</f>
        <v/>
      </c>
      <c r="AF665" s="60" t="str">
        <f t="array" ref="AF665">IF(X665="","",IF(AE665&lt;&gt;"",MAX(X665,AVERAGE(INDEX(Ventas!$C$2:$I$5000,MATCH($A665,Ventas!$A$2:$A$5000,0),0))),X665))</f>
        <v/>
      </c>
      <c r="AG665" s="60" t="str">
        <f t="shared" si="8"/>
        <v/>
      </c>
      <c r="AH665" s="63" t="str">
        <f t="shared" si="9"/>
        <v/>
      </c>
    </row>
    <row r="666" ht="13.5" customHeight="1">
      <c r="A666" s="49"/>
      <c r="B666" s="68" t="s">
        <v>3994</v>
      </c>
      <c r="C666" s="68" t="s">
        <v>3994</v>
      </c>
      <c r="D666" s="68" t="s">
        <v>3995</v>
      </c>
      <c r="E666" s="51">
        <v>0.0</v>
      </c>
      <c r="F666" s="98">
        <v>0.0</v>
      </c>
      <c r="G666" s="98">
        <v>0.0</v>
      </c>
      <c r="H666" s="69">
        <v>515.0</v>
      </c>
      <c r="I666" s="99">
        <v>0.0</v>
      </c>
      <c r="J666" s="98">
        <v>0.0</v>
      </c>
      <c r="K666" s="53"/>
      <c r="L666" s="100"/>
      <c r="M666" s="53"/>
      <c r="N666" s="101"/>
      <c r="O666" s="57" t="str">
        <f t="shared" si="1"/>
        <v>SIN SKU — cargar código para calcular</v>
      </c>
      <c r="P666" s="58">
        <f t="shared" si="2"/>
        <v>515</v>
      </c>
      <c r="Q666" s="10"/>
      <c r="R666" s="10"/>
      <c r="S666" s="10"/>
      <c r="T666" s="10"/>
      <c r="U666" s="10"/>
      <c r="V666" s="10"/>
      <c r="W666" s="10"/>
      <c r="X666" s="60" t="str">
        <f>IFERROR(VLOOKUP($A666,Ventas!$A$2:$L$5000,12,FALSE()),"")</f>
        <v/>
      </c>
      <c r="Y666" s="60" t="str">
        <f t="shared" si="3"/>
        <v/>
      </c>
      <c r="Z666" s="61" t="str">
        <f t="shared" si="4"/>
        <v/>
      </c>
      <c r="AA666" s="60" t="str">
        <f t="shared" si="5"/>
        <v/>
      </c>
      <c r="AB666" s="62" t="str">
        <f t="shared" si="6"/>
        <v/>
      </c>
      <c r="AC666" s="62" t="str">
        <f t="array" ref="AC666">IF(AH666&lt;&gt;"COMPRAR","",IF(MAX(INDEX(Ventas!$G$2:$G$5000,MATCH($A666,Ventas!$A$2:$A$5000,0)),INDEX(Ventas!$H$2:$H$5000,MATCH($A666,Ventas!$A$2:$A$5000,0)),INDEX(Ventas!$I$2:$I$5000,MATCH($A666,Ventas!$A$2:$A$5000,0)),INDEX(Ventas!$J$2:$J$5000,MATCH($A666,Ventas!$A$2:$A$5000,0)))&gt;0.5*AF666*4,"1 mes = "&amp;TEXT(MAX(INDEX(Ventas!$G$2:$G$5000,MATCH($A666,Ventas!$A$2:$A$5000,0)),INDEX(Ventas!$H$2:$H$5000,MATCH($A666,Ventas!$A$2:$A$5000,0)),INDEX(Ventas!$I$2:$I$5000,MATCH($A666,Ventas!$A$2:$A$5000,0)),INDEX(Ventas!$J$2:$J$5000,MATCH($A666,Ventas!$A$2:$A$5000,0)))/(AF666*4),"0%")&amp;" de 4 meses",""))</f>
        <v/>
      </c>
      <c r="AD666" s="62" t="str">
        <f t="shared" si="7"/>
        <v/>
      </c>
      <c r="AE666" s="62" t="str">
        <f t="array" ref="AE666">IF(X666="","",IF(AND(E666=0,AVERAGE(INDEX(Ventas!$C$2:$I$5000,MATCH($A666,Ventas!$A$2:$A$5000,0),0))&gt;0,INDEX(Ventas!$J$2:$J$5000,MATCH($A666,Ventas!$A$2:$A$5000,0))&lt;0.5*AVERAGE(INDEX(Ventas!$C$2:$I$5000,MATCH($A666,Ventas!$A$2:$A$5000,0),0))),"SÍ — stock 0 y Sep cayó (prom Feb-Ago "&amp;TEXT(AVERAGE(INDEX(Ventas!$C$2:$I$5000,MATCH($A666,Ventas!$A$2:$A$5000,0),0)),"#,##0")&amp;")",""))</f>
        <v/>
      </c>
      <c r="AF666" s="60" t="str">
        <f t="array" ref="AF666">IF(X666="","",IF(AE666&lt;&gt;"",MAX(X666,AVERAGE(INDEX(Ventas!$C$2:$I$5000,MATCH($A666,Ventas!$A$2:$A$5000,0),0))),X666))</f>
        <v/>
      </c>
      <c r="AG666" s="60" t="str">
        <f t="shared" si="8"/>
        <v/>
      </c>
      <c r="AH666" s="63" t="str">
        <f t="shared" si="9"/>
        <v/>
      </c>
    </row>
    <row r="667" ht="13.5" customHeight="1">
      <c r="A667" s="49"/>
      <c r="B667" s="68" t="s">
        <v>3994</v>
      </c>
      <c r="C667" s="68" t="s">
        <v>3994</v>
      </c>
      <c r="D667" s="68" t="s">
        <v>3996</v>
      </c>
      <c r="E667" s="51"/>
      <c r="F667" s="102">
        <v>0.0</v>
      </c>
      <c r="G667" s="102">
        <v>0.0</v>
      </c>
      <c r="H667" s="69">
        <v>514.0</v>
      </c>
      <c r="I667" s="91">
        <v>0.0</v>
      </c>
      <c r="J667" s="102">
        <v>0.0</v>
      </c>
      <c r="K667" s="53"/>
      <c r="L667" s="100"/>
      <c r="M667" s="53"/>
      <c r="N667" s="101"/>
      <c r="O667" s="57" t="str">
        <f t="shared" si="1"/>
        <v>SIN SKU — cargar código para calcular</v>
      </c>
      <c r="P667" s="58">
        <f t="shared" si="2"/>
        <v>514</v>
      </c>
      <c r="Q667" s="10"/>
      <c r="R667" s="10"/>
      <c r="S667" s="10"/>
      <c r="T667" s="10"/>
      <c r="U667" s="10"/>
      <c r="V667" s="10"/>
      <c r="W667" s="10"/>
      <c r="X667" s="60" t="str">
        <f>IFERROR(VLOOKUP($A667,Ventas!$A$2:$L$5000,12,FALSE()),"")</f>
        <v/>
      </c>
      <c r="Y667" s="60" t="str">
        <f t="shared" si="3"/>
        <v/>
      </c>
      <c r="Z667" s="61" t="str">
        <f t="shared" si="4"/>
        <v/>
      </c>
      <c r="AA667" s="60" t="str">
        <f t="shared" si="5"/>
        <v/>
      </c>
      <c r="AB667" s="62" t="str">
        <f t="shared" si="6"/>
        <v/>
      </c>
      <c r="AC667" s="62" t="str">
        <f t="array" ref="AC667">IF(AH667&lt;&gt;"COMPRAR","",IF(MAX(INDEX(Ventas!$G$2:$G$5000,MATCH($A667,Ventas!$A$2:$A$5000,0)),INDEX(Ventas!$H$2:$H$5000,MATCH($A667,Ventas!$A$2:$A$5000,0)),INDEX(Ventas!$I$2:$I$5000,MATCH($A667,Ventas!$A$2:$A$5000,0)),INDEX(Ventas!$J$2:$J$5000,MATCH($A667,Ventas!$A$2:$A$5000,0)))&gt;0.5*AF667*4,"1 mes = "&amp;TEXT(MAX(INDEX(Ventas!$G$2:$G$5000,MATCH($A667,Ventas!$A$2:$A$5000,0)),INDEX(Ventas!$H$2:$H$5000,MATCH($A667,Ventas!$A$2:$A$5000,0)),INDEX(Ventas!$I$2:$I$5000,MATCH($A667,Ventas!$A$2:$A$5000,0)),INDEX(Ventas!$J$2:$J$5000,MATCH($A667,Ventas!$A$2:$A$5000,0)))/(AF667*4),"0%")&amp;" de 4 meses",""))</f>
        <v/>
      </c>
      <c r="AD667" s="62" t="str">
        <f t="shared" si="7"/>
        <v/>
      </c>
      <c r="AE667" s="62" t="str">
        <f t="array" ref="AE667">IF(X667="","",IF(AND(E667=0,AVERAGE(INDEX(Ventas!$C$2:$I$5000,MATCH($A667,Ventas!$A$2:$A$5000,0),0))&gt;0,INDEX(Ventas!$J$2:$J$5000,MATCH($A667,Ventas!$A$2:$A$5000,0))&lt;0.5*AVERAGE(INDEX(Ventas!$C$2:$I$5000,MATCH($A667,Ventas!$A$2:$A$5000,0),0))),"SÍ — stock 0 y Sep cayó (prom Feb-Ago "&amp;TEXT(AVERAGE(INDEX(Ventas!$C$2:$I$5000,MATCH($A667,Ventas!$A$2:$A$5000,0),0)),"#,##0")&amp;")",""))</f>
        <v/>
      </c>
      <c r="AF667" s="60" t="str">
        <f t="array" ref="AF667">IF(X667="","",IF(AE667&lt;&gt;"",MAX(X667,AVERAGE(INDEX(Ventas!$C$2:$I$5000,MATCH($A667,Ventas!$A$2:$A$5000,0),0))),X667))</f>
        <v/>
      </c>
      <c r="AG667" s="60" t="str">
        <f t="shared" si="8"/>
        <v/>
      </c>
      <c r="AH667" s="63" t="str">
        <f t="shared" si="9"/>
        <v/>
      </c>
    </row>
    <row r="668" ht="13.5" customHeight="1">
      <c r="A668" s="49"/>
      <c r="B668" s="68" t="s">
        <v>3994</v>
      </c>
      <c r="C668" s="68" t="s">
        <v>3994</v>
      </c>
      <c r="D668" s="68" t="s">
        <v>3997</v>
      </c>
      <c r="E668" s="51"/>
      <c r="F668" s="102">
        <v>0.0</v>
      </c>
      <c r="G668" s="102">
        <v>0.0</v>
      </c>
      <c r="H668" s="69">
        <v>571.0</v>
      </c>
      <c r="I668" s="91">
        <v>0.0</v>
      </c>
      <c r="J668" s="102">
        <v>0.0</v>
      </c>
      <c r="K668" s="53"/>
      <c r="L668" s="100"/>
      <c r="M668" s="53"/>
      <c r="N668" s="101"/>
      <c r="O668" s="57" t="str">
        <f t="shared" si="1"/>
        <v>SIN SKU — cargar código para calcular</v>
      </c>
      <c r="P668" s="58">
        <f t="shared" si="2"/>
        <v>571</v>
      </c>
      <c r="Q668" s="10"/>
      <c r="R668" s="10"/>
      <c r="S668" s="10"/>
      <c r="T668" s="10"/>
      <c r="U668" s="10"/>
      <c r="V668" s="10"/>
      <c r="W668" s="10"/>
      <c r="X668" s="60" t="str">
        <f>IFERROR(VLOOKUP($A668,Ventas!$A$2:$L$5000,12,FALSE()),"")</f>
        <v/>
      </c>
      <c r="Y668" s="60" t="str">
        <f t="shared" si="3"/>
        <v/>
      </c>
      <c r="Z668" s="61" t="str">
        <f t="shared" si="4"/>
        <v/>
      </c>
      <c r="AA668" s="60" t="str">
        <f t="shared" si="5"/>
        <v/>
      </c>
      <c r="AB668" s="62" t="str">
        <f t="shared" si="6"/>
        <v/>
      </c>
      <c r="AC668" s="62" t="str">
        <f t="array" ref="AC668">IF(AH668&lt;&gt;"COMPRAR","",IF(MAX(INDEX(Ventas!$G$2:$G$5000,MATCH($A668,Ventas!$A$2:$A$5000,0)),INDEX(Ventas!$H$2:$H$5000,MATCH($A668,Ventas!$A$2:$A$5000,0)),INDEX(Ventas!$I$2:$I$5000,MATCH($A668,Ventas!$A$2:$A$5000,0)),INDEX(Ventas!$J$2:$J$5000,MATCH($A668,Ventas!$A$2:$A$5000,0)))&gt;0.5*AF668*4,"1 mes = "&amp;TEXT(MAX(INDEX(Ventas!$G$2:$G$5000,MATCH($A668,Ventas!$A$2:$A$5000,0)),INDEX(Ventas!$H$2:$H$5000,MATCH($A668,Ventas!$A$2:$A$5000,0)),INDEX(Ventas!$I$2:$I$5000,MATCH($A668,Ventas!$A$2:$A$5000,0)),INDEX(Ventas!$J$2:$J$5000,MATCH($A668,Ventas!$A$2:$A$5000,0)))/(AF668*4),"0%")&amp;" de 4 meses",""))</f>
        <v/>
      </c>
      <c r="AD668" s="62" t="str">
        <f t="shared" si="7"/>
        <v/>
      </c>
      <c r="AE668" s="62" t="str">
        <f t="array" ref="AE668">IF(X668="","",IF(AND(E668=0,AVERAGE(INDEX(Ventas!$C$2:$I$5000,MATCH($A668,Ventas!$A$2:$A$5000,0),0))&gt;0,INDEX(Ventas!$J$2:$J$5000,MATCH($A668,Ventas!$A$2:$A$5000,0))&lt;0.5*AVERAGE(INDEX(Ventas!$C$2:$I$5000,MATCH($A668,Ventas!$A$2:$A$5000,0),0))),"SÍ — stock 0 y Sep cayó (prom Feb-Ago "&amp;TEXT(AVERAGE(INDEX(Ventas!$C$2:$I$5000,MATCH($A668,Ventas!$A$2:$A$5000,0),0)),"#,##0")&amp;")",""))</f>
        <v/>
      </c>
      <c r="AF668" s="60" t="str">
        <f t="array" ref="AF668">IF(X668="","",IF(AE668&lt;&gt;"",MAX(X668,AVERAGE(INDEX(Ventas!$C$2:$I$5000,MATCH($A668,Ventas!$A$2:$A$5000,0),0))),X668))</f>
        <v/>
      </c>
      <c r="AG668" s="60" t="str">
        <f t="shared" si="8"/>
        <v/>
      </c>
      <c r="AH668" s="63" t="str">
        <f t="shared" si="9"/>
        <v/>
      </c>
    </row>
    <row r="669" ht="13.5" customHeight="1">
      <c r="A669" s="49"/>
      <c r="B669" s="68" t="s">
        <v>3998</v>
      </c>
      <c r="C669" s="68" t="s">
        <v>3998</v>
      </c>
      <c r="D669" s="68" t="s">
        <v>3999</v>
      </c>
      <c r="E669" s="51"/>
      <c r="F669" s="102">
        <v>0.0</v>
      </c>
      <c r="G669" s="102">
        <v>0.0</v>
      </c>
      <c r="H669" s="91">
        <v>0.0</v>
      </c>
      <c r="I669" s="91">
        <v>0.0</v>
      </c>
      <c r="J669" s="102">
        <v>0.0</v>
      </c>
      <c r="K669" s="53"/>
      <c r="L669" s="100"/>
      <c r="M669" s="53"/>
      <c r="N669" s="101"/>
      <c r="O669" s="57" t="str">
        <f t="shared" si="1"/>
        <v>SIN SKU — cargar código para calcular</v>
      </c>
      <c r="P669" s="58">
        <f t="shared" si="2"/>
        <v>0</v>
      </c>
      <c r="Q669" s="10"/>
      <c r="R669" s="10"/>
      <c r="S669" s="10"/>
      <c r="T669" s="10"/>
      <c r="U669" s="10"/>
      <c r="V669" s="10"/>
      <c r="W669" s="10"/>
      <c r="X669" s="60" t="str">
        <f>IFERROR(VLOOKUP($A669,Ventas!$A$2:$L$5000,12,FALSE()),"")</f>
        <v/>
      </c>
      <c r="Y669" s="60" t="str">
        <f t="shared" si="3"/>
        <v/>
      </c>
      <c r="Z669" s="61" t="str">
        <f t="shared" si="4"/>
        <v/>
      </c>
      <c r="AA669" s="60" t="str">
        <f t="shared" si="5"/>
        <v/>
      </c>
      <c r="AB669" s="62" t="str">
        <f t="shared" si="6"/>
        <v/>
      </c>
      <c r="AC669" s="62" t="str">
        <f t="array" ref="AC669">IF(AH669&lt;&gt;"COMPRAR","",IF(MAX(INDEX(Ventas!$G$2:$G$5000,MATCH($A669,Ventas!$A$2:$A$5000,0)),INDEX(Ventas!$H$2:$H$5000,MATCH($A669,Ventas!$A$2:$A$5000,0)),INDEX(Ventas!$I$2:$I$5000,MATCH($A669,Ventas!$A$2:$A$5000,0)),INDEX(Ventas!$J$2:$J$5000,MATCH($A669,Ventas!$A$2:$A$5000,0)))&gt;0.5*AF669*4,"1 mes = "&amp;TEXT(MAX(INDEX(Ventas!$G$2:$G$5000,MATCH($A669,Ventas!$A$2:$A$5000,0)),INDEX(Ventas!$H$2:$H$5000,MATCH($A669,Ventas!$A$2:$A$5000,0)),INDEX(Ventas!$I$2:$I$5000,MATCH($A669,Ventas!$A$2:$A$5000,0)),INDEX(Ventas!$J$2:$J$5000,MATCH($A669,Ventas!$A$2:$A$5000,0)))/(AF669*4),"0%")&amp;" de 4 meses",""))</f>
        <v/>
      </c>
      <c r="AD669" s="62" t="str">
        <f t="shared" si="7"/>
        <v/>
      </c>
      <c r="AE669" s="62" t="str">
        <f t="array" ref="AE669">IF(X669="","",IF(AND(E669=0,AVERAGE(INDEX(Ventas!$C$2:$I$5000,MATCH($A669,Ventas!$A$2:$A$5000,0),0))&gt;0,INDEX(Ventas!$J$2:$J$5000,MATCH($A669,Ventas!$A$2:$A$5000,0))&lt;0.5*AVERAGE(INDEX(Ventas!$C$2:$I$5000,MATCH($A669,Ventas!$A$2:$A$5000,0),0))),"SÍ — stock 0 y Sep cayó (prom Feb-Ago "&amp;TEXT(AVERAGE(INDEX(Ventas!$C$2:$I$5000,MATCH($A669,Ventas!$A$2:$A$5000,0),0)),"#,##0")&amp;")",""))</f>
        <v/>
      </c>
      <c r="AF669" s="60" t="str">
        <f t="array" ref="AF669">IF(X669="","",IF(AE669&lt;&gt;"",MAX(X669,AVERAGE(INDEX(Ventas!$C$2:$I$5000,MATCH($A669,Ventas!$A$2:$A$5000,0),0))),X669))</f>
        <v/>
      </c>
      <c r="AG669" s="60" t="str">
        <f t="shared" si="8"/>
        <v/>
      </c>
      <c r="AH669" s="63" t="str">
        <f t="shared" si="9"/>
        <v/>
      </c>
    </row>
    <row r="670" ht="13.5" customHeight="1">
      <c r="A670" s="49"/>
      <c r="B670" s="65">
        <v>0.0</v>
      </c>
      <c r="C670" s="65">
        <v>0.0</v>
      </c>
      <c r="D670" s="68">
        <v>0.0</v>
      </c>
      <c r="E670" s="51"/>
      <c r="F670" s="98">
        <v>0.0</v>
      </c>
      <c r="G670" s="98">
        <v>0.0</v>
      </c>
      <c r="H670" s="99">
        <v>0.0</v>
      </c>
      <c r="I670" s="99">
        <v>0.0</v>
      </c>
      <c r="J670" s="98">
        <v>0.0</v>
      </c>
      <c r="K670" s="53"/>
      <c r="L670" s="100"/>
      <c r="M670" s="53"/>
      <c r="N670" s="101"/>
      <c r="O670" s="10"/>
      <c r="P670" s="18"/>
      <c r="Q670" s="10"/>
      <c r="R670" s="10"/>
      <c r="S670" s="10"/>
      <c r="T670" s="10"/>
      <c r="U670" s="10"/>
      <c r="V670" s="10"/>
      <c r="W670" s="10"/>
      <c r="X670" s="18"/>
      <c r="Y670" s="18"/>
      <c r="Z670" s="103"/>
      <c r="AA670" s="18"/>
      <c r="AB670" s="18"/>
      <c r="AC670" s="18"/>
      <c r="AD670" s="18"/>
      <c r="AE670" s="18"/>
      <c r="AF670" s="18"/>
      <c r="AG670" s="18"/>
    </row>
    <row r="671" ht="13.5" customHeight="1">
      <c r="A671" s="104"/>
      <c r="B671" s="104"/>
      <c r="C671" s="104" t="s">
        <v>17</v>
      </c>
      <c r="D671" s="104" t="s">
        <v>4000</v>
      </c>
      <c r="E671" s="105">
        <f t="shared" ref="E671:N671" si="10">SUM(E8:E670)</f>
        <v>532873</v>
      </c>
      <c r="F671" s="106">
        <f t="shared" si="10"/>
        <v>55936</v>
      </c>
      <c r="G671" s="107">
        <f t="shared" si="10"/>
        <v>129105.5</v>
      </c>
      <c r="H671" s="107">
        <f t="shared" si="10"/>
        <v>120573.2</v>
      </c>
      <c r="I671" s="107">
        <f t="shared" si="10"/>
        <v>51520</v>
      </c>
      <c r="J671" s="107">
        <f t="shared" si="10"/>
        <v>58970</v>
      </c>
      <c r="K671" s="107">
        <f t="shared" si="10"/>
        <v>35000</v>
      </c>
      <c r="L671" s="107">
        <f t="shared" si="10"/>
        <v>54300</v>
      </c>
      <c r="M671" s="108">
        <f t="shared" si="10"/>
        <v>57000</v>
      </c>
      <c r="N671" s="108">
        <f t="shared" si="10"/>
        <v>26000</v>
      </c>
      <c r="O671" s="1"/>
      <c r="P671" s="109">
        <f>SUM(P8:P670)</f>
        <v>1121277.7</v>
      </c>
      <c r="Q671" s="1"/>
      <c r="R671" s="1"/>
      <c r="S671" s="1"/>
      <c r="T671" s="1"/>
      <c r="U671" s="1"/>
      <c r="V671" s="1"/>
      <c r="W671" s="1"/>
      <c r="X671" s="60"/>
      <c r="Y671" s="60"/>
      <c r="Z671" s="61"/>
      <c r="AA671" s="18"/>
      <c r="AB671" s="18"/>
      <c r="AC671" s="18"/>
      <c r="AD671" s="18"/>
      <c r="AE671" s="18"/>
      <c r="AF671" s="18"/>
      <c r="AG671" s="18"/>
    </row>
    <row r="672" ht="13.5" customHeight="1">
      <c r="A672" s="1"/>
      <c r="B672" s="1"/>
      <c r="C672" s="1"/>
      <c r="D672" s="1"/>
      <c r="E672" s="1"/>
      <c r="F672" s="110"/>
      <c r="G672" s="10"/>
      <c r="H672" s="111" t="s">
        <v>4001</v>
      </c>
      <c r="I672" s="39"/>
      <c r="J672" s="10"/>
      <c r="K672" s="10"/>
      <c r="L672" s="111" t="s">
        <v>4002</v>
      </c>
      <c r="M672" s="10"/>
      <c r="N672" s="112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0"/>
      <c r="AB672" s="10"/>
      <c r="AC672" s="10"/>
      <c r="AD672" s="10"/>
      <c r="AE672" s="10"/>
      <c r="AF672" s="10"/>
      <c r="AG672" s="10"/>
    </row>
    <row r="673" ht="13.5" customHeight="1">
      <c r="A673" s="1"/>
      <c r="B673" s="1"/>
      <c r="C673" s="1"/>
      <c r="D673" s="1"/>
      <c r="E673" s="1"/>
      <c r="F673" s="110"/>
      <c r="G673" s="10"/>
      <c r="H673" s="39"/>
      <c r="I673" s="39"/>
      <c r="J673" s="10"/>
      <c r="K673" s="10"/>
      <c r="L673" s="39"/>
      <c r="M673" s="10"/>
      <c r="N673" s="112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0"/>
      <c r="AB673" s="10"/>
      <c r="AC673" s="10"/>
      <c r="AD673" s="10"/>
      <c r="AE673" s="10"/>
      <c r="AF673" s="10"/>
      <c r="AG673" s="10"/>
    </row>
    <row r="674" ht="13.5" customHeight="1">
      <c r="A674" s="1"/>
      <c r="B674" s="1"/>
      <c r="C674" s="1"/>
      <c r="D674" s="1"/>
      <c r="E674" s="1"/>
      <c r="F674" s="110"/>
      <c r="G674" s="10"/>
      <c r="H674" s="39"/>
      <c r="I674" s="39"/>
      <c r="J674" s="10"/>
      <c r="K674" s="10"/>
      <c r="L674" s="39"/>
      <c r="M674" s="10"/>
      <c r="N674" s="112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0"/>
      <c r="AB674" s="10"/>
      <c r="AC674" s="10"/>
      <c r="AD674" s="10"/>
      <c r="AE674" s="10"/>
      <c r="AF674" s="10"/>
      <c r="AG674" s="10"/>
    </row>
    <row r="675" ht="13.5" customHeight="1">
      <c r="A675" s="1"/>
      <c r="B675" s="1"/>
      <c r="C675" s="1"/>
      <c r="D675" s="1"/>
      <c r="E675" s="1"/>
      <c r="F675" s="110"/>
      <c r="G675" s="10"/>
      <c r="H675" s="39"/>
      <c r="I675" s="39"/>
      <c r="J675" s="10"/>
      <c r="K675" s="10"/>
      <c r="L675" s="39"/>
      <c r="M675" s="10"/>
      <c r="N675" s="112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0"/>
      <c r="AB675" s="10"/>
      <c r="AC675" s="10"/>
      <c r="AD675" s="10"/>
      <c r="AE675" s="10"/>
      <c r="AF675" s="10"/>
      <c r="AG675" s="10"/>
    </row>
    <row r="676" ht="13.5" customHeight="1">
      <c r="A676" s="1"/>
      <c r="B676" s="1"/>
      <c r="C676" s="1"/>
      <c r="D676" s="1"/>
      <c r="E676" s="1"/>
      <c r="F676" s="110"/>
      <c r="G676" s="10"/>
      <c r="H676" s="39"/>
      <c r="I676" s="39"/>
      <c r="J676" s="10"/>
      <c r="K676" s="10"/>
      <c r="L676" s="39"/>
      <c r="M676" s="10"/>
      <c r="N676" s="112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0"/>
      <c r="AB676" s="10"/>
      <c r="AC676" s="10"/>
      <c r="AD676" s="10"/>
      <c r="AE676" s="10"/>
      <c r="AF676" s="10"/>
      <c r="AG676" s="10"/>
    </row>
    <row r="677" ht="13.5" customHeight="1">
      <c r="A677" s="1"/>
      <c r="B677" s="1"/>
      <c r="C677" s="1"/>
      <c r="D677" s="1"/>
      <c r="E677" s="1"/>
      <c r="F677" s="110"/>
      <c r="G677" s="10"/>
      <c r="H677" s="39"/>
      <c r="I677" s="39"/>
      <c r="J677" s="10"/>
      <c r="K677" s="10"/>
      <c r="L677" s="39"/>
      <c r="M677" s="10"/>
      <c r="N677" s="112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0"/>
      <c r="AB677" s="10"/>
      <c r="AC677" s="10"/>
      <c r="AD677" s="10"/>
      <c r="AE677" s="10"/>
      <c r="AF677" s="10"/>
      <c r="AG677" s="10"/>
    </row>
    <row r="678" ht="13.5" customHeight="1">
      <c r="A678" s="1"/>
      <c r="B678" s="1"/>
      <c r="C678" s="1"/>
      <c r="D678" s="1"/>
      <c r="E678" s="1"/>
      <c r="F678" s="110"/>
      <c r="G678" s="10"/>
      <c r="H678" s="39"/>
      <c r="I678" s="39"/>
      <c r="J678" s="10"/>
      <c r="K678" s="10"/>
      <c r="L678" s="39"/>
      <c r="M678" s="10"/>
      <c r="N678" s="112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0"/>
      <c r="AB678" s="10"/>
      <c r="AC678" s="10"/>
      <c r="AD678" s="10"/>
      <c r="AE678" s="10"/>
      <c r="AF678" s="10"/>
      <c r="AG678" s="10"/>
    </row>
    <row r="679" ht="13.5" customHeight="1">
      <c r="A679" s="1"/>
      <c r="B679" s="1"/>
      <c r="C679" s="1"/>
      <c r="D679" s="113"/>
      <c r="E679" s="1"/>
      <c r="F679" s="110"/>
      <c r="G679" s="10"/>
      <c r="H679" s="39"/>
      <c r="I679" s="39"/>
      <c r="J679" s="10"/>
      <c r="K679" s="10"/>
      <c r="L679" s="39"/>
      <c r="M679" s="10"/>
      <c r="N679" s="112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0"/>
      <c r="AB679" s="10"/>
      <c r="AC679" s="10"/>
      <c r="AD679" s="10"/>
      <c r="AE679" s="10"/>
      <c r="AF679" s="10"/>
      <c r="AG679" s="10"/>
    </row>
    <row r="680" ht="13.5" customHeight="1">
      <c r="A680" s="1"/>
      <c r="B680" s="1"/>
      <c r="C680" s="1"/>
      <c r="D680" s="1"/>
      <c r="E680" s="1"/>
      <c r="F680" s="110"/>
      <c r="G680" s="10"/>
      <c r="H680" s="39"/>
      <c r="I680" s="39"/>
      <c r="J680" s="10"/>
      <c r="K680" s="10"/>
      <c r="L680" s="39"/>
      <c r="M680" s="10"/>
      <c r="N680" s="112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0"/>
      <c r="AB680" s="10"/>
      <c r="AC680" s="10"/>
      <c r="AD680" s="10"/>
      <c r="AE680" s="10"/>
      <c r="AF680" s="10"/>
      <c r="AG680" s="10"/>
    </row>
    <row r="681" ht="13.5" customHeight="1">
      <c r="A681" s="1"/>
      <c r="B681" s="1"/>
      <c r="C681" s="1"/>
      <c r="D681" s="1"/>
      <c r="E681" s="1"/>
      <c r="F681" s="110"/>
      <c r="G681" s="10"/>
      <c r="H681" s="39"/>
      <c r="I681" s="39"/>
      <c r="J681" s="10"/>
      <c r="K681" s="10"/>
      <c r="L681" s="39"/>
      <c r="M681" s="10"/>
      <c r="N681" s="112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0"/>
      <c r="AB681" s="10"/>
      <c r="AC681" s="10"/>
      <c r="AD681" s="10"/>
      <c r="AE681" s="10"/>
      <c r="AF681" s="10"/>
      <c r="AG681" s="10"/>
    </row>
    <row r="682" ht="13.5" customHeight="1">
      <c r="A682" s="1"/>
      <c r="B682" s="1"/>
      <c r="C682" s="1"/>
      <c r="D682" s="1"/>
      <c r="E682" s="1"/>
      <c r="F682" s="110"/>
      <c r="G682" s="10"/>
      <c r="H682" s="39"/>
      <c r="I682" s="39"/>
      <c r="J682" s="10"/>
      <c r="K682" s="10"/>
      <c r="L682" s="39"/>
      <c r="M682" s="10"/>
      <c r="N682" s="112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0"/>
      <c r="AB682" s="10"/>
      <c r="AC682" s="10"/>
      <c r="AD682" s="10"/>
      <c r="AE682" s="10"/>
      <c r="AF682" s="10"/>
      <c r="AG682" s="10"/>
    </row>
    <row r="683" ht="13.5" customHeight="1">
      <c r="A683" s="1"/>
      <c r="B683" s="1"/>
      <c r="C683" s="1"/>
      <c r="D683" s="1"/>
      <c r="E683" s="1"/>
      <c r="F683" s="110"/>
      <c r="G683" s="10"/>
      <c r="H683" s="39"/>
      <c r="I683" s="39"/>
      <c r="J683" s="10"/>
      <c r="K683" s="10"/>
      <c r="L683" s="39"/>
      <c r="M683" s="10"/>
      <c r="N683" s="112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0"/>
      <c r="AB683" s="10"/>
      <c r="AC683" s="10"/>
      <c r="AD683" s="10"/>
      <c r="AE683" s="10"/>
      <c r="AF683" s="10"/>
      <c r="AG683" s="10"/>
    </row>
    <row r="684" ht="13.5" customHeight="1">
      <c r="A684" s="1"/>
      <c r="B684" s="1"/>
      <c r="C684" s="1"/>
      <c r="D684" s="1"/>
      <c r="E684" s="1"/>
      <c r="F684" s="110"/>
      <c r="G684" s="10"/>
      <c r="H684" s="39"/>
      <c r="I684" s="39"/>
      <c r="J684" s="10"/>
      <c r="K684" s="10"/>
      <c r="L684" s="39"/>
      <c r="M684" s="10"/>
      <c r="N684" s="112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0"/>
      <c r="AB684" s="10"/>
      <c r="AC684" s="10"/>
      <c r="AD684" s="10"/>
      <c r="AE684" s="10"/>
      <c r="AF684" s="10"/>
      <c r="AG684" s="10"/>
    </row>
    <row r="685" ht="13.5" customHeight="1">
      <c r="A685" s="1"/>
      <c r="B685" s="1"/>
      <c r="C685" s="1"/>
      <c r="D685" s="1"/>
      <c r="E685" s="1"/>
      <c r="F685" s="110"/>
      <c r="G685" s="10"/>
      <c r="H685" s="39"/>
      <c r="I685" s="39"/>
      <c r="J685" s="10"/>
      <c r="K685" s="10"/>
      <c r="L685" s="39"/>
      <c r="M685" s="10"/>
      <c r="N685" s="112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0"/>
      <c r="AB685" s="10"/>
      <c r="AC685" s="10"/>
      <c r="AD685" s="10"/>
      <c r="AE685" s="10"/>
      <c r="AF685" s="10"/>
      <c r="AG685" s="10"/>
    </row>
    <row r="686" ht="13.5" customHeight="1">
      <c r="A686" s="1"/>
      <c r="B686" s="1"/>
      <c r="C686" s="1"/>
      <c r="D686" s="1"/>
      <c r="E686" s="1"/>
      <c r="F686" s="110"/>
      <c r="G686" s="10"/>
      <c r="H686" s="39"/>
      <c r="I686" s="39"/>
      <c r="J686" s="10"/>
      <c r="K686" s="10"/>
      <c r="L686" s="39"/>
      <c r="M686" s="10"/>
      <c r="N686" s="112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0"/>
      <c r="AB686" s="10"/>
      <c r="AC686" s="10"/>
      <c r="AD686" s="10"/>
      <c r="AE686" s="10"/>
      <c r="AF686" s="10"/>
      <c r="AG686" s="10"/>
    </row>
    <row r="687" ht="13.5" customHeight="1">
      <c r="A687" s="1"/>
      <c r="B687" s="1"/>
      <c r="C687" s="1"/>
      <c r="D687" s="1"/>
      <c r="E687" s="1"/>
      <c r="F687" s="110"/>
      <c r="G687" s="10"/>
      <c r="H687" s="39"/>
      <c r="I687" s="39"/>
      <c r="J687" s="10"/>
      <c r="K687" s="10"/>
      <c r="L687" s="39"/>
      <c r="M687" s="10"/>
      <c r="N687" s="112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0"/>
      <c r="AB687" s="10"/>
      <c r="AC687" s="10"/>
      <c r="AD687" s="10"/>
      <c r="AE687" s="10"/>
      <c r="AF687" s="10"/>
      <c r="AG687" s="10"/>
    </row>
    <row r="688" ht="13.5" customHeight="1">
      <c r="A688" s="1"/>
      <c r="B688" s="1"/>
      <c r="C688" s="1"/>
      <c r="D688" s="1"/>
      <c r="E688" s="1"/>
      <c r="F688" s="110"/>
      <c r="G688" s="10"/>
      <c r="H688" s="39"/>
      <c r="I688" s="39"/>
      <c r="J688" s="10"/>
      <c r="K688" s="10"/>
      <c r="L688" s="39"/>
      <c r="M688" s="10"/>
      <c r="N688" s="112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0"/>
      <c r="AB688" s="10"/>
      <c r="AC688" s="10"/>
      <c r="AD688" s="10"/>
      <c r="AE688" s="10"/>
      <c r="AF688" s="10"/>
      <c r="AG688" s="10"/>
    </row>
    <row r="689" ht="13.5" customHeight="1">
      <c r="A689" s="1"/>
      <c r="B689" s="1"/>
      <c r="C689" s="1"/>
      <c r="D689" s="1"/>
      <c r="E689" s="1"/>
      <c r="F689" s="110"/>
      <c r="G689" s="10"/>
      <c r="H689" s="39"/>
      <c r="I689" s="39"/>
      <c r="J689" s="10"/>
      <c r="K689" s="10"/>
      <c r="L689" s="39"/>
      <c r="M689" s="10"/>
      <c r="N689" s="112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0"/>
      <c r="AB689" s="10"/>
      <c r="AC689" s="10"/>
      <c r="AD689" s="10"/>
      <c r="AE689" s="10"/>
      <c r="AF689" s="10"/>
      <c r="AG689" s="10"/>
    </row>
    <row r="690" ht="13.5" customHeight="1">
      <c r="A690" s="1"/>
      <c r="B690" s="1"/>
      <c r="C690" s="1"/>
      <c r="D690" s="1"/>
      <c r="E690" s="1"/>
      <c r="F690" s="110"/>
      <c r="G690" s="10"/>
      <c r="H690" s="39"/>
      <c r="I690" s="39"/>
      <c r="J690" s="10"/>
      <c r="K690" s="10"/>
      <c r="L690" s="39"/>
      <c r="M690" s="10"/>
      <c r="N690" s="112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0"/>
      <c r="AB690" s="10"/>
      <c r="AC690" s="10"/>
      <c r="AD690" s="10"/>
      <c r="AE690" s="10"/>
      <c r="AF690" s="10"/>
      <c r="AG690" s="10"/>
    </row>
    <row r="691" ht="13.5" customHeight="1">
      <c r="A691" s="1"/>
      <c r="B691" s="1"/>
      <c r="C691" s="1"/>
      <c r="D691" s="1"/>
      <c r="E691" s="1"/>
      <c r="F691" s="110"/>
      <c r="G691" s="10"/>
      <c r="H691" s="39"/>
      <c r="I691" s="39"/>
      <c r="J691" s="10"/>
      <c r="K691" s="10"/>
      <c r="L691" s="39"/>
      <c r="M691" s="10"/>
      <c r="N691" s="112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0"/>
      <c r="AB691" s="10"/>
      <c r="AC691" s="10"/>
      <c r="AD691" s="10"/>
      <c r="AE691" s="10"/>
      <c r="AF691" s="10"/>
      <c r="AG691" s="10"/>
    </row>
    <row r="692" ht="13.5" customHeight="1">
      <c r="A692" s="1"/>
      <c r="B692" s="1"/>
      <c r="C692" s="1"/>
      <c r="D692" s="1"/>
      <c r="E692" s="1"/>
      <c r="F692" s="110"/>
      <c r="G692" s="10"/>
      <c r="H692" s="39"/>
      <c r="I692" s="39"/>
      <c r="J692" s="10"/>
      <c r="K692" s="10"/>
      <c r="L692" s="39"/>
      <c r="M692" s="10"/>
      <c r="N692" s="112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0"/>
      <c r="AB692" s="10"/>
      <c r="AC692" s="10"/>
      <c r="AD692" s="10"/>
      <c r="AE692" s="10"/>
      <c r="AF692" s="10"/>
      <c r="AG692" s="10"/>
    </row>
    <row r="693" ht="13.5" customHeight="1">
      <c r="A693" s="1"/>
      <c r="B693" s="1"/>
      <c r="C693" s="1"/>
      <c r="D693" s="1"/>
      <c r="E693" s="1"/>
      <c r="F693" s="110"/>
      <c r="G693" s="10"/>
      <c r="H693" s="39"/>
      <c r="I693" s="39"/>
      <c r="J693" s="10"/>
      <c r="K693" s="10"/>
      <c r="L693" s="39"/>
      <c r="M693" s="10"/>
      <c r="N693" s="112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0"/>
      <c r="AB693" s="10"/>
      <c r="AC693" s="10"/>
      <c r="AD693" s="10"/>
      <c r="AE693" s="10"/>
      <c r="AF693" s="10"/>
      <c r="AG693" s="10"/>
    </row>
    <row r="694" ht="13.5" customHeight="1">
      <c r="A694" s="1"/>
      <c r="B694" s="1"/>
      <c r="C694" s="1"/>
      <c r="D694" s="1"/>
      <c r="E694" s="1"/>
      <c r="F694" s="110"/>
      <c r="G694" s="10"/>
      <c r="H694" s="39"/>
      <c r="I694" s="39"/>
      <c r="J694" s="10"/>
      <c r="K694" s="10"/>
      <c r="L694" s="39"/>
      <c r="M694" s="10"/>
      <c r="N694" s="112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0"/>
      <c r="AB694" s="10"/>
      <c r="AC694" s="10"/>
      <c r="AD694" s="10"/>
      <c r="AE694" s="10"/>
      <c r="AF694" s="10"/>
      <c r="AG694" s="10"/>
    </row>
    <row r="695" ht="13.5" customHeight="1">
      <c r="A695" s="1"/>
      <c r="B695" s="1"/>
      <c r="C695" s="1"/>
      <c r="D695" s="1"/>
      <c r="E695" s="1"/>
      <c r="F695" s="110"/>
      <c r="G695" s="10"/>
      <c r="H695" s="39"/>
      <c r="I695" s="39"/>
      <c r="J695" s="10"/>
      <c r="K695" s="10"/>
      <c r="L695" s="39"/>
      <c r="M695" s="10"/>
      <c r="N695" s="112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0"/>
      <c r="AB695" s="10"/>
      <c r="AC695" s="10"/>
      <c r="AD695" s="10"/>
      <c r="AE695" s="10"/>
      <c r="AF695" s="10"/>
      <c r="AG695" s="10"/>
    </row>
    <row r="696" ht="13.5" customHeight="1">
      <c r="A696" s="1"/>
      <c r="B696" s="1"/>
      <c r="C696" s="1"/>
      <c r="D696" s="1"/>
      <c r="E696" s="1"/>
      <c r="F696" s="110"/>
      <c r="G696" s="10"/>
      <c r="H696" s="39"/>
      <c r="I696" s="39"/>
      <c r="J696" s="10"/>
      <c r="K696" s="10"/>
      <c r="L696" s="39"/>
      <c r="M696" s="10"/>
      <c r="N696" s="112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0"/>
      <c r="AB696" s="10"/>
      <c r="AC696" s="10"/>
      <c r="AD696" s="10"/>
      <c r="AE696" s="10"/>
      <c r="AF696" s="10"/>
      <c r="AG696" s="10"/>
    </row>
    <row r="697" ht="13.5" customHeight="1">
      <c r="A697" s="1"/>
      <c r="B697" s="1"/>
      <c r="C697" s="1"/>
      <c r="D697" s="1"/>
      <c r="E697" s="1"/>
      <c r="F697" s="110"/>
      <c r="G697" s="10"/>
      <c r="H697" s="39"/>
      <c r="I697" s="39"/>
      <c r="J697" s="10"/>
      <c r="K697" s="10"/>
      <c r="L697" s="39"/>
      <c r="M697" s="10"/>
      <c r="N697" s="112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0"/>
      <c r="AB697" s="10"/>
      <c r="AC697" s="10"/>
      <c r="AD697" s="10"/>
      <c r="AE697" s="10"/>
      <c r="AF697" s="10"/>
      <c r="AG697" s="10"/>
    </row>
    <row r="698" ht="13.5" customHeight="1">
      <c r="A698" s="1"/>
      <c r="B698" s="1"/>
      <c r="C698" s="1"/>
      <c r="D698" s="1"/>
      <c r="E698" s="1"/>
      <c r="F698" s="110"/>
      <c r="G698" s="10"/>
      <c r="H698" s="39"/>
      <c r="I698" s="39"/>
      <c r="J698" s="10"/>
      <c r="K698" s="10"/>
      <c r="L698" s="39"/>
      <c r="M698" s="10"/>
      <c r="N698" s="112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0"/>
      <c r="AB698" s="10"/>
      <c r="AC698" s="10"/>
      <c r="AD698" s="10"/>
      <c r="AE698" s="10"/>
      <c r="AF698" s="10"/>
      <c r="AG698" s="10"/>
    </row>
    <row r="699" ht="13.5" customHeight="1">
      <c r="A699" s="1"/>
      <c r="B699" s="1"/>
      <c r="C699" s="1"/>
      <c r="D699" s="1"/>
      <c r="E699" s="1"/>
      <c r="F699" s="110"/>
      <c r="G699" s="10"/>
      <c r="H699" s="39"/>
      <c r="I699" s="39"/>
      <c r="J699" s="10"/>
      <c r="K699" s="10"/>
      <c r="L699" s="39"/>
      <c r="M699" s="10"/>
      <c r="N699" s="112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0"/>
      <c r="AB699" s="10"/>
      <c r="AC699" s="10"/>
      <c r="AD699" s="10"/>
      <c r="AE699" s="10"/>
      <c r="AF699" s="10"/>
      <c r="AG699" s="10"/>
    </row>
    <row r="700" ht="13.5" customHeight="1">
      <c r="A700" s="1"/>
      <c r="B700" s="1"/>
      <c r="C700" s="1"/>
      <c r="D700" s="1"/>
      <c r="E700" s="1"/>
      <c r="F700" s="110"/>
      <c r="G700" s="10"/>
      <c r="H700" s="39"/>
      <c r="I700" s="39"/>
      <c r="J700" s="10"/>
      <c r="K700" s="10"/>
      <c r="L700" s="39"/>
      <c r="M700" s="10"/>
      <c r="N700" s="112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0"/>
      <c r="AB700" s="10"/>
      <c r="AC700" s="10"/>
      <c r="AD700" s="10"/>
      <c r="AE700" s="10"/>
      <c r="AF700" s="10"/>
      <c r="AG700" s="10"/>
    </row>
    <row r="701" ht="13.5" customHeight="1">
      <c r="A701" s="1"/>
      <c r="B701" s="1"/>
      <c r="C701" s="1"/>
      <c r="D701" s="1"/>
      <c r="E701" s="1"/>
      <c r="F701" s="110"/>
      <c r="G701" s="10"/>
      <c r="H701" s="39"/>
      <c r="I701" s="39"/>
      <c r="J701" s="10"/>
      <c r="K701" s="10"/>
      <c r="L701" s="39"/>
      <c r="M701" s="10"/>
      <c r="N701" s="112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0"/>
      <c r="AB701" s="10"/>
      <c r="AC701" s="10"/>
      <c r="AD701" s="10"/>
      <c r="AE701" s="10"/>
      <c r="AF701" s="10"/>
      <c r="AG701" s="10"/>
    </row>
    <row r="702" ht="13.5" customHeight="1">
      <c r="A702" s="1"/>
      <c r="B702" s="1"/>
      <c r="C702" s="1"/>
      <c r="D702" s="1"/>
      <c r="E702" s="1"/>
      <c r="F702" s="110"/>
      <c r="G702" s="10"/>
      <c r="H702" s="39"/>
      <c r="I702" s="39"/>
      <c r="J702" s="10"/>
      <c r="K702" s="10"/>
      <c r="L702" s="39"/>
      <c r="M702" s="10"/>
      <c r="N702" s="112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0"/>
      <c r="AB702" s="10"/>
      <c r="AC702" s="10"/>
      <c r="AD702" s="10"/>
      <c r="AE702" s="10"/>
      <c r="AF702" s="10"/>
      <c r="AG702" s="10"/>
    </row>
    <row r="703" ht="13.5" customHeight="1">
      <c r="A703" s="1"/>
      <c r="B703" s="1"/>
      <c r="C703" s="1"/>
      <c r="D703" s="1"/>
      <c r="E703" s="1"/>
      <c r="F703" s="110"/>
      <c r="G703" s="10"/>
      <c r="H703" s="39"/>
      <c r="I703" s="39"/>
      <c r="J703" s="10"/>
      <c r="K703" s="10"/>
      <c r="L703" s="39"/>
      <c r="M703" s="10"/>
      <c r="N703" s="112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0"/>
      <c r="AB703" s="10"/>
      <c r="AC703" s="10"/>
      <c r="AD703" s="10"/>
      <c r="AE703" s="10"/>
      <c r="AF703" s="10"/>
      <c r="AG703" s="10"/>
    </row>
    <row r="704" ht="13.5" customHeight="1">
      <c r="A704" s="1"/>
      <c r="B704" s="1"/>
      <c r="C704" s="1"/>
      <c r="D704" s="1"/>
      <c r="E704" s="1"/>
      <c r="F704" s="110"/>
      <c r="G704" s="10"/>
      <c r="H704" s="39"/>
      <c r="I704" s="39"/>
      <c r="J704" s="10"/>
      <c r="K704" s="10"/>
      <c r="L704" s="39"/>
      <c r="M704" s="10"/>
      <c r="N704" s="112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0"/>
      <c r="AB704" s="10"/>
      <c r="AC704" s="10"/>
      <c r="AD704" s="10"/>
      <c r="AE704" s="10"/>
      <c r="AF704" s="10"/>
      <c r="AG704" s="10"/>
    </row>
    <row r="705" ht="13.5" customHeight="1">
      <c r="A705" s="1"/>
      <c r="B705" s="1"/>
      <c r="C705" s="1"/>
      <c r="D705" s="1"/>
      <c r="E705" s="1"/>
      <c r="F705" s="110"/>
      <c r="G705" s="10"/>
      <c r="H705" s="39"/>
      <c r="I705" s="39"/>
      <c r="J705" s="10"/>
      <c r="K705" s="10"/>
      <c r="L705" s="39"/>
      <c r="M705" s="10"/>
      <c r="N705" s="112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0"/>
      <c r="AB705" s="10"/>
      <c r="AC705" s="10"/>
      <c r="AD705" s="10"/>
      <c r="AE705" s="10"/>
      <c r="AF705" s="10"/>
      <c r="AG705" s="10"/>
    </row>
    <row r="706" ht="13.5" customHeight="1">
      <c r="A706" s="1"/>
      <c r="B706" s="1"/>
      <c r="C706" s="1"/>
      <c r="D706" s="1"/>
      <c r="E706" s="1"/>
      <c r="F706" s="110"/>
      <c r="G706" s="10"/>
      <c r="H706" s="39"/>
      <c r="I706" s="39"/>
      <c r="J706" s="10"/>
      <c r="K706" s="10"/>
      <c r="L706" s="39"/>
      <c r="M706" s="10"/>
      <c r="N706" s="112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0"/>
      <c r="AB706" s="10"/>
      <c r="AC706" s="10"/>
      <c r="AD706" s="10"/>
      <c r="AE706" s="10"/>
      <c r="AF706" s="10"/>
      <c r="AG706" s="10"/>
    </row>
    <row r="707" ht="13.5" customHeight="1">
      <c r="A707" s="1"/>
      <c r="B707" s="1"/>
      <c r="C707" s="1"/>
      <c r="D707" s="1"/>
      <c r="E707" s="1"/>
      <c r="F707" s="110"/>
      <c r="G707" s="10"/>
      <c r="H707" s="39"/>
      <c r="I707" s="39"/>
      <c r="J707" s="10"/>
      <c r="K707" s="10"/>
      <c r="L707" s="39"/>
      <c r="M707" s="10"/>
      <c r="N707" s="112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0"/>
      <c r="AB707" s="10"/>
      <c r="AC707" s="10"/>
      <c r="AD707" s="10"/>
      <c r="AE707" s="10"/>
      <c r="AF707" s="10"/>
      <c r="AG707" s="10"/>
    </row>
    <row r="708" ht="13.5" customHeight="1">
      <c r="A708" s="1"/>
      <c r="B708" s="1"/>
      <c r="C708" s="1"/>
      <c r="D708" s="1"/>
      <c r="E708" s="1"/>
      <c r="F708" s="110"/>
      <c r="G708" s="10"/>
      <c r="H708" s="39"/>
      <c r="I708" s="39"/>
      <c r="J708" s="10"/>
      <c r="K708" s="10"/>
      <c r="L708" s="39"/>
      <c r="M708" s="10"/>
      <c r="N708" s="112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0"/>
      <c r="AB708" s="10"/>
      <c r="AC708" s="10"/>
      <c r="AD708" s="10"/>
      <c r="AE708" s="10"/>
      <c r="AF708" s="10"/>
      <c r="AG708" s="10"/>
    </row>
    <row r="709" ht="13.5" customHeight="1">
      <c r="A709" s="1"/>
      <c r="B709" s="1"/>
      <c r="C709" s="1"/>
      <c r="D709" s="1"/>
      <c r="E709" s="1"/>
      <c r="F709" s="110"/>
      <c r="G709" s="10"/>
      <c r="H709" s="39"/>
      <c r="I709" s="39"/>
      <c r="J709" s="10"/>
      <c r="K709" s="10"/>
      <c r="L709" s="39"/>
      <c r="M709" s="10"/>
      <c r="N709" s="112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0"/>
      <c r="AB709" s="10"/>
      <c r="AC709" s="10"/>
      <c r="AD709" s="10"/>
      <c r="AE709" s="10"/>
      <c r="AF709" s="10"/>
      <c r="AG709" s="10"/>
    </row>
    <row r="710" ht="13.5" customHeight="1">
      <c r="A710" s="1"/>
      <c r="B710" s="1"/>
      <c r="C710" s="1"/>
      <c r="D710" s="1"/>
      <c r="E710" s="1"/>
      <c r="F710" s="110"/>
      <c r="G710" s="10"/>
      <c r="H710" s="39"/>
      <c r="I710" s="39"/>
      <c r="J710" s="10"/>
      <c r="K710" s="10"/>
      <c r="L710" s="39"/>
      <c r="M710" s="10"/>
      <c r="N710" s="112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0"/>
      <c r="AB710" s="10"/>
      <c r="AC710" s="10"/>
      <c r="AD710" s="10"/>
      <c r="AE710" s="10"/>
      <c r="AF710" s="10"/>
      <c r="AG710" s="10"/>
    </row>
    <row r="711" ht="13.5" customHeight="1">
      <c r="A711" s="1"/>
      <c r="B711" s="1"/>
      <c r="C711" s="1"/>
      <c r="D711" s="1"/>
      <c r="E711" s="1"/>
      <c r="F711" s="110"/>
      <c r="G711" s="10"/>
      <c r="H711" s="39"/>
      <c r="I711" s="39"/>
      <c r="J711" s="10"/>
      <c r="K711" s="10"/>
      <c r="L711" s="39"/>
      <c r="M711" s="10"/>
      <c r="N711" s="112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0"/>
      <c r="AB711" s="10"/>
      <c r="AC711" s="10"/>
      <c r="AD711" s="10"/>
      <c r="AE711" s="10"/>
      <c r="AF711" s="10"/>
      <c r="AG711" s="10"/>
    </row>
    <row r="712" ht="13.5" customHeight="1">
      <c r="A712" s="1"/>
      <c r="B712" s="1"/>
      <c r="C712" s="1"/>
      <c r="D712" s="1"/>
      <c r="E712" s="1"/>
      <c r="F712" s="110"/>
      <c r="G712" s="10"/>
      <c r="H712" s="39"/>
      <c r="I712" s="39"/>
      <c r="J712" s="10"/>
      <c r="K712" s="10"/>
      <c r="L712" s="39"/>
      <c r="M712" s="10"/>
      <c r="N712" s="112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0"/>
      <c r="AB712" s="10"/>
      <c r="AC712" s="10"/>
      <c r="AD712" s="10"/>
      <c r="AE712" s="10"/>
      <c r="AF712" s="10"/>
      <c r="AG712" s="10"/>
    </row>
    <row r="713" ht="13.5" customHeight="1">
      <c r="A713" s="1"/>
      <c r="B713" s="1"/>
      <c r="C713" s="1"/>
      <c r="D713" s="1"/>
      <c r="E713" s="1"/>
      <c r="F713" s="110"/>
      <c r="G713" s="10"/>
      <c r="H713" s="39"/>
      <c r="I713" s="39"/>
      <c r="J713" s="10"/>
      <c r="K713" s="10"/>
      <c r="L713" s="39"/>
      <c r="M713" s="10"/>
      <c r="N713" s="112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0"/>
      <c r="AB713" s="10"/>
      <c r="AC713" s="10"/>
      <c r="AD713" s="10"/>
      <c r="AE713" s="10"/>
      <c r="AF713" s="10"/>
      <c r="AG713" s="10"/>
    </row>
    <row r="714" ht="13.5" customHeight="1">
      <c r="A714" s="1"/>
      <c r="B714" s="1"/>
      <c r="C714" s="1"/>
      <c r="D714" s="1"/>
      <c r="E714" s="1"/>
      <c r="F714" s="110"/>
      <c r="G714" s="10"/>
      <c r="H714" s="39"/>
      <c r="I714" s="39"/>
      <c r="J714" s="10"/>
      <c r="K714" s="10"/>
      <c r="L714" s="39"/>
      <c r="M714" s="10"/>
      <c r="N714" s="112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0"/>
      <c r="AB714" s="10"/>
      <c r="AC714" s="10"/>
      <c r="AD714" s="10"/>
      <c r="AE714" s="10"/>
      <c r="AF714" s="10"/>
      <c r="AG714" s="10"/>
    </row>
    <row r="715" ht="13.5" customHeight="1">
      <c r="A715" s="1"/>
      <c r="B715" s="1"/>
      <c r="C715" s="1"/>
      <c r="D715" s="1"/>
      <c r="E715" s="1"/>
      <c r="F715" s="110"/>
      <c r="G715" s="10"/>
      <c r="H715" s="39"/>
      <c r="I715" s="39"/>
      <c r="J715" s="10"/>
      <c r="K715" s="10"/>
      <c r="L715" s="39"/>
      <c r="M715" s="10"/>
      <c r="N715" s="112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0"/>
      <c r="AB715" s="10"/>
      <c r="AC715" s="10"/>
      <c r="AD715" s="10"/>
      <c r="AE715" s="10"/>
      <c r="AF715" s="10"/>
      <c r="AG715" s="10"/>
    </row>
    <row r="716" ht="13.5" customHeight="1">
      <c r="A716" s="1"/>
      <c r="B716" s="1"/>
      <c r="C716" s="1"/>
      <c r="D716" s="1"/>
      <c r="E716" s="1"/>
      <c r="F716" s="110"/>
      <c r="G716" s="10"/>
      <c r="H716" s="39"/>
      <c r="I716" s="39"/>
      <c r="J716" s="10"/>
      <c r="K716" s="10"/>
      <c r="L716" s="39"/>
      <c r="M716" s="10"/>
      <c r="N716" s="112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0"/>
      <c r="AB716" s="10"/>
      <c r="AC716" s="10"/>
      <c r="AD716" s="10"/>
      <c r="AE716" s="10"/>
      <c r="AF716" s="10"/>
      <c r="AG716" s="10"/>
    </row>
    <row r="717" ht="13.5" customHeight="1">
      <c r="A717" s="1"/>
      <c r="B717" s="1"/>
      <c r="C717" s="1"/>
      <c r="D717" s="1"/>
      <c r="E717" s="1"/>
      <c r="F717" s="110"/>
      <c r="G717" s="10"/>
      <c r="H717" s="39"/>
      <c r="I717" s="39"/>
      <c r="J717" s="10"/>
      <c r="K717" s="10"/>
      <c r="L717" s="39"/>
      <c r="M717" s="10"/>
      <c r="N717" s="112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0"/>
      <c r="AB717" s="10"/>
      <c r="AC717" s="10"/>
      <c r="AD717" s="10"/>
      <c r="AE717" s="10"/>
      <c r="AF717" s="10"/>
      <c r="AG717" s="10"/>
    </row>
    <row r="718" ht="13.5" customHeight="1">
      <c r="A718" s="1"/>
      <c r="B718" s="1"/>
      <c r="C718" s="1"/>
      <c r="D718" s="1"/>
      <c r="E718" s="1"/>
      <c r="F718" s="110"/>
      <c r="G718" s="10"/>
      <c r="H718" s="39"/>
      <c r="I718" s="39"/>
      <c r="J718" s="10"/>
      <c r="K718" s="10"/>
      <c r="L718" s="39"/>
      <c r="M718" s="10"/>
      <c r="N718" s="112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0"/>
      <c r="AB718" s="10"/>
      <c r="AC718" s="10"/>
      <c r="AD718" s="10"/>
      <c r="AE718" s="10"/>
      <c r="AF718" s="10"/>
      <c r="AG718" s="10"/>
    </row>
    <row r="719" ht="13.5" customHeight="1">
      <c r="A719" s="1"/>
      <c r="B719" s="1"/>
      <c r="C719" s="1"/>
      <c r="D719" s="1"/>
      <c r="E719" s="1"/>
      <c r="F719" s="110"/>
      <c r="G719" s="10"/>
      <c r="H719" s="39"/>
      <c r="I719" s="39"/>
      <c r="J719" s="10"/>
      <c r="K719" s="10"/>
      <c r="L719" s="39"/>
      <c r="M719" s="10"/>
      <c r="N719" s="112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0"/>
      <c r="AB719" s="10"/>
      <c r="AC719" s="10"/>
      <c r="AD719" s="10"/>
      <c r="AE719" s="10"/>
      <c r="AF719" s="10"/>
      <c r="AG719" s="10"/>
    </row>
    <row r="720" ht="13.5" customHeight="1">
      <c r="A720" s="1"/>
      <c r="B720" s="1"/>
      <c r="C720" s="1"/>
      <c r="D720" s="1"/>
      <c r="E720" s="1"/>
      <c r="F720" s="110"/>
      <c r="G720" s="10"/>
      <c r="H720" s="39"/>
      <c r="I720" s="39"/>
      <c r="J720" s="10"/>
      <c r="K720" s="10"/>
      <c r="L720" s="39"/>
      <c r="M720" s="10"/>
      <c r="N720" s="112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0"/>
      <c r="AB720" s="10"/>
      <c r="AC720" s="10"/>
      <c r="AD720" s="10"/>
      <c r="AE720" s="10"/>
      <c r="AF720" s="10"/>
      <c r="AG720" s="10"/>
    </row>
    <row r="721" ht="13.5" customHeight="1">
      <c r="A721" s="1"/>
      <c r="B721" s="1"/>
      <c r="C721" s="1"/>
      <c r="D721" s="1"/>
      <c r="E721" s="1"/>
      <c r="F721" s="110"/>
      <c r="G721" s="10"/>
      <c r="H721" s="39"/>
      <c r="I721" s="39"/>
      <c r="J721" s="10"/>
      <c r="K721" s="10"/>
      <c r="L721" s="39"/>
      <c r="M721" s="10"/>
      <c r="N721" s="112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0"/>
      <c r="AB721" s="10"/>
      <c r="AC721" s="10"/>
      <c r="AD721" s="10"/>
      <c r="AE721" s="10"/>
      <c r="AF721" s="10"/>
      <c r="AG721" s="10"/>
    </row>
    <row r="722" ht="13.5" customHeight="1">
      <c r="A722" s="1"/>
      <c r="B722" s="1"/>
      <c r="C722" s="1"/>
      <c r="D722" s="1"/>
      <c r="E722" s="1"/>
      <c r="F722" s="110"/>
      <c r="G722" s="10"/>
      <c r="H722" s="39"/>
      <c r="I722" s="39"/>
      <c r="J722" s="10"/>
      <c r="K722" s="10"/>
      <c r="L722" s="39"/>
      <c r="M722" s="10"/>
      <c r="N722" s="112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0"/>
      <c r="AB722" s="10"/>
      <c r="AC722" s="10"/>
      <c r="AD722" s="10"/>
      <c r="AE722" s="10"/>
      <c r="AF722" s="10"/>
      <c r="AG722" s="10"/>
    </row>
    <row r="723" ht="13.5" customHeight="1">
      <c r="A723" s="1"/>
      <c r="B723" s="1"/>
      <c r="C723" s="1"/>
      <c r="D723" s="1"/>
      <c r="E723" s="1"/>
      <c r="F723" s="110"/>
      <c r="G723" s="10"/>
      <c r="H723" s="39"/>
      <c r="I723" s="39"/>
      <c r="J723" s="10"/>
      <c r="K723" s="10"/>
      <c r="L723" s="39"/>
      <c r="M723" s="10"/>
      <c r="N723" s="112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0"/>
      <c r="AB723" s="10"/>
      <c r="AC723" s="10"/>
      <c r="AD723" s="10"/>
      <c r="AE723" s="10"/>
      <c r="AF723" s="10"/>
      <c r="AG723" s="10"/>
    </row>
    <row r="724" ht="13.5" customHeight="1">
      <c r="A724" s="1"/>
      <c r="B724" s="1"/>
      <c r="C724" s="1"/>
      <c r="D724" s="1"/>
      <c r="E724" s="1"/>
      <c r="F724" s="110"/>
      <c r="G724" s="10"/>
      <c r="H724" s="39"/>
      <c r="I724" s="39"/>
      <c r="J724" s="10"/>
      <c r="K724" s="10"/>
      <c r="L724" s="39"/>
      <c r="M724" s="10"/>
      <c r="N724" s="112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0"/>
      <c r="AB724" s="10"/>
      <c r="AC724" s="10"/>
      <c r="AD724" s="10"/>
      <c r="AE724" s="10"/>
      <c r="AF724" s="10"/>
      <c r="AG724" s="10"/>
    </row>
    <row r="725" ht="13.5" customHeight="1">
      <c r="A725" s="1"/>
      <c r="B725" s="1"/>
      <c r="C725" s="1"/>
      <c r="D725" s="1"/>
      <c r="E725" s="1"/>
      <c r="F725" s="110"/>
      <c r="G725" s="10"/>
      <c r="H725" s="39"/>
      <c r="I725" s="39"/>
      <c r="J725" s="10"/>
      <c r="K725" s="10"/>
      <c r="L725" s="39"/>
      <c r="M725" s="10"/>
      <c r="N725" s="112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0"/>
      <c r="AB725" s="10"/>
      <c r="AC725" s="10"/>
      <c r="AD725" s="10"/>
      <c r="AE725" s="10"/>
      <c r="AF725" s="10"/>
      <c r="AG725" s="10"/>
    </row>
    <row r="726" ht="13.5" customHeight="1">
      <c r="A726" s="1"/>
      <c r="B726" s="1"/>
      <c r="C726" s="1"/>
      <c r="D726" s="1"/>
      <c r="E726" s="1"/>
      <c r="F726" s="110"/>
      <c r="G726" s="10"/>
      <c r="H726" s="39"/>
      <c r="I726" s="39"/>
      <c r="J726" s="10"/>
      <c r="K726" s="10"/>
      <c r="L726" s="39"/>
      <c r="M726" s="10"/>
      <c r="N726" s="112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0"/>
      <c r="AB726" s="10"/>
      <c r="AC726" s="10"/>
      <c r="AD726" s="10"/>
      <c r="AE726" s="10"/>
      <c r="AF726" s="10"/>
      <c r="AG726" s="10"/>
    </row>
    <row r="727" ht="13.5" customHeight="1">
      <c r="A727" s="1"/>
      <c r="B727" s="1"/>
      <c r="C727" s="1"/>
      <c r="D727" s="1"/>
      <c r="E727" s="1"/>
      <c r="F727" s="110"/>
      <c r="G727" s="10"/>
      <c r="H727" s="39"/>
      <c r="I727" s="39"/>
      <c r="J727" s="10"/>
      <c r="K727" s="10"/>
      <c r="L727" s="39"/>
      <c r="M727" s="10"/>
      <c r="N727" s="112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0"/>
      <c r="AB727" s="10"/>
      <c r="AC727" s="10"/>
      <c r="AD727" s="10"/>
      <c r="AE727" s="10"/>
      <c r="AF727" s="10"/>
      <c r="AG727" s="10"/>
    </row>
    <row r="728" ht="13.5" customHeight="1">
      <c r="A728" s="1"/>
      <c r="B728" s="1"/>
      <c r="C728" s="1"/>
      <c r="D728" s="1"/>
      <c r="E728" s="1"/>
      <c r="F728" s="110"/>
      <c r="G728" s="10"/>
      <c r="H728" s="39"/>
      <c r="I728" s="39"/>
      <c r="J728" s="10"/>
      <c r="K728" s="10"/>
      <c r="L728" s="39"/>
      <c r="M728" s="10"/>
      <c r="N728" s="112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0"/>
      <c r="AB728" s="10"/>
      <c r="AC728" s="10"/>
      <c r="AD728" s="10"/>
      <c r="AE728" s="10"/>
      <c r="AF728" s="10"/>
      <c r="AG728" s="10"/>
    </row>
    <row r="729" ht="13.5" customHeight="1">
      <c r="A729" s="1"/>
      <c r="B729" s="1"/>
      <c r="C729" s="1"/>
      <c r="D729" s="1"/>
      <c r="E729" s="1"/>
      <c r="F729" s="110"/>
      <c r="G729" s="10"/>
      <c r="H729" s="39"/>
      <c r="I729" s="39"/>
      <c r="J729" s="10"/>
      <c r="K729" s="10"/>
      <c r="L729" s="39"/>
      <c r="M729" s="10"/>
      <c r="N729" s="112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0"/>
      <c r="AB729" s="10"/>
      <c r="AC729" s="10"/>
      <c r="AD729" s="10"/>
      <c r="AE729" s="10"/>
      <c r="AF729" s="10"/>
      <c r="AG729" s="10"/>
    </row>
    <row r="730" ht="13.5" customHeight="1">
      <c r="A730" s="1"/>
      <c r="B730" s="1"/>
      <c r="C730" s="1"/>
      <c r="D730" s="1"/>
      <c r="E730" s="1"/>
      <c r="F730" s="110"/>
      <c r="G730" s="10"/>
      <c r="H730" s="39"/>
      <c r="I730" s="39"/>
      <c r="J730" s="10"/>
      <c r="K730" s="10"/>
      <c r="L730" s="39"/>
      <c r="M730" s="10"/>
      <c r="N730" s="112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0"/>
      <c r="AB730" s="10"/>
      <c r="AC730" s="10"/>
      <c r="AD730" s="10"/>
      <c r="AE730" s="10"/>
      <c r="AF730" s="10"/>
      <c r="AG730" s="10"/>
    </row>
    <row r="731" ht="13.5" customHeight="1">
      <c r="A731" s="1"/>
      <c r="B731" s="1"/>
      <c r="C731" s="1"/>
      <c r="D731" s="1"/>
      <c r="E731" s="1"/>
      <c r="F731" s="110"/>
      <c r="G731" s="10"/>
      <c r="H731" s="39"/>
      <c r="I731" s="39"/>
      <c r="J731" s="10"/>
      <c r="K731" s="10"/>
      <c r="L731" s="39"/>
      <c r="M731" s="10"/>
      <c r="N731" s="112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0"/>
      <c r="AB731" s="10"/>
      <c r="AC731" s="10"/>
      <c r="AD731" s="10"/>
      <c r="AE731" s="10"/>
      <c r="AF731" s="10"/>
      <c r="AG731" s="10"/>
    </row>
    <row r="732" ht="13.5" customHeight="1">
      <c r="A732" s="1"/>
      <c r="B732" s="1"/>
      <c r="C732" s="1"/>
      <c r="D732" s="1"/>
      <c r="E732" s="1"/>
      <c r="F732" s="110"/>
      <c r="G732" s="10"/>
      <c r="H732" s="39"/>
      <c r="I732" s="39"/>
      <c r="J732" s="10"/>
      <c r="K732" s="10"/>
      <c r="L732" s="39"/>
      <c r="M732" s="10"/>
      <c r="N732" s="112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0"/>
      <c r="AB732" s="10"/>
      <c r="AC732" s="10"/>
      <c r="AD732" s="10"/>
      <c r="AE732" s="10"/>
      <c r="AF732" s="10"/>
      <c r="AG732" s="10"/>
    </row>
    <row r="733" ht="13.5" customHeight="1">
      <c r="A733" s="1"/>
      <c r="B733" s="1"/>
      <c r="C733" s="1"/>
      <c r="D733" s="1"/>
      <c r="E733" s="1"/>
      <c r="F733" s="110"/>
      <c r="G733" s="10"/>
      <c r="H733" s="39"/>
      <c r="I733" s="39"/>
      <c r="J733" s="10"/>
      <c r="K733" s="10"/>
      <c r="L733" s="39"/>
      <c r="M733" s="10"/>
      <c r="N733" s="112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0"/>
      <c r="AB733" s="10"/>
      <c r="AC733" s="10"/>
      <c r="AD733" s="10"/>
      <c r="AE733" s="10"/>
      <c r="AF733" s="10"/>
      <c r="AG733" s="10"/>
    </row>
    <row r="734" ht="13.5" customHeight="1">
      <c r="A734" s="1"/>
      <c r="B734" s="1"/>
      <c r="C734" s="1"/>
      <c r="D734" s="1"/>
      <c r="E734" s="1"/>
      <c r="F734" s="110"/>
      <c r="G734" s="10"/>
      <c r="H734" s="39"/>
      <c r="I734" s="39"/>
      <c r="J734" s="10"/>
      <c r="K734" s="10"/>
      <c r="L734" s="39"/>
      <c r="M734" s="10"/>
      <c r="N734" s="112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0"/>
      <c r="AB734" s="10"/>
      <c r="AC734" s="10"/>
      <c r="AD734" s="10"/>
      <c r="AE734" s="10"/>
      <c r="AF734" s="10"/>
      <c r="AG734" s="10"/>
    </row>
    <row r="735" ht="13.5" customHeight="1">
      <c r="A735" s="1"/>
      <c r="B735" s="1"/>
      <c r="C735" s="1"/>
      <c r="D735" s="1"/>
      <c r="E735" s="1"/>
      <c r="F735" s="110"/>
      <c r="G735" s="10"/>
      <c r="H735" s="39"/>
      <c r="I735" s="39"/>
      <c r="J735" s="10"/>
      <c r="K735" s="10"/>
      <c r="L735" s="39"/>
      <c r="M735" s="10"/>
      <c r="N735" s="112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0"/>
      <c r="AB735" s="10"/>
      <c r="AC735" s="10"/>
      <c r="AD735" s="10"/>
      <c r="AE735" s="10"/>
      <c r="AF735" s="10"/>
      <c r="AG735" s="10"/>
    </row>
    <row r="736" ht="13.5" customHeight="1">
      <c r="A736" s="1"/>
      <c r="B736" s="1"/>
      <c r="C736" s="1"/>
      <c r="D736" s="1"/>
      <c r="E736" s="1"/>
      <c r="F736" s="110"/>
      <c r="G736" s="10"/>
      <c r="H736" s="39"/>
      <c r="I736" s="39"/>
      <c r="J736" s="10"/>
      <c r="K736" s="10"/>
      <c r="L736" s="39"/>
      <c r="M736" s="10"/>
      <c r="N736" s="112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0"/>
      <c r="AB736" s="10"/>
      <c r="AC736" s="10"/>
      <c r="AD736" s="10"/>
      <c r="AE736" s="10"/>
      <c r="AF736" s="10"/>
      <c r="AG736" s="10"/>
    </row>
    <row r="737" ht="13.5" customHeight="1">
      <c r="A737" s="1"/>
      <c r="B737" s="1"/>
      <c r="C737" s="1"/>
      <c r="D737" s="1"/>
      <c r="E737" s="1"/>
      <c r="F737" s="110"/>
      <c r="G737" s="10"/>
      <c r="H737" s="39"/>
      <c r="I737" s="39"/>
      <c r="J737" s="10"/>
      <c r="K737" s="10"/>
      <c r="L737" s="39"/>
      <c r="M737" s="10"/>
      <c r="N737" s="112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0"/>
      <c r="AB737" s="10"/>
      <c r="AC737" s="10"/>
      <c r="AD737" s="10"/>
      <c r="AE737" s="10"/>
      <c r="AF737" s="10"/>
      <c r="AG737" s="10"/>
    </row>
    <row r="738" ht="13.5" customHeight="1">
      <c r="A738" s="1"/>
      <c r="B738" s="1"/>
      <c r="C738" s="1"/>
      <c r="D738" s="1"/>
      <c r="E738" s="1"/>
      <c r="F738" s="110"/>
      <c r="G738" s="10"/>
      <c r="H738" s="39"/>
      <c r="I738" s="39"/>
      <c r="J738" s="10"/>
      <c r="K738" s="10"/>
      <c r="L738" s="39"/>
      <c r="M738" s="10"/>
      <c r="N738" s="112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0"/>
      <c r="AB738" s="10"/>
      <c r="AC738" s="10"/>
      <c r="AD738" s="10"/>
      <c r="AE738" s="10"/>
      <c r="AF738" s="10"/>
      <c r="AG738" s="10"/>
    </row>
    <row r="739" ht="13.5" customHeight="1">
      <c r="A739" s="1"/>
      <c r="B739" s="1"/>
      <c r="C739" s="1"/>
      <c r="D739" s="1"/>
      <c r="E739" s="1"/>
      <c r="F739" s="110"/>
      <c r="G739" s="10"/>
      <c r="H739" s="39"/>
      <c r="I739" s="39"/>
      <c r="J739" s="10"/>
      <c r="K739" s="10"/>
      <c r="L739" s="39"/>
      <c r="M739" s="10"/>
      <c r="N739" s="112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0"/>
      <c r="AB739" s="10"/>
      <c r="AC739" s="10"/>
      <c r="AD739" s="10"/>
      <c r="AE739" s="10"/>
      <c r="AF739" s="10"/>
      <c r="AG739" s="10"/>
    </row>
    <row r="740" ht="13.5" customHeight="1">
      <c r="A740" s="1"/>
      <c r="B740" s="1"/>
      <c r="C740" s="1"/>
      <c r="D740" s="1"/>
      <c r="E740" s="1"/>
      <c r="F740" s="110"/>
      <c r="G740" s="10"/>
      <c r="H740" s="39"/>
      <c r="I740" s="39"/>
      <c r="J740" s="10"/>
      <c r="K740" s="10"/>
      <c r="L740" s="39"/>
      <c r="M740" s="10"/>
      <c r="N740" s="112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0"/>
      <c r="AB740" s="10"/>
      <c r="AC740" s="10"/>
      <c r="AD740" s="10"/>
      <c r="AE740" s="10"/>
      <c r="AF740" s="10"/>
      <c r="AG740" s="10"/>
    </row>
    <row r="741" ht="13.5" customHeight="1">
      <c r="A741" s="1"/>
      <c r="B741" s="1"/>
      <c r="C741" s="1"/>
      <c r="D741" s="1"/>
      <c r="E741" s="1"/>
      <c r="F741" s="110"/>
      <c r="G741" s="10"/>
      <c r="H741" s="39"/>
      <c r="I741" s="39"/>
      <c r="J741" s="10"/>
      <c r="K741" s="10"/>
      <c r="L741" s="39"/>
      <c r="M741" s="10"/>
      <c r="N741" s="112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0"/>
      <c r="AB741" s="10"/>
      <c r="AC741" s="10"/>
      <c r="AD741" s="10"/>
      <c r="AE741" s="10"/>
      <c r="AF741" s="10"/>
      <c r="AG741" s="10"/>
    </row>
    <row r="742" ht="13.5" customHeight="1">
      <c r="A742" s="1"/>
      <c r="B742" s="1"/>
      <c r="C742" s="1"/>
      <c r="D742" s="1"/>
      <c r="E742" s="1"/>
      <c r="F742" s="110"/>
      <c r="G742" s="10"/>
      <c r="H742" s="39"/>
      <c r="I742" s="39"/>
      <c r="J742" s="10"/>
      <c r="K742" s="10"/>
      <c r="L742" s="39"/>
      <c r="M742" s="10"/>
      <c r="N742" s="112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0"/>
      <c r="AB742" s="10"/>
      <c r="AC742" s="10"/>
      <c r="AD742" s="10"/>
      <c r="AE742" s="10"/>
      <c r="AF742" s="10"/>
      <c r="AG742" s="10"/>
    </row>
    <row r="743" ht="13.5" customHeight="1">
      <c r="A743" s="1"/>
      <c r="B743" s="1"/>
      <c r="C743" s="1"/>
      <c r="D743" s="1"/>
      <c r="E743" s="1"/>
      <c r="F743" s="110"/>
      <c r="G743" s="10"/>
      <c r="H743" s="39"/>
      <c r="I743" s="39"/>
      <c r="J743" s="10"/>
      <c r="K743" s="10"/>
      <c r="L743" s="39"/>
      <c r="M743" s="10"/>
      <c r="N743" s="112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0"/>
      <c r="AB743" s="10"/>
      <c r="AC743" s="10"/>
      <c r="AD743" s="10"/>
      <c r="AE743" s="10"/>
      <c r="AF743" s="10"/>
      <c r="AG743" s="10"/>
    </row>
    <row r="744" ht="13.5" customHeight="1">
      <c r="A744" s="1"/>
      <c r="B744" s="1"/>
      <c r="C744" s="1"/>
      <c r="D744" s="1"/>
      <c r="E744" s="1"/>
      <c r="F744" s="110"/>
      <c r="G744" s="10"/>
      <c r="H744" s="39"/>
      <c r="I744" s="39"/>
      <c r="J744" s="10"/>
      <c r="K744" s="10"/>
      <c r="L744" s="39"/>
      <c r="M744" s="10"/>
      <c r="N744" s="112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0"/>
      <c r="AB744" s="10"/>
      <c r="AC744" s="10"/>
      <c r="AD744" s="10"/>
      <c r="AE744" s="10"/>
      <c r="AF744" s="10"/>
      <c r="AG744" s="10"/>
    </row>
    <row r="745" ht="13.5" customHeight="1">
      <c r="A745" s="1"/>
      <c r="B745" s="1"/>
      <c r="C745" s="1"/>
      <c r="D745" s="1"/>
      <c r="E745" s="1"/>
      <c r="F745" s="110"/>
      <c r="G745" s="10"/>
      <c r="H745" s="39"/>
      <c r="I745" s="39"/>
      <c r="J745" s="10"/>
      <c r="K745" s="10"/>
      <c r="L745" s="39"/>
      <c r="M745" s="10"/>
      <c r="N745" s="112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0"/>
      <c r="AB745" s="10"/>
      <c r="AC745" s="10"/>
      <c r="AD745" s="10"/>
      <c r="AE745" s="10"/>
      <c r="AF745" s="10"/>
      <c r="AG745" s="10"/>
    </row>
    <row r="746" ht="13.5" customHeight="1">
      <c r="A746" s="1"/>
      <c r="B746" s="1"/>
      <c r="C746" s="1"/>
      <c r="D746" s="1"/>
      <c r="E746" s="1"/>
      <c r="F746" s="110"/>
      <c r="G746" s="10"/>
      <c r="H746" s="39"/>
      <c r="I746" s="39"/>
      <c r="J746" s="10"/>
      <c r="K746" s="10"/>
      <c r="L746" s="39"/>
      <c r="M746" s="10"/>
      <c r="N746" s="112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0"/>
      <c r="AB746" s="10"/>
      <c r="AC746" s="10"/>
      <c r="AD746" s="10"/>
      <c r="AE746" s="10"/>
      <c r="AF746" s="10"/>
      <c r="AG746" s="10"/>
    </row>
    <row r="747" ht="13.5" customHeight="1">
      <c r="A747" s="1"/>
      <c r="B747" s="1"/>
      <c r="C747" s="1"/>
      <c r="D747" s="1"/>
      <c r="E747" s="1"/>
      <c r="F747" s="110"/>
      <c r="G747" s="10"/>
      <c r="H747" s="39"/>
      <c r="I747" s="39"/>
      <c r="J747" s="10"/>
      <c r="K747" s="10"/>
      <c r="L747" s="39"/>
      <c r="M747" s="10"/>
      <c r="N747" s="112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0"/>
      <c r="AB747" s="10"/>
      <c r="AC747" s="10"/>
      <c r="AD747" s="10"/>
      <c r="AE747" s="10"/>
      <c r="AF747" s="10"/>
      <c r="AG747" s="10"/>
    </row>
    <row r="748" ht="13.5" customHeight="1">
      <c r="A748" s="1"/>
      <c r="B748" s="1"/>
      <c r="C748" s="1"/>
      <c r="D748" s="1"/>
      <c r="E748" s="1"/>
      <c r="F748" s="110"/>
      <c r="G748" s="10"/>
      <c r="H748" s="39"/>
      <c r="I748" s="39"/>
      <c r="J748" s="10"/>
      <c r="K748" s="10"/>
      <c r="L748" s="39"/>
      <c r="M748" s="10"/>
      <c r="N748" s="112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0"/>
      <c r="AB748" s="10"/>
      <c r="AC748" s="10"/>
      <c r="AD748" s="10"/>
      <c r="AE748" s="10"/>
      <c r="AF748" s="10"/>
      <c r="AG748" s="10"/>
    </row>
    <row r="749" ht="13.5" customHeight="1">
      <c r="A749" s="1"/>
      <c r="B749" s="1"/>
      <c r="C749" s="1"/>
      <c r="D749" s="1"/>
      <c r="E749" s="1"/>
      <c r="F749" s="110"/>
      <c r="G749" s="10"/>
      <c r="H749" s="39"/>
      <c r="I749" s="39"/>
      <c r="J749" s="10"/>
      <c r="K749" s="10"/>
      <c r="L749" s="39"/>
      <c r="M749" s="10"/>
      <c r="N749" s="112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0"/>
      <c r="AB749" s="10"/>
      <c r="AC749" s="10"/>
      <c r="AD749" s="10"/>
      <c r="AE749" s="10"/>
      <c r="AF749" s="10"/>
      <c r="AG749" s="10"/>
    </row>
    <row r="750" ht="13.5" customHeight="1">
      <c r="A750" s="1"/>
      <c r="B750" s="1"/>
      <c r="C750" s="1"/>
      <c r="D750" s="1"/>
      <c r="E750" s="1"/>
      <c r="F750" s="110"/>
      <c r="G750" s="10"/>
      <c r="H750" s="39"/>
      <c r="I750" s="39"/>
      <c r="J750" s="10"/>
      <c r="K750" s="10"/>
      <c r="L750" s="39"/>
      <c r="M750" s="10"/>
      <c r="N750" s="112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0"/>
      <c r="AB750" s="10"/>
      <c r="AC750" s="10"/>
      <c r="AD750" s="10"/>
      <c r="AE750" s="10"/>
      <c r="AF750" s="10"/>
      <c r="AG750" s="10"/>
    </row>
    <row r="751" ht="13.5" customHeight="1">
      <c r="A751" s="1"/>
      <c r="B751" s="1"/>
      <c r="C751" s="1"/>
      <c r="D751" s="1"/>
      <c r="E751" s="1"/>
      <c r="F751" s="110"/>
      <c r="G751" s="10"/>
      <c r="H751" s="39"/>
      <c r="I751" s="39"/>
      <c r="J751" s="10"/>
      <c r="K751" s="10"/>
      <c r="L751" s="39"/>
      <c r="M751" s="10"/>
      <c r="N751" s="112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0"/>
      <c r="AB751" s="10"/>
      <c r="AC751" s="10"/>
      <c r="AD751" s="10"/>
      <c r="AE751" s="10"/>
      <c r="AF751" s="10"/>
      <c r="AG751" s="10"/>
    </row>
    <row r="752" ht="13.5" customHeight="1">
      <c r="A752" s="1"/>
      <c r="B752" s="1"/>
      <c r="C752" s="1"/>
      <c r="D752" s="1"/>
      <c r="E752" s="1"/>
      <c r="F752" s="110"/>
      <c r="G752" s="10"/>
      <c r="H752" s="39"/>
      <c r="I752" s="39"/>
      <c r="J752" s="10"/>
      <c r="K752" s="10"/>
      <c r="L752" s="39"/>
      <c r="M752" s="10"/>
      <c r="N752" s="112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0"/>
      <c r="AB752" s="10"/>
      <c r="AC752" s="10"/>
      <c r="AD752" s="10"/>
      <c r="AE752" s="10"/>
      <c r="AF752" s="10"/>
      <c r="AG752" s="10"/>
    </row>
    <row r="753" ht="13.5" customHeight="1">
      <c r="A753" s="1"/>
      <c r="B753" s="1"/>
      <c r="C753" s="1"/>
      <c r="D753" s="1"/>
      <c r="E753" s="1"/>
      <c r="F753" s="110"/>
      <c r="G753" s="10"/>
      <c r="H753" s="39"/>
      <c r="I753" s="39"/>
      <c r="J753" s="10"/>
      <c r="K753" s="10"/>
      <c r="L753" s="39"/>
      <c r="M753" s="10"/>
      <c r="N753" s="112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0"/>
      <c r="AB753" s="10"/>
      <c r="AC753" s="10"/>
      <c r="AD753" s="10"/>
      <c r="AE753" s="10"/>
      <c r="AF753" s="10"/>
      <c r="AG753" s="10"/>
    </row>
    <row r="754" ht="13.5" customHeight="1">
      <c r="A754" s="1"/>
      <c r="B754" s="1"/>
      <c r="C754" s="1"/>
      <c r="D754" s="1"/>
      <c r="E754" s="1"/>
      <c r="F754" s="110"/>
      <c r="G754" s="10"/>
      <c r="H754" s="39"/>
      <c r="I754" s="39"/>
      <c r="J754" s="10"/>
      <c r="K754" s="10"/>
      <c r="L754" s="39"/>
      <c r="M754" s="10"/>
      <c r="N754" s="112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0"/>
      <c r="AB754" s="10"/>
      <c r="AC754" s="10"/>
      <c r="AD754" s="10"/>
      <c r="AE754" s="10"/>
      <c r="AF754" s="10"/>
      <c r="AG754" s="10"/>
    </row>
    <row r="755" ht="13.5" customHeight="1">
      <c r="A755" s="1"/>
      <c r="B755" s="1"/>
      <c r="C755" s="1"/>
      <c r="D755" s="1"/>
      <c r="E755" s="1"/>
      <c r="F755" s="110"/>
      <c r="G755" s="10"/>
      <c r="H755" s="39"/>
      <c r="I755" s="39"/>
      <c r="J755" s="10"/>
      <c r="K755" s="10"/>
      <c r="L755" s="39"/>
      <c r="M755" s="10"/>
      <c r="N755" s="112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0"/>
      <c r="AB755" s="10"/>
      <c r="AC755" s="10"/>
      <c r="AD755" s="10"/>
      <c r="AE755" s="10"/>
      <c r="AF755" s="10"/>
      <c r="AG755" s="10"/>
    </row>
    <row r="756" ht="13.5" customHeight="1">
      <c r="A756" s="1"/>
      <c r="B756" s="1"/>
      <c r="C756" s="1"/>
      <c r="D756" s="1"/>
      <c r="E756" s="1"/>
      <c r="F756" s="110"/>
      <c r="G756" s="10"/>
      <c r="H756" s="39"/>
      <c r="I756" s="39"/>
      <c r="J756" s="10"/>
      <c r="K756" s="10"/>
      <c r="L756" s="39"/>
      <c r="M756" s="10"/>
      <c r="N756" s="112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0"/>
      <c r="AB756" s="10"/>
      <c r="AC756" s="10"/>
      <c r="AD756" s="10"/>
      <c r="AE756" s="10"/>
      <c r="AF756" s="10"/>
      <c r="AG756" s="10"/>
    </row>
    <row r="757" ht="13.5" customHeight="1">
      <c r="A757" s="1"/>
      <c r="B757" s="1"/>
      <c r="C757" s="1"/>
      <c r="D757" s="1"/>
      <c r="E757" s="1"/>
      <c r="F757" s="110"/>
      <c r="G757" s="10"/>
      <c r="H757" s="39"/>
      <c r="I757" s="39"/>
      <c r="J757" s="10"/>
      <c r="K757" s="10"/>
      <c r="L757" s="39"/>
      <c r="M757" s="10"/>
      <c r="N757" s="112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0"/>
      <c r="AB757" s="10"/>
      <c r="AC757" s="10"/>
      <c r="AD757" s="10"/>
      <c r="AE757" s="10"/>
      <c r="AF757" s="10"/>
      <c r="AG757" s="10"/>
    </row>
    <row r="758" ht="13.5" customHeight="1">
      <c r="A758" s="1"/>
      <c r="B758" s="1"/>
      <c r="C758" s="1"/>
      <c r="D758" s="1"/>
      <c r="E758" s="1"/>
      <c r="F758" s="110"/>
      <c r="G758" s="10"/>
      <c r="H758" s="39"/>
      <c r="I758" s="39"/>
      <c r="J758" s="10"/>
      <c r="K758" s="10"/>
      <c r="L758" s="39"/>
      <c r="M758" s="10"/>
      <c r="N758" s="112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0"/>
      <c r="AB758" s="10"/>
      <c r="AC758" s="10"/>
      <c r="AD758" s="10"/>
      <c r="AE758" s="10"/>
      <c r="AF758" s="10"/>
      <c r="AG758" s="10"/>
    </row>
    <row r="759" ht="13.5" customHeight="1">
      <c r="A759" s="1"/>
      <c r="B759" s="1"/>
      <c r="C759" s="1"/>
      <c r="D759" s="1"/>
      <c r="E759" s="1"/>
      <c r="F759" s="110"/>
      <c r="G759" s="10"/>
      <c r="H759" s="39"/>
      <c r="I759" s="39"/>
      <c r="J759" s="10"/>
      <c r="K759" s="10"/>
      <c r="L759" s="39"/>
      <c r="M759" s="10"/>
      <c r="N759" s="112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0"/>
      <c r="AB759" s="10"/>
      <c r="AC759" s="10"/>
      <c r="AD759" s="10"/>
      <c r="AE759" s="10"/>
      <c r="AF759" s="10"/>
      <c r="AG759" s="10"/>
    </row>
    <row r="760" ht="13.5" customHeight="1">
      <c r="A760" s="1"/>
      <c r="B760" s="1"/>
      <c r="C760" s="1"/>
      <c r="D760" s="1"/>
      <c r="E760" s="1"/>
      <c r="F760" s="110"/>
      <c r="G760" s="10"/>
      <c r="H760" s="39"/>
      <c r="I760" s="39"/>
      <c r="J760" s="10"/>
      <c r="K760" s="10"/>
      <c r="L760" s="39"/>
      <c r="M760" s="10"/>
      <c r="N760" s="112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0"/>
      <c r="AB760" s="10"/>
      <c r="AC760" s="10"/>
      <c r="AD760" s="10"/>
      <c r="AE760" s="10"/>
      <c r="AF760" s="10"/>
      <c r="AG760" s="10"/>
    </row>
    <row r="761" ht="13.5" customHeight="1">
      <c r="A761" s="1"/>
      <c r="B761" s="1"/>
      <c r="C761" s="1"/>
      <c r="D761" s="1"/>
      <c r="E761" s="1"/>
      <c r="F761" s="110"/>
      <c r="G761" s="10"/>
      <c r="H761" s="39"/>
      <c r="I761" s="39"/>
      <c r="J761" s="10"/>
      <c r="K761" s="10"/>
      <c r="L761" s="39"/>
      <c r="M761" s="10"/>
      <c r="N761" s="112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0"/>
      <c r="AB761" s="10"/>
      <c r="AC761" s="10"/>
      <c r="AD761" s="10"/>
      <c r="AE761" s="10"/>
      <c r="AF761" s="10"/>
      <c r="AG761" s="10"/>
    </row>
    <row r="762" ht="13.5" customHeight="1">
      <c r="A762" s="1"/>
      <c r="B762" s="1"/>
      <c r="C762" s="1"/>
      <c r="D762" s="1"/>
      <c r="E762" s="1"/>
      <c r="F762" s="110"/>
      <c r="G762" s="10"/>
      <c r="H762" s="39"/>
      <c r="I762" s="39"/>
      <c r="J762" s="10"/>
      <c r="K762" s="10"/>
      <c r="L762" s="39"/>
      <c r="M762" s="10"/>
      <c r="N762" s="112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0"/>
      <c r="AB762" s="10"/>
      <c r="AC762" s="10"/>
      <c r="AD762" s="10"/>
      <c r="AE762" s="10"/>
      <c r="AF762" s="10"/>
      <c r="AG762" s="10"/>
    </row>
    <row r="763" ht="13.5" customHeight="1">
      <c r="A763" s="1"/>
      <c r="B763" s="1"/>
      <c r="C763" s="1"/>
      <c r="D763" s="1"/>
      <c r="E763" s="1"/>
      <c r="F763" s="110"/>
      <c r="G763" s="10"/>
      <c r="H763" s="39"/>
      <c r="I763" s="39"/>
      <c r="J763" s="10"/>
      <c r="K763" s="10"/>
      <c r="L763" s="39"/>
      <c r="M763" s="10"/>
      <c r="N763" s="112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0"/>
      <c r="AB763" s="10"/>
      <c r="AC763" s="10"/>
      <c r="AD763" s="10"/>
      <c r="AE763" s="10"/>
      <c r="AF763" s="10"/>
      <c r="AG763" s="10"/>
    </row>
    <row r="764" ht="13.5" customHeight="1">
      <c r="A764" s="1"/>
      <c r="B764" s="1"/>
      <c r="C764" s="1"/>
      <c r="D764" s="1"/>
      <c r="E764" s="1"/>
      <c r="F764" s="110"/>
      <c r="G764" s="10"/>
      <c r="H764" s="39"/>
      <c r="I764" s="39"/>
      <c r="J764" s="10"/>
      <c r="K764" s="10"/>
      <c r="L764" s="39"/>
      <c r="M764" s="10"/>
      <c r="N764" s="112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0"/>
      <c r="AB764" s="10"/>
      <c r="AC764" s="10"/>
      <c r="AD764" s="10"/>
      <c r="AE764" s="10"/>
      <c r="AF764" s="10"/>
      <c r="AG764" s="10"/>
    </row>
    <row r="765" ht="13.5" customHeight="1">
      <c r="A765" s="1"/>
      <c r="B765" s="1"/>
      <c r="C765" s="1"/>
      <c r="D765" s="1"/>
      <c r="E765" s="1"/>
      <c r="F765" s="110"/>
      <c r="G765" s="10"/>
      <c r="H765" s="39"/>
      <c r="I765" s="39"/>
      <c r="J765" s="10"/>
      <c r="K765" s="10"/>
      <c r="L765" s="39"/>
      <c r="M765" s="10"/>
      <c r="N765" s="112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0"/>
      <c r="AB765" s="10"/>
      <c r="AC765" s="10"/>
      <c r="AD765" s="10"/>
      <c r="AE765" s="10"/>
      <c r="AF765" s="10"/>
      <c r="AG765" s="10"/>
    </row>
    <row r="766" ht="13.5" customHeight="1">
      <c r="A766" s="1"/>
      <c r="B766" s="1"/>
      <c r="C766" s="1"/>
      <c r="D766" s="1"/>
      <c r="E766" s="1"/>
      <c r="F766" s="110"/>
      <c r="G766" s="10"/>
      <c r="H766" s="39"/>
      <c r="I766" s="39"/>
      <c r="J766" s="10"/>
      <c r="K766" s="10"/>
      <c r="L766" s="39"/>
      <c r="M766" s="10"/>
      <c r="N766" s="112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0"/>
      <c r="AB766" s="10"/>
      <c r="AC766" s="10"/>
      <c r="AD766" s="10"/>
      <c r="AE766" s="10"/>
      <c r="AF766" s="10"/>
      <c r="AG766" s="10"/>
    </row>
    <row r="767" ht="13.5" customHeight="1">
      <c r="A767" s="1"/>
      <c r="B767" s="1"/>
      <c r="C767" s="1"/>
      <c r="D767" s="1"/>
      <c r="E767" s="1"/>
      <c r="F767" s="110"/>
      <c r="G767" s="10"/>
      <c r="H767" s="39"/>
      <c r="I767" s="39"/>
      <c r="J767" s="10"/>
      <c r="K767" s="10"/>
      <c r="L767" s="39"/>
      <c r="M767" s="10"/>
      <c r="N767" s="112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0"/>
      <c r="AB767" s="10"/>
      <c r="AC767" s="10"/>
      <c r="AD767" s="10"/>
      <c r="AE767" s="10"/>
      <c r="AF767" s="10"/>
      <c r="AG767" s="10"/>
    </row>
    <row r="768" ht="13.5" customHeight="1">
      <c r="A768" s="1"/>
      <c r="B768" s="1"/>
      <c r="C768" s="1"/>
      <c r="D768" s="1"/>
      <c r="E768" s="1"/>
      <c r="F768" s="110"/>
      <c r="G768" s="10"/>
      <c r="H768" s="39"/>
      <c r="I768" s="39"/>
      <c r="J768" s="10"/>
      <c r="K768" s="10"/>
      <c r="L768" s="39"/>
      <c r="M768" s="10"/>
      <c r="N768" s="112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0"/>
      <c r="AB768" s="10"/>
      <c r="AC768" s="10"/>
      <c r="AD768" s="10"/>
      <c r="AE768" s="10"/>
      <c r="AF768" s="10"/>
      <c r="AG768" s="10"/>
    </row>
    <row r="769" ht="13.5" customHeight="1">
      <c r="A769" s="1"/>
      <c r="B769" s="1"/>
      <c r="C769" s="1"/>
      <c r="D769" s="1"/>
      <c r="E769" s="1"/>
      <c r="F769" s="110"/>
      <c r="G769" s="10"/>
      <c r="H769" s="39"/>
      <c r="I769" s="39"/>
      <c r="J769" s="10"/>
      <c r="K769" s="10"/>
      <c r="L769" s="39"/>
      <c r="M769" s="10"/>
      <c r="N769" s="112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0"/>
      <c r="AB769" s="10"/>
      <c r="AC769" s="10"/>
      <c r="AD769" s="10"/>
      <c r="AE769" s="10"/>
      <c r="AF769" s="10"/>
      <c r="AG769" s="10"/>
    </row>
    <row r="770" ht="13.5" customHeight="1">
      <c r="A770" s="1"/>
      <c r="B770" s="1"/>
      <c r="C770" s="1"/>
      <c r="D770" s="1"/>
      <c r="E770" s="1"/>
      <c r="F770" s="110"/>
      <c r="G770" s="10"/>
      <c r="H770" s="39"/>
      <c r="I770" s="39"/>
      <c r="J770" s="10"/>
      <c r="K770" s="10"/>
      <c r="L770" s="39"/>
      <c r="M770" s="10"/>
      <c r="N770" s="112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0"/>
      <c r="AB770" s="10"/>
      <c r="AC770" s="10"/>
      <c r="AD770" s="10"/>
      <c r="AE770" s="10"/>
      <c r="AF770" s="10"/>
      <c r="AG770" s="10"/>
    </row>
    <row r="771" ht="13.5" customHeight="1">
      <c r="A771" s="1"/>
      <c r="B771" s="1"/>
      <c r="C771" s="1"/>
      <c r="D771" s="1"/>
      <c r="E771" s="1"/>
      <c r="F771" s="110"/>
      <c r="G771" s="10"/>
      <c r="H771" s="39"/>
      <c r="I771" s="39"/>
      <c r="J771" s="10"/>
      <c r="K771" s="10"/>
      <c r="L771" s="39"/>
      <c r="M771" s="10"/>
      <c r="N771" s="112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0"/>
      <c r="AB771" s="10"/>
      <c r="AC771" s="10"/>
      <c r="AD771" s="10"/>
      <c r="AE771" s="10"/>
      <c r="AF771" s="10"/>
      <c r="AG771" s="10"/>
    </row>
    <row r="772" ht="13.5" customHeight="1">
      <c r="A772" s="1"/>
      <c r="B772" s="1"/>
      <c r="C772" s="1"/>
      <c r="D772" s="1"/>
      <c r="E772" s="1"/>
      <c r="F772" s="110"/>
      <c r="G772" s="10"/>
      <c r="H772" s="39"/>
      <c r="I772" s="39"/>
      <c r="J772" s="10"/>
      <c r="K772" s="10"/>
      <c r="L772" s="39"/>
      <c r="M772" s="10"/>
      <c r="N772" s="112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0"/>
      <c r="AB772" s="10"/>
      <c r="AC772" s="10"/>
      <c r="AD772" s="10"/>
      <c r="AE772" s="10"/>
      <c r="AF772" s="10"/>
      <c r="AG772" s="10"/>
    </row>
    <row r="773" ht="13.5" customHeight="1">
      <c r="A773" s="1"/>
      <c r="B773" s="1"/>
      <c r="C773" s="1"/>
      <c r="D773" s="1"/>
      <c r="E773" s="1"/>
      <c r="F773" s="110"/>
      <c r="G773" s="10"/>
      <c r="H773" s="39"/>
      <c r="I773" s="39"/>
      <c r="J773" s="10"/>
      <c r="K773" s="10"/>
      <c r="L773" s="39"/>
      <c r="M773" s="10"/>
      <c r="N773" s="112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0"/>
      <c r="AB773" s="10"/>
      <c r="AC773" s="10"/>
      <c r="AD773" s="10"/>
      <c r="AE773" s="10"/>
      <c r="AF773" s="10"/>
      <c r="AG773" s="10"/>
    </row>
    <row r="774" ht="13.5" customHeight="1">
      <c r="A774" s="1"/>
      <c r="B774" s="1"/>
      <c r="C774" s="1"/>
      <c r="D774" s="1"/>
      <c r="E774" s="1"/>
      <c r="F774" s="110"/>
      <c r="G774" s="10"/>
      <c r="H774" s="39"/>
      <c r="I774" s="39"/>
      <c r="J774" s="10"/>
      <c r="K774" s="10"/>
      <c r="L774" s="39"/>
      <c r="M774" s="10"/>
      <c r="N774" s="112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0"/>
      <c r="AB774" s="10"/>
      <c r="AC774" s="10"/>
      <c r="AD774" s="10"/>
      <c r="AE774" s="10"/>
      <c r="AF774" s="10"/>
      <c r="AG774" s="10"/>
    </row>
    <row r="775" ht="13.5" customHeight="1">
      <c r="A775" s="1"/>
      <c r="B775" s="1"/>
      <c r="C775" s="1"/>
      <c r="D775" s="1"/>
      <c r="E775" s="1"/>
      <c r="F775" s="110"/>
      <c r="G775" s="10"/>
      <c r="H775" s="39"/>
      <c r="I775" s="39"/>
      <c r="J775" s="10"/>
      <c r="K775" s="10"/>
      <c r="L775" s="39"/>
      <c r="M775" s="10"/>
      <c r="N775" s="112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0"/>
      <c r="AB775" s="10"/>
      <c r="AC775" s="10"/>
      <c r="AD775" s="10"/>
      <c r="AE775" s="10"/>
      <c r="AF775" s="10"/>
      <c r="AG775" s="10"/>
    </row>
    <row r="776" ht="13.5" customHeight="1">
      <c r="A776" s="1"/>
      <c r="B776" s="1"/>
      <c r="C776" s="1"/>
      <c r="D776" s="1"/>
      <c r="E776" s="1"/>
      <c r="F776" s="110"/>
      <c r="G776" s="10"/>
      <c r="H776" s="39"/>
      <c r="I776" s="39"/>
      <c r="J776" s="10"/>
      <c r="K776" s="10"/>
      <c r="L776" s="39"/>
      <c r="M776" s="10"/>
      <c r="N776" s="112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0"/>
      <c r="AB776" s="10"/>
      <c r="AC776" s="10"/>
      <c r="AD776" s="10"/>
      <c r="AE776" s="10"/>
      <c r="AF776" s="10"/>
      <c r="AG776" s="10"/>
    </row>
    <row r="777" ht="13.5" customHeight="1">
      <c r="A777" s="1"/>
      <c r="B777" s="1"/>
      <c r="C777" s="1"/>
      <c r="D777" s="1"/>
      <c r="E777" s="1"/>
      <c r="F777" s="110"/>
      <c r="G777" s="10"/>
      <c r="H777" s="39"/>
      <c r="I777" s="39"/>
      <c r="J777" s="10"/>
      <c r="K777" s="10"/>
      <c r="L777" s="39"/>
      <c r="M777" s="10"/>
      <c r="N777" s="112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0"/>
      <c r="AB777" s="10"/>
      <c r="AC777" s="10"/>
      <c r="AD777" s="10"/>
      <c r="AE777" s="10"/>
      <c r="AF777" s="10"/>
      <c r="AG777" s="10"/>
    </row>
    <row r="778" ht="13.5" customHeight="1">
      <c r="A778" s="1"/>
      <c r="B778" s="1"/>
      <c r="C778" s="1"/>
      <c r="D778" s="1"/>
      <c r="E778" s="1"/>
      <c r="F778" s="110"/>
      <c r="G778" s="10"/>
      <c r="H778" s="39"/>
      <c r="I778" s="39"/>
      <c r="J778" s="10"/>
      <c r="K778" s="10"/>
      <c r="L778" s="39"/>
      <c r="M778" s="10"/>
      <c r="N778" s="112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0"/>
      <c r="AB778" s="10"/>
      <c r="AC778" s="10"/>
      <c r="AD778" s="10"/>
      <c r="AE778" s="10"/>
      <c r="AF778" s="10"/>
      <c r="AG778" s="10"/>
    </row>
    <row r="779" ht="13.5" customHeight="1">
      <c r="A779" s="1"/>
      <c r="B779" s="1"/>
      <c r="C779" s="1"/>
      <c r="D779" s="1"/>
      <c r="E779" s="1"/>
      <c r="F779" s="110"/>
      <c r="G779" s="10"/>
      <c r="H779" s="39"/>
      <c r="I779" s="39"/>
      <c r="J779" s="10"/>
      <c r="K779" s="10"/>
      <c r="L779" s="39"/>
      <c r="M779" s="10"/>
      <c r="N779" s="112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0"/>
      <c r="AB779" s="10"/>
      <c r="AC779" s="10"/>
      <c r="AD779" s="10"/>
      <c r="AE779" s="10"/>
      <c r="AF779" s="10"/>
      <c r="AG779" s="10"/>
    </row>
    <row r="780" ht="13.5" customHeight="1">
      <c r="A780" s="1"/>
      <c r="B780" s="1"/>
      <c r="C780" s="1"/>
      <c r="D780" s="1"/>
      <c r="E780" s="1"/>
      <c r="F780" s="110"/>
      <c r="G780" s="10"/>
      <c r="H780" s="39"/>
      <c r="I780" s="39"/>
      <c r="J780" s="10"/>
      <c r="K780" s="10"/>
      <c r="L780" s="39"/>
      <c r="M780" s="10"/>
      <c r="N780" s="112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0"/>
      <c r="AB780" s="10"/>
      <c r="AC780" s="10"/>
      <c r="AD780" s="10"/>
      <c r="AE780" s="10"/>
      <c r="AF780" s="10"/>
      <c r="AG780" s="10"/>
    </row>
    <row r="781" ht="13.5" customHeight="1">
      <c r="A781" s="1"/>
      <c r="B781" s="1"/>
      <c r="C781" s="1"/>
      <c r="D781" s="1"/>
      <c r="E781" s="1"/>
      <c r="F781" s="110"/>
      <c r="G781" s="10"/>
      <c r="H781" s="39"/>
      <c r="I781" s="39"/>
      <c r="J781" s="10"/>
      <c r="K781" s="10"/>
      <c r="L781" s="39"/>
      <c r="M781" s="10"/>
      <c r="N781" s="112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0"/>
      <c r="AB781" s="10"/>
      <c r="AC781" s="10"/>
      <c r="AD781" s="10"/>
      <c r="AE781" s="10"/>
      <c r="AF781" s="10"/>
      <c r="AG781" s="10"/>
    </row>
    <row r="782" ht="13.5" customHeight="1">
      <c r="A782" s="1"/>
      <c r="B782" s="1"/>
      <c r="C782" s="1"/>
      <c r="D782" s="1"/>
      <c r="E782" s="1"/>
      <c r="F782" s="110"/>
      <c r="G782" s="10"/>
      <c r="H782" s="39"/>
      <c r="I782" s="39"/>
      <c r="J782" s="10"/>
      <c r="K782" s="10"/>
      <c r="L782" s="39"/>
      <c r="M782" s="10"/>
      <c r="N782" s="112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0"/>
      <c r="AB782" s="10"/>
      <c r="AC782" s="10"/>
      <c r="AD782" s="10"/>
      <c r="AE782" s="10"/>
      <c r="AF782" s="10"/>
      <c r="AG782" s="10"/>
    </row>
    <row r="783" ht="13.5" customHeight="1">
      <c r="A783" s="1"/>
      <c r="B783" s="1"/>
      <c r="C783" s="1"/>
      <c r="D783" s="1"/>
      <c r="E783" s="1"/>
      <c r="F783" s="110"/>
      <c r="G783" s="10"/>
      <c r="H783" s="39"/>
      <c r="I783" s="39"/>
      <c r="J783" s="10"/>
      <c r="K783" s="10"/>
      <c r="L783" s="39"/>
      <c r="M783" s="10"/>
      <c r="N783" s="112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0"/>
      <c r="AB783" s="10"/>
      <c r="AC783" s="10"/>
      <c r="AD783" s="10"/>
      <c r="AE783" s="10"/>
      <c r="AF783" s="10"/>
      <c r="AG783" s="10"/>
    </row>
    <row r="784" ht="13.5" customHeight="1">
      <c r="A784" s="1"/>
      <c r="B784" s="1"/>
      <c r="C784" s="1"/>
      <c r="D784" s="1"/>
      <c r="E784" s="1"/>
      <c r="F784" s="110"/>
      <c r="G784" s="10"/>
      <c r="H784" s="39"/>
      <c r="I784" s="39"/>
      <c r="J784" s="10"/>
      <c r="K784" s="10"/>
      <c r="L784" s="39"/>
      <c r="M784" s="10"/>
      <c r="N784" s="112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0"/>
      <c r="AB784" s="10"/>
      <c r="AC784" s="10"/>
      <c r="AD784" s="10"/>
      <c r="AE784" s="10"/>
      <c r="AF784" s="10"/>
      <c r="AG784" s="10"/>
    </row>
    <row r="785" ht="13.5" customHeight="1">
      <c r="A785" s="1"/>
      <c r="B785" s="1"/>
      <c r="C785" s="1"/>
      <c r="D785" s="1"/>
      <c r="E785" s="1"/>
      <c r="F785" s="110"/>
      <c r="G785" s="10"/>
      <c r="H785" s="39"/>
      <c r="I785" s="39"/>
      <c r="J785" s="10"/>
      <c r="K785" s="10"/>
      <c r="L785" s="39"/>
      <c r="M785" s="10"/>
      <c r="N785" s="112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0"/>
      <c r="AB785" s="10"/>
      <c r="AC785" s="10"/>
      <c r="AD785" s="10"/>
      <c r="AE785" s="10"/>
      <c r="AF785" s="10"/>
      <c r="AG785" s="10"/>
    </row>
    <row r="786" ht="13.5" customHeight="1">
      <c r="A786" s="1"/>
      <c r="B786" s="1"/>
      <c r="C786" s="1"/>
      <c r="D786" s="1"/>
      <c r="E786" s="1"/>
      <c r="F786" s="110"/>
      <c r="G786" s="10"/>
      <c r="H786" s="39"/>
      <c r="I786" s="39"/>
      <c r="J786" s="10"/>
      <c r="K786" s="10"/>
      <c r="L786" s="39"/>
      <c r="M786" s="10"/>
      <c r="N786" s="112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0"/>
      <c r="AB786" s="10"/>
      <c r="AC786" s="10"/>
      <c r="AD786" s="10"/>
      <c r="AE786" s="10"/>
      <c r="AF786" s="10"/>
      <c r="AG786" s="10"/>
    </row>
    <row r="787" ht="13.5" customHeight="1">
      <c r="A787" s="1"/>
      <c r="B787" s="1"/>
      <c r="C787" s="1"/>
      <c r="D787" s="1"/>
      <c r="E787" s="1"/>
      <c r="F787" s="110"/>
      <c r="G787" s="10"/>
      <c r="H787" s="39"/>
      <c r="I787" s="39"/>
      <c r="J787" s="10"/>
      <c r="K787" s="10"/>
      <c r="L787" s="39"/>
      <c r="M787" s="10"/>
      <c r="N787" s="112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0"/>
      <c r="AB787" s="10"/>
      <c r="AC787" s="10"/>
      <c r="AD787" s="10"/>
      <c r="AE787" s="10"/>
      <c r="AF787" s="10"/>
      <c r="AG787" s="10"/>
    </row>
    <row r="788" ht="13.5" customHeight="1">
      <c r="A788" s="1"/>
      <c r="B788" s="1"/>
      <c r="C788" s="1"/>
      <c r="D788" s="1"/>
      <c r="E788" s="1"/>
      <c r="F788" s="110"/>
      <c r="G788" s="10"/>
      <c r="H788" s="39"/>
      <c r="I788" s="39"/>
      <c r="J788" s="10"/>
      <c r="K788" s="10"/>
      <c r="L788" s="39"/>
      <c r="M788" s="10"/>
      <c r="N788" s="112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0"/>
      <c r="AB788" s="10"/>
      <c r="AC788" s="10"/>
      <c r="AD788" s="10"/>
      <c r="AE788" s="10"/>
      <c r="AF788" s="10"/>
      <c r="AG788" s="10"/>
    </row>
    <row r="789" ht="13.5" customHeight="1">
      <c r="A789" s="1"/>
      <c r="B789" s="1"/>
      <c r="C789" s="1"/>
      <c r="D789" s="1"/>
      <c r="E789" s="1"/>
      <c r="F789" s="110"/>
      <c r="G789" s="10"/>
      <c r="H789" s="39"/>
      <c r="I789" s="39"/>
      <c r="J789" s="10"/>
      <c r="K789" s="10"/>
      <c r="L789" s="39"/>
      <c r="M789" s="10"/>
      <c r="N789" s="112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0"/>
      <c r="AB789" s="10"/>
      <c r="AC789" s="10"/>
      <c r="AD789" s="10"/>
      <c r="AE789" s="10"/>
      <c r="AF789" s="10"/>
      <c r="AG789" s="10"/>
    </row>
    <row r="790" ht="13.5" customHeight="1">
      <c r="A790" s="1"/>
      <c r="B790" s="1"/>
      <c r="C790" s="1"/>
      <c r="D790" s="1"/>
      <c r="E790" s="1"/>
      <c r="F790" s="110"/>
      <c r="G790" s="10"/>
      <c r="H790" s="39"/>
      <c r="I790" s="39"/>
      <c r="J790" s="10"/>
      <c r="K790" s="10"/>
      <c r="L790" s="39"/>
      <c r="M790" s="10"/>
      <c r="N790" s="112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0"/>
      <c r="AB790" s="10"/>
      <c r="AC790" s="10"/>
      <c r="AD790" s="10"/>
      <c r="AE790" s="10"/>
      <c r="AF790" s="10"/>
      <c r="AG790" s="10"/>
    </row>
    <row r="791" ht="13.5" customHeight="1">
      <c r="A791" s="1"/>
      <c r="B791" s="1"/>
      <c r="C791" s="1"/>
      <c r="D791" s="1"/>
      <c r="E791" s="1"/>
      <c r="F791" s="110"/>
      <c r="G791" s="10"/>
      <c r="H791" s="39"/>
      <c r="I791" s="39"/>
      <c r="J791" s="10"/>
      <c r="K791" s="10"/>
      <c r="L791" s="39"/>
      <c r="M791" s="10"/>
      <c r="N791" s="112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0"/>
      <c r="AB791" s="10"/>
      <c r="AC791" s="10"/>
      <c r="AD791" s="10"/>
      <c r="AE791" s="10"/>
      <c r="AF791" s="10"/>
      <c r="AG791" s="10"/>
    </row>
    <row r="792" ht="13.5" customHeight="1">
      <c r="A792" s="1"/>
      <c r="B792" s="1"/>
      <c r="C792" s="1"/>
      <c r="D792" s="1"/>
      <c r="E792" s="1"/>
      <c r="F792" s="110"/>
      <c r="G792" s="10"/>
      <c r="H792" s="39"/>
      <c r="I792" s="39"/>
      <c r="J792" s="10"/>
      <c r="K792" s="10"/>
      <c r="L792" s="39"/>
      <c r="M792" s="10"/>
      <c r="N792" s="112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0"/>
      <c r="AB792" s="10"/>
      <c r="AC792" s="10"/>
      <c r="AD792" s="10"/>
      <c r="AE792" s="10"/>
      <c r="AF792" s="10"/>
      <c r="AG792" s="10"/>
    </row>
    <row r="793" ht="13.5" customHeight="1">
      <c r="A793" s="1"/>
      <c r="B793" s="1"/>
      <c r="C793" s="1"/>
      <c r="D793" s="1"/>
      <c r="E793" s="1"/>
      <c r="F793" s="110"/>
      <c r="G793" s="10"/>
      <c r="H793" s="39"/>
      <c r="I793" s="39"/>
      <c r="J793" s="10"/>
      <c r="K793" s="10"/>
      <c r="L793" s="39"/>
      <c r="M793" s="10"/>
      <c r="N793" s="112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0"/>
      <c r="AB793" s="10"/>
      <c r="AC793" s="10"/>
      <c r="AD793" s="10"/>
      <c r="AE793" s="10"/>
      <c r="AF793" s="10"/>
      <c r="AG793" s="10"/>
    </row>
    <row r="794" ht="13.5" customHeight="1">
      <c r="A794" s="1"/>
      <c r="B794" s="1"/>
      <c r="C794" s="1"/>
      <c r="D794" s="1"/>
      <c r="E794" s="1"/>
      <c r="F794" s="110"/>
      <c r="G794" s="10"/>
      <c r="H794" s="39"/>
      <c r="I794" s="39"/>
      <c r="J794" s="10"/>
      <c r="K794" s="10"/>
      <c r="L794" s="39"/>
      <c r="M794" s="10"/>
      <c r="N794" s="112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0"/>
      <c r="AB794" s="10"/>
      <c r="AC794" s="10"/>
      <c r="AD794" s="10"/>
      <c r="AE794" s="10"/>
      <c r="AF794" s="10"/>
      <c r="AG794" s="10"/>
    </row>
    <row r="795" ht="13.5" customHeight="1">
      <c r="A795" s="1"/>
      <c r="B795" s="1"/>
      <c r="C795" s="1"/>
      <c r="D795" s="1"/>
      <c r="E795" s="1"/>
      <c r="F795" s="110"/>
      <c r="G795" s="10"/>
      <c r="H795" s="39"/>
      <c r="I795" s="39"/>
      <c r="J795" s="10"/>
      <c r="K795" s="10"/>
      <c r="L795" s="39"/>
      <c r="M795" s="10"/>
      <c r="N795" s="112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0"/>
      <c r="AB795" s="10"/>
      <c r="AC795" s="10"/>
      <c r="AD795" s="10"/>
      <c r="AE795" s="10"/>
      <c r="AF795" s="10"/>
      <c r="AG795" s="10"/>
    </row>
    <row r="796" ht="13.5" customHeight="1">
      <c r="A796" s="1"/>
      <c r="B796" s="1"/>
      <c r="C796" s="1"/>
      <c r="D796" s="1"/>
      <c r="E796" s="1"/>
      <c r="F796" s="110"/>
      <c r="G796" s="10"/>
      <c r="H796" s="39"/>
      <c r="I796" s="39"/>
      <c r="J796" s="10"/>
      <c r="K796" s="10"/>
      <c r="L796" s="39"/>
      <c r="M796" s="10"/>
      <c r="N796" s="112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0"/>
      <c r="AB796" s="10"/>
      <c r="AC796" s="10"/>
      <c r="AD796" s="10"/>
      <c r="AE796" s="10"/>
      <c r="AF796" s="10"/>
      <c r="AG796" s="10"/>
    </row>
    <row r="797" ht="13.5" customHeight="1">
      <c r="A797" s="1"/>
      <c r="B797" s="1"/>
      <c r="C797" s="1"/>
      <c r="D797" s="1"/>
      <c r="E797" s="1"/>
      <c r="F797" s="110"/>
      <c r="G797" s="10"/>
      <c r="H797" s="39"/>
      <c r="I797" s="39"/>
      <c r="J797" s="10"/>
      <c r="K797" s="10"/>
      <c r="L797" s="39"/>
      <c r="M797" s="10"/>
      <c r="N797" s="112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0"/>
      <c r="AB797" s="10"/>
      <c r="AC797" s="10"/>
      <c r="AD797" s="10"/>
      <c r="AE797" s="10"/>
      <c r="AF797" s="10"/>
      <c r="AG797" s="10"/>
    </row>
    <row r="798" ht="13.5" customHeight="1">
      <c r="A798" s="1"/>
      <c r="B798" s="1"/>
      <c r="C798" s="1"/>
      <c r="D798" s="1"/>
      <c r="E798" s="1"/>
      <c r="F798" s="110"/>
      <c r="G798" s="10"/>
      <c r="H798" s="39"/>
      <c r="I798" s="39"/>
      <c r="J798" s="10"/>
      <c r="K798" s="10"/>
      <c r="L798" s="39"/>
      <c r="M798" s="10"/>
      <c r="N798" s="112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0"/>
      <c r="AB798" s="10"/>
      <c r="AC798" s="10"/>
      <c r="AD798" s="10"/>
      <c r="AE798" s="10"/>
      <c r="AF798" s="10"/>
      <c r="AG798" s="10"/>
    </row>
    <row r="799" ht="13.5" customHeight="1">
      <c r="A799" s="1"/>
      <c r="B799" s="1"/>
      <c r="C799" s="1"/>
      <c r="D799" s="1"/>
      <c r="E799" s="1"/>
      <c r="F799" s="110"/>
      <c r="G799" s="10"/>
      <c r="H799" s="39"/>
      <c r="I799" s="39"/>
      <c r="J799" s="10"/>
      <c r="K799" s="10"/>
      <c r="L799" s="39"/>
      <c r="M799" s="10"/>
      <c r="N799" s="112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0"/>
      <c r="AB799" s="10"/>
      <c r="AC799" s="10"/>
      <c r="AD799" s="10"/>
      <c r="AE799" s="10"/>
      <c r="AF799" s="10"/>
      <c r="AG799" s="10"/>
    </row>
    <row r="800" ht="13.5" customHeight="1">
      <c r="A800" s="1"/>
      <c r="B800" s="1"/>
      <c r="C800" s="1"/>
      <c r="D800" s="1"/>
      <c r="E800" s="1"/>
      <c r="F800" s="110"/>
      <c r="G800" s="10"/>
      <c r="H800" s="39"/>
      <c r="I800" s="39"/>
      <c r="J800" s="10"/>
      <c r="K800" s="10"/>
      <c r="L800" s="39"/>
      <c r="M800" s="10"/>
      <c r="N800" s="112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0"/>
      <c r="AB800" s="10"/>
      <c r="AC800" s="10"/>
      <c r="AD800" s="10"/>
      <c r="AE800" s="10"/>
      <c r="AF800" s="10"/>
      <c r="AG800" s="10"/>
    </row>
    <row r="801" ht="13.5" customHeight="1">
      <c r="A801" s="1"/>
      <c r="B801" s="1"/>
      <c r="C801" s="1"/>
      <c r="D801" s="1"/>
      <c r="E801" s="1"/>
      <c r="F801" s="110"/>
      <c r="G801" s="10"/>
      <c r="H801" s="39"/>
      <c r="I801" s="39"/>
      <c r="J801" s="10"/>
      <c r="K801" s="10"/>
      <c r="L801" s="39"/>
      <c r="M801" s="10"/>
      <c r="N801" s="112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0"/>
      <c r="AB801" s="10"/>
      <c r="AC801" s="10"/>
      <c r="AD801" s="10"/>
      <c r="AE801" s="10"/>
      <c r="AF801" s="10"/>
      <c r="AG801" s="10"/>
    </row>
    <row r="802" ht="13.5" customHeight="1">
      <c r="A802" s="1"/>
      <c r="B802" s="1"/>
      <c r="C802" s="1"/>
      <c r="D802" s="1"/>
      <c r="E802" s="1"/>
      <c r="F802" s="110"/>
      <c r="G802" s="10"/>
      <c r="H802" s="39"/>
      <c r="I802" s="39"/>
      <c r="J802" s="10"/>
      <c r="K802" s="10"/>
      <c r="L802" s="39"/>
      <c r="M802" s="10"/>
      <c r="N802" s="112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0"/>
      <c r="AB802" s="10"/>
      <c r="AC802" s="10"/>
      <c r="AD802" s="10"/>
      <c r="AE802" s="10"/>
      <c r="AF802" s="10"/>
      <c r="AG802" s="10"/>
    </row>
    <row r="803" ht="13.5" customHeight="1">
      <c r="A803" s="1"/>
      <c r="B803" s="1"/>
      <c r="C803" s="1"/>
      <c r="D803" s="1"/>
      <c r="E803" s="1"/>
      <c r="F803" s="110"/>
      <c r="G803" s="10"/>
      <c r="H803" s="39"/>
      <c r="I803" s="39"/>
      <c r="J803" s="10"/>
      <c r="K803" s="10"/>
      <c r="L803" s="39"/>
      <c r="M803" s="10"/>
      <c r="N803" s="112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0"/>
      <c r="AB803" s="10"/>
      <c r="AC803" s="10"/>
      <c r="AD803" s="10"/>
      <c r="AE803" s="10"/>
      <c r="AF803" s="10"/>
      <c r="AG803" s="10"/>
    </row>
    <row r="804" ht="13.5" customHeight="1">
      <c r="A804" s="1"/>
      <c r="B804" s="1"/>
      <c r="C804" s="1"/>
      <c r="D804" s="1"/>
      <c r="E804" s="1"/>
      <c r="F804" s="110"/>
      <c r="G804" s="10"/>
      <c r="H804" s="39"/>
      <c r="I804" s="39"/>
      <c r="J804" s="10"/>
      <c r="K804" s="10"/>
      <c r="L804" s="39"/>
      <c r="M804" s="10"/>
      <c r="N804" s="112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0"/>
      <c r="AB804" s="10"/>
      <c r="AC804" s="10"/>
      <c r="AD804" s="10"/>
      <c r="AE804" s="10"/>
      <c r="AF804" s="10"/>
      <c r="AG804" s="10"/>
    </row>
    <row r="805" ht="13.5" customHeight="1">
      <c r="A805" s="1"/>
      <c r="B805" s="1"/>
      <c r="C805" s="1"/>
      <c r="D805" s="1"/>
      <c r="E805" s="1"/>
      <c r="F805" s="110"/>
      <c r="G805" s="10"/>
      <c r="H805" s="39"/>
      <c r="I805" s="39"/>
      <c r="J805" s="10"/>
      <c r="K805" s="10"/>
      <c r="L805" s="39"/>
      <c r="M805" s="10"/>
      <c r="N805" s="112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0"/>
      <c r="AB805" s="10"/>
      <c r="AC805" s="10"/>
      <c r="AD805" s="10"/>
      <c r="AE805" s="10"/>
      <c r="AF805" s="10"/>
      <c r="AG805" s="10"/>
    </row>
    <row r="806" ht="13.5" customHeight="1">
      <c r="A806" s="1"/>
      <c r="B806" s="1"/>
      <c r="C806" s="1"/>
      <c r="D806" s="1"/>
      <c r="E806" s="1"/>
      <c r="F806" s="110"/>
      <c r="G806" s="10"/>
      <c r="H806" s="39"/>
      <c r="I806" s="39"/>
      <c r="J806" s="10"/>
      <c r="K806" s="10"/>
      <c r="L806" s="39"/>
      <c r="M806" s="10"/>
      <c r="N806" s="112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0"/>
      <c r="AB806" s="10"/>
      <c r="AC806" s="10"/>
      <c r="AD806" s="10"/>
      <c r="AE806" s="10"/>
      <c r="AF806" s="10"/>
      <c r="AG806" s="10"/>
    </row>
    <row r="807" ht="13.5" customHeight="1">
      <c r="A807" s="1"/>
      <c r="B807" s="1"/>
      <c r="C807" s="1"/>
      <c r="D807" s="1"/>
      <c r="E807" s="1"/>
      <c r="F807" s="110"/>
      <c r="G807" s="10"/>
      <c r="H807" s="39"/>
      <c r="I807" s="39"/>
      <c r="J807" s="10"/>
      <c r="K807" s="10"/>
      <c r="L807" s="39"/>
      <c r="M807" s="10"/>
      <c r="N807" s="112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0"/>
      <c r="AB807" s="10"/>
      <c r="AC807" s="10"/>
      <c r="AD807" s="10"/>
      <c r="AE807" s="10"/>
      <c r="AF807" s="10"/>
      <c r="AG807" s="10"/>
    </row>
    <row r="808" ht="13.5" customHeight="1">
      <c r="A808" s="1"/>
      <c r="B808" s="1"/>
      <c r="C808" s="1"/>
      <c r="D808" s="1"/>
      <c r="E808" s="1"/>
      <c r="F808" s="110"/>
      <c r="G808" s="10"/>
      <c r="H808" s="39"/>
      <c r="I808" s="39"/>
      <c r="J808" s="10"/>
      <c r="K808" s="10"/>
      <c r="L808" s="39"/>
      <c r="M808" s="10"/>
      <c r="N808" s="112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0"/>
      <c r="AB808" s="10"/>
      <c r="AC808" s="10"/>
      <c r="AD808" s="10"/>
      <c r="AE808" s="10"/>
      <c r="AF808" s="10"/>
      <c r="AG808" s="10"/>
    </row>
    <row r="809" ht="13.5" customHeight="1">
      <c r="A809" s="1"/>
      <c r="B809" s="1"/>
      <c r="C809" s="1"/>
      <c r="D809" s="1"/>
      <c r="E809" s="1"/>
      <c r="F809" s="110"/>
      <c r="G809" s="10"/>
      <c r="H809" s="39"/>
      <c r="I809" s="39"/>
      <c r="J809" s="10"/>
      <c r="K809" s="10"/>
      <c r="L809" s="39"/>
      <c r="M809" s="10"/>
      <c r="N809" s="112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0"/>
      <c r="AB809" s="10"/>
      <c r="AC809" s="10"/>
      <c r="AD809" s="10"/>
      <c r="AE809" s="10"/>
      <c r="AF809" s="10"/>
      <c r="AG809" s="10"/>
    </row>
    <row r="810" ht="13.5" customHeight="1">
      <c r="A810" s="1"/>
      <c r="B810" s="1"/>
      <c r="C810" s="1"/>
      <c r="D810" s="1"/>
      <c r="E810" s="1"/>
      <c r="F810" s="110"/>
      <c r="G810" s="10"/>
      <c r="H810" s="39"/>
      <c r="I810" s="39"/>
      <c r="J810" s="10"/>
      <c r="K810" s="10"/>
      <c r="L810" s="39"/>
      <c r="M810" s="10"/>
      <c r="N810" s="112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0"/>
      <c r="AB810" s="10"/>
      <c r="AC810" s="10"/>
      <c r="AD810" s="10"/>
      <c r="AE810" s="10"/>
      <c r="AF810" s="10"/>
      <c r="AG810" s="10"/>
    </row>
    <row r="811" ht="13.5" customHeight="1">
      <c r="A811" s="1"/>
      <c r="B811" s="1"/>
      <c r="C811" s="1"/>
      <c r="D811" s="1"/>
      <c r="E811" s="1"/>
      <c r="F811" s="110"/>
      <c r="G811" s="10"/>
      <c r="H811" s="39"/>
      <c r="I811" s="39"/>
      <c r="J811" s="10"/>
      <c r="K811" s="10"/>
      <c r="L811" s="39"/>
      <c r="M811" s="10"/>
      <c r="N811" s="112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0"/>
      <c r="AB811" s="10"/>
      <c r="AC811" s="10"/>
      <c r="AD811" s="10"/>
      <c r="AE811" s="10"/>
      <c r="AF811" s="10"/>
      <c r="AG811" s="10"/>
    </row>
    <row r="812" ht="13.5" customHeight="1">
      <c r="A812" s="1"/>
      <c r="B812" s="1"/>
      <c r="C812" s="1"/>
      <c r="D812" s="1"/>
      <c r="E812" s="1"/>
      <c r="F812" s="110"/>
      <c r="G812" s="10"/>
      <c r="H812" s="39"/>
      <c r="I812" s="39"/>
      <c r="J812" s="10"/>
      <c r="K812" s="10"/>
      <c r="L812" s="39"/>
      <c r="M812" s="10"/>
      <c r="N812" s="112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0"/>
      <c r="AB812" s="10"/>
      <c r="AC812" s="10"/>
      <c r="AD812" s="10"/>
      <c r="AE812" s="10"/>
      <c r="AF812" s="10"/>
      <c r="AG812" s="10"/>
    </row>
    <row r="813" ht="13.5" customHeight="1">
      <c r="A813" s="1"/>
      <c r="B813" s="1"/>
      <c r="C813" s="1"/>
      <c r="D813" s="1"/>
      <c r="E813" s="1"/>
      <c r="F813" s="110"/>
      <c r="G813" s="10"/>
      <c r="H813" s="39"/>
      <c r="I813" s="39"/>
      <c r="J813" s="10"/>
      <c r="K813" s="10"/>
      <c r="L813" s="39"/>
      <c r="M813" s="10"/>
      <c r="N813" s="112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0"/>
      <c r="AB813" s="10"/>
      <c r="AC813" s="10"/>
      <c r="AD813" s="10"/>
      <c r="AE813" s="10"/>
      <c r="AF813" s="10"/>
      <c r="AG813" s="10"/>
    </row>
    <row r="814" ht="13.5" customHeight="1">
      <c r="A814" s="1"/>
      <c r="B814" s="1"/>
      <c r="C814" s="1"/>
      <c r="D814" s="1"/>
      <c r="E814" s="1"/>
      <c r="F814" s="110"/>
      <c r="G814" s="10"/>
      <c r="H814" s="39"/>
      <c r="I814" s="39"/>
      <c r="J814" s="10"/>
      <c r="K814" s="10"/>
      <c r="L814" s="39"/>
      <c r="M814" s="10"/>
      <c r="N814" s="112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0"/>
      <c r="AB814" s="10"/>
      <c r="AC814" s="10"/>
      <c r="AD814" s="10"/>
      <c r="AE814" s="10"/>
      <c r="AF814" s="10"/>
      <c r="AG814" s="10"/>
    </row>
    <row r="815" ht="13.5" customHeight="1">
      <c r="A815" s="1"/>
      <c r="B815" s="1"/>
      <c r="C815" s="1"/>
      <c r="D815" s="1"/>
      <c r="E815" s="1"/>
      <c r="F815" s="110"/>
      <c r="G815" s="10"/>
      <c r="H815" s="39"/>
      <c r="I815" s="39"/>
      <c r="J815" s="10"/>
      <c r="K815" s="10"/>
      <c r="L815" s="39"/>
      <c r="M815" s="10"/>
      <c r="N815" s="112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0"/>
      <c r="AB815" s="10"/>
      <c r="AC815" s="10"/>
      <c r="AD815" s="10"/>
      <c r="AE815" s="10"/>
      <c r="AF815" s="10"/>
      <c r="AG815" s="10"/>
    </row>
    <row r="816" ht="13.5" customHeight="1">
      <c r="A816" s="1"/>
      <c r="B816" s="1"/>
      <c r="C816" s="1"/>
      <c r="D816" s="1"/>
      <c r="E816" s="1"/>
      <c r="F816" s="110"/>
      <c r="G816" s="10"/>
      <c r="H816" s="39"/>
      <c r="I816" s="39"/>
      <c r="J816" s="10"/>
      <c r="K816" s="10"/>
      <c r="L816" s="39"/>
      <c r="M816" s="10"/>
      <c r="N816" s="112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0"/>
      <c r="AB816" s="10"/>
      <c r="AC816" s="10"/>
      <c r="AD816" s="10"/>
      <c r="AE816" s="10"/>
      <c r="AF816" s="10"/>
      <c r="AG816" s="10"/>
    </row>
    <row r="817" ht="13.5" customHeight="1">
      <c r="A817" s="1"/>
      <c r="B817" s="1"/>
      <c r="C817" s="1"/>
      <c r="D817" s="1"/>
      <c r="E817" s="1"/>
      <c r="F817" s="110"/>
      <c r="G817" s="10"/>
      <c r="H817" s="39"/>
      <c r="I817" s="39"/>
      <c r="J817" s="10"/>
      <c r="K817" s="10"/>
      <c r="L817" s="39"/>
      <c r="M817" s="10"/>
      <c r="N817" s="112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0"/>
      <c r="AB817" s="10"/>
      <c r="AC817" s="10"/>
      <c r="AD817" s="10"/>
      <c r="AE817" s="10"/>
      <c r="AF817" s="10"/>
      <c r="AG817" s="10"/>
    </row>
    <row r="818" ht="13.5" customHeight="1">
      <c r="A818" s="1"/>
      <c r="B818" s="1"/>
      <c r="C818" s="1"/>
      <c r="D818" s="1"/>
      <c r="E818" s="1"/>
      <c r="F818" s="110"/>
      <c r="G818" s="10"/>
      <c r="H818" s="39"/>
      <c r="I818" s="39"/>
      <c r="J818" s="10"/>
      <c r="K818" s="10"/>
      <c r="L818" s="39"/>
      <c r="M818" s="10"/>
      <c r="N818" s="112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0"/>
      <c r="AB818" s="10"/>
      <c r="AC818" s="10"/>
      <c r="AD818" s="10"/>
      <c r="AE818" s="10"/>
      <c r="AF818" s="10"/>
      <c r="AG818" s="10"/>
    </row>
    <row r="819" ht="13.5" customHeight="1">
      <c r="A819" s="1"/>
      <c r="B819" s="1"/>
      <c r="C819" s="1"/>
      <c r="D819" s="1"/>
      <c r="E819" s="1"/>
      <c r="F819" s="110"/>
      <c r="G819" s="10"/>
      <c r="H819" s="39"/>
      <c r="I819" s="39"/>
      <c r="J819" s="10"/>
      <c r="K819" s="10"/>
      <c r="L819" s="39"/>
      <c r="M819" s="10"/>
      <c r="N819" s="112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0"/>
      <c r="AB819" s="10"/>
      <c r="AC819" s="10"/>
      <c r="AD819" s="10"/>
      <c r="AE819" s="10"/>
      <c r="AF819" s="10"/>
      <c r="AG819" s="10"/>
    </row>
    <row r="820" ht="13.5" customHeight="1">
      <c r="A820" s="1"/>
      <c r="B820" s="1"/>
      <c r="C820" s="1"/>
      <c r="D820" s="1"/>
      <c r="E820" s="1"/>
      <c r="F820" s="110"/>
      <c r="G820" s="10"/>
      <c r="H820" s="39"/>
      <c r="I820" s="39"/>
      <c r="J820" s="10"/>
      <c r="K820" s="10"/>
      <c r="L820" s="39"/>
      <c r="M820" s="10"/>
      <c r="N820" s="112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0"/>
      <c r="AB820" s="10"/>
      <c r="AC820" s="10"/>
      <c r="AD820" s="10"/>
      <c r="AE820" s="10"/>
      <c r="AF820" s="10"/>
      <c r="AG820" s="10"/>
    </row>
    <row r="821" ht="13.5" customHeight="1">
      <c r="A821" s="1"/>
      <c r="B821" s="1"/>
      <c r="C821" s="1"/>
      <c r="D821" s="1"/>
      <c r="E821" s="1"/>
      <c r="F821" s="110"/>
      <c r="G821" s="10"/>
      <c r="H821" s="39"/>
      <c r="I821" s="39"/>
      <c r="J821" s="10"/>
      <c r="K821" s="10"/>
      <c r="L821" s="39"/>
      <c r="M821" s="10"/>
      <c r="N821" s="112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0"/>
      <c r="AB821" s="10"/>
      <c r="AC821" s="10"/>
      <c r="AD821" s="10"/>
      <c r="AE821" s="10"/>
      <c r="AF821" s="10"/>
      <c r="AG821" s="10"/>
    </row>
    <row r="822" ht="13.5" customHeight="1">
      <c r="A822" s="1"/>
      <c r="B822" s="1"/>
      <c r="C822" s="1"/>
      <c r="D822" s="1"/>
      <c r="E822" s="1"/>
      <c r="F822" s="110"/>
      <c r="G822" s="10"/>
      <c r="H822" s="39"/>
      <c r="I822" s="39"/>
      <c r="J822" s="10"/>
      <c r="K822" s="10"/>
      <c r="L822" s="39"/>
      <c r="M822" s="10"/>
      <c r="N822" s="112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0"/>
      <c r="AB822" s="10"/>
      <c r="AC822" s="10"/>
      <c r="AD822" s="10"/>
      <c r="AE822" s="10"/>
      <c r="AF822" s="10"/>
      <c r="AG822" s="10"/>
    </row>
    <row r="823" ht="13.5" customHeight="1">
      <c r="A823" s="1"/>
      <c r="B823" s="1"/>
      <c r="C823" s="1"/>
      <c r="D823" s="1"/>
      <c r="E823" s="1"/>
      <c r="F823" s="110"/>
      <c r="G823" s="10"/>
      <c r="H823" s="39"/>
      <c r="I823" s="39"/>
      <c r="J823" s="10"/>
      <c r="K823" s="10"/>
      <c r="L823" s="39"/>
      <c r="M823" s="10"/>
      <c r="N823" s="112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0"/>
      <c r="AB823" s="10"/>
      <c r="AC823" s="10"/>
      <c r="AD823" s="10"/>
      <c r="AE823" s="10"/>
      <c r="AF823" s="10"/>
      <c r="AG823" s="10"/>
    </row>
    <row r="824" ht="13.5" customHeight="1">
      <c r="A824" s="1"/>
      <c r="B824" s="1"/>
      <c r="C824" s="1"/>
      <c r="D824" s="1"/>
      <c r="E824" s="1"/>
      <c r="F824" s="110"/>
      <c r="G824" s="10"/>
      <c r="H824" s="39"/>
      <c r="I824" s="39"/>
      <c r="J824" s="10"/>
      <c r="K824" s="10"/>
      <c r="L824" s="39"/>
      <c r="M824" s="10"/>
      <c r="N824" s="112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0"/>
      <c r="AB824" s="10"/>
      <c r="AC824" s="10"/>
      <c r="AD824" s="10"/>
      <c r="AE824" s="10"/>
      <c r="AF824" s="10"/>
      <c r="AG824" s="10"/>
    </row>
    <row r="825" ht="13.5" customHeight="1">
      <c r="A825" s="1"/>
      <c r="B825" s="1"/>
      <c r="C825" s="1"/>
      <c r="D825" s="1"/>
      <c r="E825" s="1"/>
      <c r="F825" s="110"/>
      <c r="G825" s="10"/>
      <c r="H825" s="39"/>
      <c r="I825" s="39"/>
      <c r="J825" s="10"/>
      <c r="K825" s="10"/>
      <c r="L825" s="39"/>
      <c r="M825" s="10"/>
      <c r="N825" s="112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0"/>
      <c r="AB825" s="10"/>
      <c r="AC825" s="10"/>
      <c r="AD825" s="10"/>
      <c r="AE825" s="10"/>
      <c r="AF825" s="10"/>
      <c r="AG825" s="10"/>
    </row>
    <row r="826" ht="13.5" customHeight="1">
      <c r="A826" s="1"/>
      <c r="B826" s="1"/>
      <c r="C826" s="1"/>
      <c r="D826" s="1"/>
      <c r="E826" s="1"/>
      <c r="F826" s="110"/>
      <c r="G826" s="10"/>
      <c r="H826" s="39"/>
      <c r="I826" s="39"/>
      <c r="J826" s="10"/>
      <c r="K826" s="10"/>
      <c r="L826" s="39"/>
      <c r="M826" s="10"/>
      <c r="N826" s="112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0"/>
      <c r="AB826" s="10"/>
      <c r="AC826" s="10"/>
      <c r="AD826" s="10"/>
      <c r="AE826" s="10"/>
      <c r="AF826" s="10"/>
      <c r="AG826" s="10"/>
    </row>
    <row r="827" ht="13.5" customHeight="1">
      <c r="A827" s="1"/>
      <c r="B827" s="1"/>
      <c r="C827" s="1"/>
      <c r="D827" s="1"/>
      <c r="E827" s="1"/>
      <c r="F827" s="110"/>
      <c r="G827" s="10"/>
      <c r="H827" s="39"/>
      <c r="I827" s="39"/>
      <c r="J827" s="10"/>
      <c r="K827" s="10"/>
      <c r="L827" s="39"/>
      <c r="M827" s="10"/>
      <c r="N827" s="112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0"/>
      <c r="AB827" s="10"/>
      <c r="AC827" s="10"/>
      <c r="AD827" s="10"/>
      <c r="AE827" s="10"/>
      <c r="AF827" s="10"/>
      <c r="AG827" s="10"/>
    </row>
    <row r="828" ht="13.5" customHeight="1">
      <c r="A828" s="1"/>
      <c r="B828" s="1"/>
      <c r="C828" s="1"/>
      <c r="D828" s="1"/>
      <c r="E828" s="1"/>
      <c r="F828" s="110"/>
      <c r="G828" s="10"/>
      <c r="H828" s="39"/>
      <c r="I828" s="39"/>
      <c r="J828" s="10"/>
      <c r="K828" s="10"/>
      <c r="L828" s="39"/>
      <c r="M828" s="10"/>
      <c r="N828" s="112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0"/>
      <c r="AB828" s="10"/>
      <c r="AC828" s="10"/>
      <c r="AD828" s="10"/>
      <c r="AE828" s="10"/>
      <c r="AF828" s="10"/>
      <c r="AG828" s="10"/>
    </row>
    <row r="829" ht="13.5" customHeight="1">
      <c r="A829" s="1"/>
      <c r="B829" s="1"/>
      <c r="C829" s="1"/>
      <c r="D829" s="1"/>
      <c r="E829" s="1"/>
      <c r="F829" s="110"/>
      <c r="G829" s="10"/>
      <c r="H829" s="39"/>
      <c r="I829" s="39"/>
      <c r="J829" s="10"/>
      <c r="K829" s="10"/>
      <c r="L829" s="39"/>
      <c r="M829" s="10"/>
      <c r="N829" s="112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0"/>
      <c r="AB829" s="10"/>
      <c r="AC829" s="10"/>
      <c r="AD829" s="10"/>
      <c r="AE829" s="10"/>
      <c r="AF829" s="10"/>
      <c r="AG829" s="10"/>
    </row>
    <row r="830" ht="13.5" customHeight="1">
      <c r="A830" s="1"/>
      <c r="B830" s="1"/>
      <c r="C830" s="1"/>
      <c r="D830" s="1"/>
      <c r="E830" s="1"/>
      <c r="F830" s="110"/>
      <c r="G830" s="10"/>
      <c r="H830" s="39"/>
      <c r="I830" s="39"/>
      <c r="J830" s="10"/>
      <c r="K830" s="10"/>
      <c r="L830" s="39"/>
      <c r="M830" s="10"/>
      <c r="N830" s="112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0"/>
      <c r="AB830" s="10"/>
      <c r="AC830" s="10"/>
      <c r="AD830" s="10"/>
      <c r="AE830" s="10"/>
      <c r="AF830" s="10"/>
      <c r="AG830" s="10"/>
    </row>
    <row r="831" ht="13.5" customHeight="1">
      <c r="A831" s="1"/>
      <c r="B831" s="1"/>
      <c r="C831" s="1"/>
      <c r="D831" s="1"/>
      <c r="E831" s="1"/>
      <c r="F831" s="110"/>
      <c r="G831" s="10"/>
      <c r="H831" s="39"/>
      <c r="I831" s="39"/>
      <c r="J831" s="10"/>
      <c r="K831" s="10"/>
      <c r="L831" s="39"/>
      <c r="M831" s="10"/>
      <c r="N831" s="112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0"/>
      <c r="AB831" s="10"/>
      <c r="AC831" s="10"/>
      <c r="AD831" s="10"/>
      <c r="AE831" s="10"/>
      <c r="AF831" s="10"/>
      <c r="AG831" s="10"/>
    </row>
    <row r="832" ht="13.5" customHeight="1">
      <c r="A832" s="1"/>
      <c r="B832" s="1"/>
      <c r="C832" s="1"/>
      <c r="D832" s="1"/>
      <c r="E832" s="1"/>
      <c r="F832" s="110"/>
      <c r="G832" s="10"/>
      <c r="H832" s="39"/>
      <c r="I832" s="39"/>
      <c r="J832" s="10"/>
      <c r="K832" s="10"/>
      <c r="L832" s="39"/>
      <c r="M832" s="10"/>
      <c r="N832" s="112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0"/>
      <c r="AB832" s="10"/>
      <c r="AC832" s="10"/>
      <c r="AD832" s="10"/>
      <c r="AE832" s="10"/>
      <c r="AF832" s="10"/>
      <c r="AG832" s="10"/>
    </row>
    <row r="833" ht="13.5" customHeight="1">
      <c r="A833" s="1"/>
      <c r="B833" s="1"/>
      <c r="C833" s="1"/>
      <c r="D833" s="1"/>
      <c r="E833" s="1"/>
      <c r="F833" s="110"/>
      <c r="G833" s="10"/>
      <c r="H833" s="39"/>
      <c r="I833" s="39"/>
      <c r="J833" s="10"/>
      <c r="K833" s="10"/>
      <c r="L833" s="39"/>
      <c r="M833" s="10"/>
      <c r="N833" s="112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0"/>
      <c r="AB833" s="10"/>
      <c r="AC833" s="10"/>
      <c r="AD833" s="10"/>
      <c r="AE833" s="10"/>
      <c r="AF833" s="10"/>
      <c r="AG833" s="10"/>
    </row>
    <row r="834" ht="13.5" customHeight="1">
      <c r="A834" s="1"/>
      <c r="B834" s="1"/>
      <c r="C834" s="1"/>
      <c r="D834" s="1"/>
      <c r="E834" s="1"/>
      <c r="F834" s="110"/>
      <c r="G834" s="10"/>
      <c r="H834" s="39"/>
      <c r="I834" s="39"/>
      <c r="J834" s="10"/>
      <c r="K834" s="10"/>
      <c r="L834" s="39"/>
      <c r="M834" s="10"/>
      <c r="N834" s="112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0"/>
      <c r="AB834" s="10"/>
      <c r="AC834" s="10"/>
      <c r="AD834" s="10"/>
      <c r="AE834" s="10"/>
      <c r="AF834" s="10"/>
      <c r="AG834" s="10"/>
    </row>
    <row r="835" ht="13.5" customHeight="1">
      <c r="A835" s="1"/>
      <c r="B835" s="1"/>
      <c r="C835" s="1"/>
      <c r="D835" s="1"/>
      <c r="E835" s="1"/>
      <c r="F835" s="110"/>
      <c r="G835" s="10"/>
      <c r="H835" s="39"/>
      <c r="I835" s="39"/>
      <c r="J835" s="10"/>
      <c r="K835" s="10"/>
      <c r="L835" s="39"/>
      <c r="M835" s="10"/>
      <c r="N835" s="112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0"/>
      <c r="AB835" s="10"/>
      <c r="AC835" s="10"/>
      <c r="AD835" s="10"/>
      <c r="AE835" s="10"/>
      <c r="AF835" s="10"/>
      <c r="AG835" s="10"/>
    </row>
    <row r="836" ht="13.5" customHeight="1">
      <c r="A836" s="1"/>
      <c r="B836" s="1"/>
      <c r="C836" s="1"/>
      <c r="D836" s="1"/>
      <c r="E836" s="1"/>
      <c r="F836" s="110"/>
      <c r="G836" s="10"/>
      <c r="H836" s="39"/>
      <c r="I836" s="39"/>
      <c r="J836" s="10"/>
      <c r="K836" s="10"/>
      <c r="L836" s="39"/>
      <c r="M836" s="10"/>
      <c r="N836" s="112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0"/>
      <c r="AB836" s="10"/>
      <c r="AC836" s="10"/>
      <c r="AD836" s="10"/>
      <c r="AE836" s="10"/>
      <c r="AF836" s="10"/>
      <c r="AG836" s="10"/>
    </row>
    <row r="837" ht="13.5" customHeight="1">
      <c r="A837" s="1"/>
      <c r="B837" s="1"/>
      <c r="C837" s="1"/>
      <c r="D837" s="1"/>
      <c r="E837" s="1"/>
      <c r="F837" s="110"/>
      <c r="G837" s="10"/>
      <c r="H837" s="39"/>
      <c r="I837" s="39"/>
      <c r="J837" s="10"/>
      <c r="K837" s="10"/>
      <c r="L837" s="39"/>
      <c r="M837" s="10"/>
      <c r="N837" s="112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0"/>
      <c r="AB837" s="10"/>
      <c r="AC837" s="10"/>
      <c r="AD837" s="10"/>
      <c r="AE837" s="10"/>
      <c r="AF837" s="10"/>
      <c r="AG837" s="10"/>
    </row>
    <row r="838" ht="13.5" customHeight="1">
      <c r="A838" s="1"/>
      <c r="B838" s="1"/>
      <c r="C838" s="1"/>
      <c r="D838" s="1"/>
      <c r="E838" s="1"/>
      <c r="F838" s="110"/>
      <c r="G838" s="10"/>
      <c r="H838" s="39"/>
      <c r="I838" s="39"/>
      <c r="J838" s="10"/>
      <c r="K838" s="10"/>
      <c r="L838" s="39"/>
      <c r="M838" s="10"/>
      <c r="N838" s="112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0"/>
      <c r="AB838" s="10"/>
      <c r="AC838" s="10"/>
      <c r="AD838" s="10"/>
      <c r="AE838" s="10"/>
      <c r="AF838" s="10"/>
      <c r="AG838" s="10"/>
    </row>
    <row r="839" ht="13.5" customHeight="1">
      <c r="A839" s="1"/>
      <c r="B839" s="1"/>
      <c r="C839" s="1"/>
      <c r="D839" s="1"/>
      <c r="E839" s="1"/>
      <c r="F839" s="110"/>
      <c r="G839" s="10"/>
      <c r="H839" s="39"/>
      <c r="I839" s="39"/>
      <c r="J839" s="10"/>
      <c r="K839" s="10"/>
      <c r="L839" s="39"/>
      <c r="M839" s="10"/>
      <c r="N839" s="112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0"/>
      <c r="AB839" s="10"/>
      <c r="AC839" s="10"/>
      <c r="AD839" s="10"/>
      <c r="AE839" s="10"/>
      <c r="AF839" s="10"/>
      <c r="AG839" s="10"/>
    </row>
    <row r="840" ht="13.5" customHeight="1">
      <c r="A840" s="1"/>
      <c r="B840" s="1"/>
      <c r="C840" s="1"/>
      <c r="D840" s="1"/>
      <c r="E840" s="1"/>
      <c r="F840" s="110"/>
      <c r="G840" s="10"/>
      <c r="H840" s="39"/>
      <c r="I840" s="39"/>
      <c r="J840" s="10"/>
      <c r="K840" s="10"/>
      <c r="L840" s="39"/>
      <c r="M840" s="10"/>
      <c r="N840" s="112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0"/>
      <c r="AB840" s="10"/>
      <c r="AC840" s="10"/>
      <c r="AD840" s="10"/>
      <c r="AE840" s="10"/>
      <c r="AF840" s="10"/>
      <c r="AG840" s="10"/>
    </row>
    <row r="841" ht="13.5" customHeight="1">
      <c r="A841" s="1"/>
      <c r="B841" s="1"/>
      <c r="C841" s="1"/>
      <c r="D841" s="1"/>
      <c r="E841" s="1"/>
      <c r="F841" s="110"/>
      <c r="G841" s="10"/>
      <c r="H841" s="39"/>
      <c r="I841" s="39"/>
      <c r="J841" s="10"/>
      <c r="K841" s="10"/>
      <c r="L841" s="39"/>
      <c r="M841" s="10"/>
      <c r="N841" s="112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0"/>
      <c r="AB841" s="10"/>
      <c r="AC841" s="10"/>
      <c r="AD841" s="10"/>
      <c r="AE841" s="10"/>
      <c r="AF841" s="10"/>
      <c r="AG841" s="10"/>
    </row>
    <row r="842" ht="13.5" customHeight="1">
      <c r="A842" s="1"/>
      <c r="B842" s="1"/>
      <c r="C842" s="1"/>
      <c r="D842" s="1"/>
      <c r="E842" s="1"/>
      <c r="F842" s="110"/>
      <c r="G842" s="10"/>
      <c r="H842" s="39"/>
      <c r="I842" s="39"/>
      <c r="J842" s="10"/>
      <c r="K842" s="10"/>
      <c r="L842" s="39"/>
      <c r="M842" s="10"/>
      <c r="N842" s="112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0"/>
      <c r="AB842" s="10"/>
      <c r="AC842" s="10"/>
      <c r="AD842" s="10"/>
      <c r="AE842" s="10"/>
      <c r="AF842" s="10"/>
      <c r="AG842" s="10"/>
    </row>
    <row r="843" ht="13.5" customHeight="1">
      <c r="A843" s="1"/>
      <c r="B843" s="1"/>
      <c r="C843" s="1"/>
      <c r="D843" s="1"/>
      <c r="E843" s="1"/>
      <c r="F843" s="110"/>
      <c r="G843" s="10"/>
      <c r="H843" s="39"/>
      <c r="I843" s="39"/>
      <c r="J843" s="10"/>
      <c r="K843" s="10"/>
      <c r="L843" s="39"/>
      <c r="M843" s="10"/>
      <c r="N843" s="112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0"/>
      <c r="AB843" s="10"/>
      <c r="AC843" s="10"/>
      <c r="AD843" s="10"/>
      <c r="AE843" s="10"/>
      <c r="AF843" s="10"/>
      <c r="AG843" s="10"/>
    </row>
    <row r="844" ht="13.5" customHeight="1">
      <c r="A844" s="1"/>
      <c r="B844" s="1"/>
      <c r="C844" s="1"/>
      <c r="D844" s="1"/>
      <c r="E844" s="1"/>
      <c r="F844" s="110"/>
      <c r="G844" s="10"/>
      <c r="H844" s="39"/>
      <c r="I844" s="39"/>
      <c r="J844" s="10"/>
      <c r="K844" s="10"/>
      <c r="L844" s="39"/>
      <c r="M844" s="10"/>
      <c r="N844" s="112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0"/>
      <c r="AB844" s="10"/>
      <c r="AC844" s="10"/>
      <c r="AD844" s="10"/>
      <c r="AE844" s="10"/>
      <c r="AF844" s="10"/>
      <c r="AG844" s="10"/>
    </row>
    <row r="845" ht="13.5" customHeight="1">
      <c r="A845" s="1"/>
      <c r="B845" s="1"/>
      <c r="C845" s="1"/>
      <c r="D845" s="1"/>
      <c r="E845" s="1"/>
      <c r="F845" s="110"/>
      <c r="G845" s="10"/>
      <c r="H845" s="39"/>
      <c r="I845" s="39"/>
      <c r="J845" s="10"/>
      <c r="K845" s="10"/>
      <c r="L845" s="39"/>
      <c r="M845" s="10"/>
      <c r="N845" s="112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0"/>
      <c r="AB845" s="10"/>
      <c r="AC845" s="10"/>
      <c r="AD845" s="10"/>
      <c r="AE845" s="10"/>
      <c r="AF845" s="10"/>
      <c r="AG845" s="10"/>
    </row>
    <row r="846" ht="13.5" customHeight="1">
      <c r="A846" s="1"/>
      <c r="B846" s="1"/>
      <c r="C846" s="1"/>
      <c r="D846" s="1"/>
      <c r="E846" s="1"/>
      <c r="F846" s="110"/>
      <c r="G846" s="10"/>
      <c r="H846" s="39"/>
      <c r="I846" s="39"/>
      <c r="J846" s="10"/>
      <c r="K846" s="10"/>
      <c r="L846" s="39"/>
      <c r="M846" s="10"/>
      <c r="N846" s="112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0"/>
      <c r="AB846" s="10"/>
      <c r="AC846" s="10"/>
      <c r="AD846" s="10"/>
      <c r="AE846" s="10"/>
      <c r="AF846" s="10"/>
      <c r="AG846" s="10"/>
    </row>
    <row r="847" ht="13.5" customHeight="1">
      <c r="A847" s="1"/>
      <c r="B847" s="1"/>
      <c r="C847" s="1"/>
      <c r="D847" s="1"/>
      <c r="E847" s="1"/>
      <c r="F847" s="110"/>
      <c r="G847" s="10"/>
      <c r="H847" s="39"/>
      <c r="I847" s="39"/>
      <c r="J847" s="10"/>
      <c r="K847" s="10"/>
      <c r="L847" s="39"/>
      <c r="M847" s="10"/>
      <c r="N847" s="112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0"/>
      <c r="AB847" s="10"/>
      <c r="AC847" s="10"/>
      <c r="AD847" s="10"/>
      <c r="AE847" s="10"/>
      <c r="AF847" s="10"/>
      <c r="AG847" s="10"/>
    </row>
    <row r="848" ht="13.5" customHeight="1">
      <c r="A848" s="1"/>
      <c r="B848" s="1"/>
      <c r="C848" s="1"/>
      <c r="D848" s="1"/>
      <c r="E848" s="1"/>
      <c r="F848" s="110"/>
      <c r="G848" s="10"/>
      <c r="H848" s="39"/>
      <c r="I848" s="39"/>
      <c r="J848" s="10"/>
      <c r="K848" s="10"/>
      <c r="L848" s="39"/>
      <c r="M848" s="10"/>
      <c r="N848" s="112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0"/>
      <c r="AB848" s="10"/>
      <c r="AC848" s="10"/>
      <c r="AD848" s="10"/>
      <c r="AE848" s="10"/>
      <c r="AF848" s="10"/>
      <c r="AG848" s="10"/>
    </row>
    <row r="849" ht="13.5" customHeight="1">
      <c r="A849" s="1"/>
      <c r="B849" s="1"/>
      <c r="C849" s="1"/>
      <c r="D849" s="1"/>
      <c r="E849" s="1"/>
      <c r="F849" s="110"/>
      <c r="G849" s="10"/>
      <c r="H849" s="39"/>
      <c r="I849" s="39"/>
      <c r="J849" s="10"/>
      <c r="K849" s="10"/>
      <c r="L849" s="39"/>
      <c r="M849" s="10"/>
      <c r="N849" s="112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0"/>
      <c r="AB849" s="10"/>
      <c r="AC849" s="10"/>
      <c r="AD849" s="10"/>
      <c r="AE849" s="10"/>
      <c r="AF849" s="10"/>
      <c r="AG849" s="10"/>
    </row>
    <row r="850" ht="13.5" customHeight="1">
      <c r="A850" s="1"/>
      <c r="B850" s="1"/>
      <c r="C850" s="1"/>
      <c r="D850" s="1"/>
      <c r="E850" s="1"/>
      <c r="F850" s="110"/>
      <c r="G850" s="10"/>
      <c r="H850" s="39"/>
      <c r="I850" s="39"/>
      <c r="J850" s="10"/>
      <c r="K850" s="10"/>
      <c r="L850" s="39"/>
      <c r="M850" s="10"/>
      <c r="N850" s="112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0"/>
      <c r="AB850" s="10"/>
      <c r="AC850" s="10"/>
      <c r="AD850" s="10"/>
      <c r="AE850" s="10"/>
      <c r="AF850" s="10"/>
      <c r="AG850" s="10"/>
    </row>
    <row r="851" ht="13.5" customHeight="1">
      <c r="A851" s="1"/>
      <c r="B851" s="1"/>
      <c r="C851" s="1"/>
      <c r="D851" s="1"/>
      <c r="E851" s="1"/>
      <c r="F851" s="110"/>
      <c r="G851" s="10"/>
      <c r="H851" s="39"/>
      <c r="I851" s="39"/>
      <c r="J851" s="10"/>
      <c r="K851" s="10"/>
      <c r="L851" s="39"/>
      <c r="M851" s="10"/>
      <c r="N851" s="112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0"/>
      <c r="AB851" s="10"/>
      <c r="AC851" s="10"/>
      <c r="AD851" s="10"/>
      <c r="AE851" s="10"/>
      <c r="AF851" s="10"/>
      <c r="AG851" s="10"/>
    </row>
    <row r="852" ht="13.5" customHeight="1">
      <c r="A852" s="1"/>
      <c r="B852" s="1"/>
      <c r="C852" s="1"/>
      <c r="D852" s="1"/>
      <c r="E852" s="1"/>
      <c r="F852" s="110"/>
      <c r="G852" s="10"/>
      <c r="H852" s="39"/>
      <c r="I852" s="39"/>
      <c r="J852" s="10"/>
      <c r="K852" s="10"/>
      <c r="L852" s="39"/>
      <c r="M852" s="10"/>
      <c r="N852" s="112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0"/>
      <c r="AB852" s="10"/>
      <c r="AC852" s="10"/>
      <c r="AD852" s="10"/>
      <c r="AE852" s="10"/>
      <c r="AF852" s="10"/>
      <c r="AG852" s="10"/>
    </row>
    <row r="853" ht="13.5" customHeight="1">
      <c r="A853" s="1"/>
      <c r="B853" s="1"/>
      <c r="C853" s="1"/>
      <c r="D853" s="1"/>
      <c r="E853" s="1"/>
      <c r="F853" s="110"/>
      <c r="G853" s="10"/>
      <c r="H853" s="39"/>
      <c r="I853" s="39"/>
      <c r="J853" s="10"/>
      <c r="K853" s="10"/>
      <c r="L853" s="39"/>
      <c r="M853" s="10"/>
      <c r="N853" s="112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0"/>
      <c r="AB853" s="10"/>
      <c r="AC853" s="10"/>
      <c r="AD853" s="10"/>
      <c r="AE853" s="10"/>
      <c r="AF853" s="10"/>
      <c r="AG853" s="10"/>
    </row>
    <row r="854" ht="13.5" customHeight="1">
      <c r="A854" s="1"/>
      <c r="B854" s="1"/>
      <c r="C854" s="1"/>
      <c r="D854" s="1"/>
      <c r="E854" s="1"/>
      <c r="F854" s="110"/>
      <c r="G854" s="10"/>
      <c r="H854" s="39"/>
      <c r="I854" s="39"/>
      <c r="J854" s="10"/>
      <c r="K854" s="10"/>
      <c r="L854" s="39"/>
      <c r="M854" s="10"/>
      <c r="N854" s="112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0"/>
      <c r="AB854" s="10"/>
      <c r="AC854" s="10"/>
      <c r="AD854" s="10"/>
      <c r="AE854" s="10"/>
      <c r="AF854" s="10"/>
      <c r="AG854" s="10"/>
    </row>
    <row r="855" ht="13.5" customHeight="1">
      <c r="A855" s="1"/>
      <c r="B855" s="1"/>
      <c r="C855" s="1"/>
      <c r="D855" s="1"/>
      <c r="E855" s="1"/>
      <c r="F855" s="110"/>
      <c r="G855" s="10"/>
      <c r="H855" s="39"/>
      <c r="I855" s="39"/>
      <c r="J855" s="10"/>
      <c r="K855" s="10"/>
      <c r="L855" s="39"/>
      <c r="M855" s="10"/>
      <c r="N855" s="112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0"/>
      <c r="AB855" s="10"/>
      <c r="AC855" s="10"/>
      <c r="AD855" s="10"/>
      <c r="AE855" s="10"/>
      <c r="AF855" s="10"/>
      <c r="AG855" s="10"/>
    </row>
    <row r="856" ht="13.5" customHeight="1">
      <c r="A856" s="1"/>
      <c r="B856" s="1"/>
      <c r="C856" s="1"/>
      <c r="D856" s="1"/>
      <c r="E856" s="1"/>
      <c r="F856" s="110"/>
      <c r="G856" s="10"/>
      <c r="H856" s="39"/>
      <c r="I856" s="39"/>
      <c r="J856" s="10"/>
      <c r="K856" s="10"/>
      <c r="L856" s="39"/>
      <c r="M856" s="10"/>
      <c r="N856" s="112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0"/>
      <c r="AB856" s="10"/>
      <c r="AC856" s="10"/>
      <c r="AD856" s="10"/>
      <c r="AE856" s="10"/>
      <c r="AF856" s="10"/>
      <c r="AG856" s="10"/>
    </row>
    <row r="857" ht="13.5" customHeight="1">
      <c r="A857" s="1"/>
      <c r="B857" s="1"/>
      <c r="C857" s="1"/>
      <c r="D857" s="1"/>
      <c r="E857" s="1"/>
      <c r="F857" s="110"/>
      <c r="G857" s="10"/>
      <c r="H857" s="39"/>
      <c r="I857" s="39"/>
      <c r="J857" s="10"/>
      <c r="K857" s="10"/>
      <c r="L857" s="39"/>
      <c r="M857" s="10"/>
      <c r="N857" s="112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0"/>
      <c r="AB857" s="10"/>
      <c r="AC857" s="10"/>
      <c r="AD857" s="10"/>
      <c r="AE857" s="10"/>
      <c r="AF857" s="10"/>
      <c r="AG857" s="10"/>
    </row>
    <row r="858" ht="13.5" customHeight="1">
      <c r="A858" s="1"/>
      <c r="B858" s="1"/>
      <c r="C858" s="1"/>
      <c r="D858" s="1"/>
      <c r="E858" s="1"/>
      <c r="F858" s="110"/>
      <c r="G858" s="10"/>
      <c r="H858" s="39"/>
      <c r="I858" s="39"/>
      <c r="J858" s="10"/>
      <c r="K858" s="10"/>
      <c r="L858" s="39"/>
      <c r="M858" s="10"/>
      <c r="N858" s="112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0"/>
      <c r="AB858" s="10"/>
      <c r="AC858" s="10"/>
      <c r="AD858" s="10"/>
      <c r="AE858" s="10"/>
      <c r="AF858" s="10"/>
      <c r="AG858" s="10"/>
    </row>
    <row r="859" ht="13.5" customHeight="1">
      <c r="A859" s="1"/>
      <c r="B859" s="1"/>
      <c r="C859" s="1"/>
      <c r="D859" s="1"/>
      <c r="E859" s="1"/>
      <c r="F859" s="110"/>
      <c r="G859" s="10"/>
      <c r="H859" s="39"/>
      <c r="I859" s="39"/>
      <c r="J859" s="10"/>
      <c r="K859" s="10"/>
      <c r="L859" s="39"/>
      <c r="M859" s="10"/>
      <c r="N859" s="112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0"/>
      <c r="AB859" s="10"/>
      <c r="AC859" s="10"/>
      <c r="AD859" s="10"/>
      <c r="AE859" s="10"/>
      <c r="AF859" s="10"/>
      <c r="AG859" s="10"/>
    </row>
    <row r="860" ht="13.5" customHeight="1">
      <c r="A860" s="1"/>
      <c r="B860" s="1"/>
      <c r="C860" s="1"/>
      <c r="D860" s="1"/>
      <c r="E860" s="1"/>
      <c r="F860" s="110"/>
      <c r="G860" s="10"/>
      <c r="H860" s="39"/>
      <c r="I860" s="39"/>
      <c r="J860" s="10"/>
      <c r="K860" s="10"/>
      <c r="L860" s="39"/>
      <c r="M860" s="10"/>
      <c r="N860" s="112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0"/>
      <c r="AB860" s="10"/>
      <c r="AC860" s="10"/>
      <c r="AD860" s="10"/>
      <c r="AE860" s="10"/>
      <c r="AF860" s="10"/>
      <c r="AG860" s="10"/>
    </row>
    <row r="861" ht="13.5" customHeight="1">
      <c r="A861" s="1"/>
      <c r="B861" s="1"/>
      <c r="C861" s="1"/>
      <c r="D861" s="1"/>
      <c r="E861" s="1"/>
      <c r="F861" s="110"/>
      <c r="G861" s="10"/>
      <c r="H861" s="39"/>
      <c r="I861" s="39"/>
      <c r="J861" s="10"/>
      <c r="K861" s="10"/>
      <c r="L861" s="39"/>
      <c r="M861" s="10"/>
      <c r="N861" s="112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0"/>
      <c r="AB861" s="10"/>
      <c r="AC861" s="10"/>
      <c r="AD861" s="10"/>
      <c r="AE861" s="10"/>
      <c r="AF861" s="10"/>
      <c r="AG861" s="10"/>
    </row>
    <row r="862" ht="13.5" customHeight="1">
      <c r="A862" s="1"/>
      <c r="B862" s="1"/>
      <c r="C862" s="1"/>
      <c r="D862" s="1"/>
      <c r="E862" s="1"/>
      <c r="F862" s="110"/>
      <c r="G862" s="10"/>
      <c r="H862" s="39"/>
      <c r="I862" s="39"/>
      <c r="J862" s="10"/>
      <c r="K862" s="10"/>
      <c r="L862" s="39"/>
      <c r="M862" s="10"/>
      <c r="N862" s="112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0"/>
      <c r="AB862" s="10"/>
      <c r="AC862" s="10"/>
      <c r="AD862" s="10"/>
      <c r="AE862" s="10"/>
      <c r="AF862" s="10"/>
      <c r="AG862" s="10"/>
    </row>
    <row r="863" ht="13.5" customHeight="1">
      <c r="A863" s="1"/>
      <c r="B863" s="1"/>
      <c r="C863" s="1"/>
      <c r="D863" s="1"/>
      <c r="E863" s="1"/>
      <c r="F863" s="110"/>
      <c r="G863" s="10"/>
      <c r="H863" s="39"/>
      <c r="I863" s="39"/>
      <c r="J863" s="10"/>
      <c r="K863" s="10"/>
      <c r="L863" s="39"/>
      <c r="M863" s="10"/>
      <c r="N863" s="112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0"/>
      <c r="AB863" s="10"/>
      <c r="AC863" s="10"/>
      <c r="AD863" s="10"/>
      <c r="AE863" s="10"/>
      <c r="AF863" s="10"/>
      <c r="AG863" s="10"/>
    </row>
    <row r="864" ht="13.5" customHeight="1">
      <c r="A864" s="1"/>
      <c r="B864" s="1"/>
      <c r="C864" s="1"/>
      <c r="D864" s="1"/>
      <c r="E864" s="1"/>
      <c r="F864" s="110"/>
      <c r="G864" s="10"/>
      <c r="H864" s="39"/>
      <c r="I864" s="39"/>
      <c r="J864" s="10"/>
      <c r="K864" s="10"/>
      <c r="L864" s="39"/>
      <c r="M864" s="10"/>
      <c r="N864" s="112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0"/>
      <c r="AB864" s="10"/>
      <c r="AC864" s="10"/>
      <c r="AD864" s="10"/>
      <c r="AE864" s="10"/>
      <c r="AF864" s="10"/>
      <c r="AG864" s="10"/>
    </row>
    <row r="865" ht="13.5" customHeight="1">
      <c r="A865" s="1"/>
      <c r="B865" s="1"/>
      <c r="C865" s="1"/>
      <c r="D865" s="1"/>
      <c r="E865" s="1"/>
      <c r="F865" s="110"/>
      <c r="G865" s="10"/>
      <c r="H865" s="39"/>
      <c r="I865" s="39"/>
      <c r="J865" s="10"/>
      <c r="K865" s="10"/>
      <c r="L865" s="39"/>
      <c r="M865" s="10"/>
      <c r="N865" s="112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0"/>
      <c r="AB865" s="10"/>
      <c r="AC865" s="10"/>
      <c r="AD865" s="10"/>
      <c r="AE865" s="10"/>
      <c r="AF865" s="10"/>
      <c r="AG865" s="10"/>
    </row>
    <row r="866" ht="13.5" customHeight="1">
      <c r="A866" s="1"/>
      <c r="B866" s="1"/>
      <c r="C866" s="1"/>
      <c r="D866" s="1"/>
      <c r="E866" s="1"/>
      <c r="F866" s="110"/>
      <c r="G866" s="10"/>
      <c r="H866" s="39"/>
      <c r="I866" s="39"/>
      <c r="J866" s="10"/>
      <c r="K866" s="10"/>
      <c r="L866" s="39"/>
      <c r="M866" s="10"/>
      <c r="N866" s="112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0"/>
      <c r="AB866" s="10"/>
      <c r="AC866" s="10"/>
      <c r="AD866" s="10"/>
      <c r="AE866" s="10"/>
      <c r="AF866" s="10"/>
      <c r="AG866" s="10"/>
    </row>
    <row r="867" ht="13.5" customHeight="1">
      <c r="A867" s="1"/>
      <c r="B867" s="1"/>
      <c r="C867" s="1"/>
      <c r="D867" s="1"/>
      <c r="E867" s="1"/>
      <c r="F867" s="110"/>
      <c r="G867" s="10"/>
      <c r="H867" s="39"/>
      <c r="I867" s="39"/>
      <c r="J867" s="10"/>
      <c r="K867" s="10"/>
      <c r="L867" s="39"/>
      <c r="M867" s="10"/>
      <c r="N867" s="112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0"/>
      <c r="AB867" s="10"/>
      <c r="AC867" s="10"/>
      <c r="AD867" s="10"/>
      <c r="AE867" s="10"/>
      <c r="AF867" s="10"/>
      <c r="AG867" s="10"/>
    </row>
    <row r="868" ht="13.5" customHeight="1">
      <c r="A868" s="1"/>
      <c r="B868" s="1"/>
      <c r="C868" s="1"/>
      <c r="D868" s="1"/>
      <c r="E868" s="1"/>
      <c r="F868" s="110"/>
      <c r="G868" s="10"/>
      <c r="H868" s="39"/>
      <c r="I868" s="39"/>
      <c r="J868" s="10"/>
      <c r="K868" s="10"/>
      <c r="L868" s="39"/>
      <c r="M868" s="10"/>
      <c r="N868" s="112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0"/>
      <c r="AB868" s="10"/>
      <c r="AC868" s="10"/>
      <c r="AD868" s="10"/>
      <c r="AE868" s="10"/>
      <c r="AF868" s="10"/>
      <c r="AG868" s="10"/>
    </row>
    <row r="869" ht="13.5" customHeight="1">
      <c r="A869" s="1"/>
      <c r="B869" s="1"/>
      <c r="C869" s="1"/>
      <c r="D869" s="1"/>
      <c r="E869" s="1"/>
      <c r="F869" s="110"/>
      <c r="G869" s="10"/>
      <c r="H869" s="39"/>
      <c r="I869" s="39"/>
      <c r="J869" s="10"/>
      <c r="K869" s="10"/>
      <c r="L869" s="39"/>
      <c r="M869" s="10"/>
      <c r="N869" s="112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0"/>
      <c r="AB869" s="10"/>
      <c r="AC869" s="10"/>
      <c r="AD869" s="10"/>
      <c r="AE869" s="10"/>
      <c r="AF869" s="10"/>
      <c r="AG869" s="10"/>
    </row>
    <row r="870" ht="13.5" customHeight="1">
      <c r="A870" s="1"/>
      <c r="B870" s="1"/>
      <c r="C870" s="1"/>
      <c r="D870" s="1"/>
      <c r="E870" s="1"/>
      <c r="F870" s="110"/>
      <c r="G870" s="10"/>
      <c r="H870" s="39"/>
      <c r="I870" s="39"/>
      <c r="J870" s="10"/>
      <c r="K870" s="10"/>
      <c r="L870" s="39"/>
      <c r="M870" s="10"/>
      <c r="N870" s="112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0"/>
      <c r="AB870" s="10"/>
      <c r="AC870" s="10"/>
      <c r="AD870" s="10"/>
      <c r="AE870" s="10"/>
      <c r="AF870" s="10"/>
      <c r="AG870" s="10"/>
    </row>
    <row r="871" ht="13.5" customHeight="1">
      <c r="A871" s="1"/>
      <c r="B871" s="1"/>
      <c r="C871" s="1"/>
      <c r="D871" s="1"/>
      <c r="E871" s="1"/>
      <c r="F871" s="110"/>
      <c r="G871" s="10"/>
      <c r="H871" s="39"/>
      <c r="I871" s="39"/>
      <c r="J871" s="10"/>
      <c r="K871" s="10"/>
      <c r="L871" s="39"/>
      <c r="M871" s="10"/>
      <c r="N871" s="112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0"/>
      <c r="AB871" s="10"/>
      <c r="AC871" s="10"/>
      <c r="AD871" s="10"/>
      <c r="AE871" s="10"/>
      <c r="AF871" s="10"/>
      <c r="AG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39"/>
      <c r="I872" s="39"/>
      <c r="J872" s="10"/>
      <c r="K872" s="10"/>
      <c r="L872" s="39"/>
      <c r="M872" s="10"/>
      <c r="O872" s="10"/>
      <c r="P872" s="10"/>
      <c r="Q872" s="10"/>
      <c r="R872" s="10"/>
      <c r="S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</row>
  </sheetData>
  <autoFilter ref="$A$7:$AH$670"/>
  <mergeCells count="17">
    <mergeCell ref="F1:N1"/>
    <mergeCell ref="Q25:S25"/>
    <mergeCell ref="Q29:T29"/>
    <mergeCell ref="Q30:T30"/>
    <mergeCell ref="Q31:T31"/>
    <mergeCell ref="Q32:T32"/>
    <mergeCell ref="Q33:T33"/>
    <mergeCell ref="Q41:T41"/>
    <mergeCell ref="Q42:T42"/>
    <mergeCell ref="Q72:V72"/>
    <mergeCell ref="Q34:T34"/>
    <mergeCell ref="Q35:T35"/>
    <mergeCell ref="Q36:T36"/>
    <mergeCell ref="Q37:T37"/>
    <mergeCell ref="Q38:T38"/>
    <mergeCell ref="Q39:T39"/>
    <mergeCell ref="Q40:T40"/>
  </mergeCells>
  <conditionalFormatting sqref="O8:O670">
    <cfRule type="expression" dxfId="1" priority="1">
      <formula>LEFT($O8,7)="COMPRAR"</formula>
    </cfRule>
  </conditionalFormatting>
  <conditionalFormatting sqref="O8:O670">
    <cfRule type="expression" dxfId="2" priority="2">
      <formula>OR(LEFT($O8,11)="PEDIR MENOS",LEFT($O8,10)="SOBRESTOCK")</formula>
    </cfRule>
  </conditionalFormatting>
  <conditionalFormatting sqref="O8:O670">
    <cfRule type="expression" dxfId="3" priority="3">
      <formula>LEFT($O8,2)="OK"</formula>
    </cfRule>
  </conditionalFormatting>
  <conditionalFormatting sqref="O8:O670">
    <cfRule type="expression" dxfId="4" priority="4">
      <formula>OR(LEFT($O8,3)="SIN",LEFT($O8,3)="SKU")</formula>
    </cfRule>
  </conditionalFormatting>
  <conditionalFormatting sqref="AB8:AE670">
    <cfRule type="expression" dxfId="5" priority="5">
      <formula>AB8&lt;&gt;""</formula>
    </cfRule>
  </conditionalFormatting>
  <conditionalFormatting sqref="AH8:AH670">
    <cfRule type="expression" dxfId="1" priority="6">
      <formula>AH8="COMPRAR"</formula>
    </cfRule>
  </conditionalFormatting>
  <conditionalFormatting sqref="AH8:AH670">
    <cfRule type="expression" dxfId="6" priority="7">
      <formula>AH8="PEDIR MENOS"</formula>
    </cfRule>
  </conditionalFormatting>
  <dataValidations>
    <dataValidation type="list" allowBlank="1" sqref="AD3">
      <formula1>"SI,NO"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14.0" topLeftCell="D15" activePane="bottomRight" state="frozen"/>
      <selection activeCell="D1" sqref="D1" pane="topRight"/>
      <selection activeCell="A15" sqref="A15" pane="bottomLeft"/>
      <selection activeCell="D15" sqref="D15" pane="bottomRight"/>
    </sheetView>
  </sheetViews>
  <sheetFormatPr customHeight="1" defaultColWidth="12.63" defaultRowHeight="15.0"/>
  <cols>
    <col customWidth="1" min="1" max="1" width="34.0"/>
    <col customWidth="1" min="2" max="2" width="8.0"/>
    <col customWidth="1" min="3" max="3" width="15.0"/>
    <col customWidth="1" min="4" max="4" width="22.0"/>
    <col customWidth="1" min="5" max="5" width="18.0"/>
    <col customWidth="1" min="6" max="6" width="9.0"/>
    <col customWidth="1" min="7" max="15" width="11.0"/>
    <col customWidth="1" min="16" max="16" width="10.0"/>
    <col customWidth="1" min="17" max="18" width="46.0"/>
    <col customWidth="1" min="19" max="26" width="8.5"/>
  </cols>
  <sheetData>
    <row r="1">
      <c r="A1" s="2" t="s">
        <v>0</v>
      </c>
    </row>
    <row r="2">
      <c r="A2" s="3" t="s">
        <v>2</v>
      </c>
    </row>
    <row r="4">
      <c r="A4" s="5" t="s">
        <v>4</v>
      </c>
      <c r="B4" s="5" t="s">
        <v>9</v>
      </c>
      <c r="C4" s="5" t="s">
        <v>12</v>
      </c>
    </row>
    <row r="5">
      <c r="A5" s="8" t="s">
        <v>15</v>
      </c>
      <c r="B5" s="14">
        <f>COUNTIF(SAXS!$AH$8:$AH$670,"COMPRAR")</f>
        <v>124</v>
      </c>
      <c r="C5" s="14">
        <f>SUMIF(SAXS!$AH$8:$AH$670,"COMPRAR",SAXS!$AG$8:$AG$670)</f>
        <v>88751</v>
      </c>
    </row>
    <row r="6">
      <c r="A6" s="8" t="s">
        <v>22</v>
      </c>
      <c r="B6" s="14">
        <f>COUNTIF(SAXS!$AH$8:$AH$670,"PEDIR MENOS")</f>
        <v>43</v>
      </c>
      <c r="C6" s="14">
        <f>-SUMIF(SAXS!$AH$8:$AH$670,"PEDIR MENOS",SAXS!$AG$8:$AG$670)</f>
        <v>146421</v>
      </c>
    </row>
    <row r="7">
      <c r="A7" s="8" t="s">
        <v>29</v>
      </c>
      <c r="B7" s="18"/>
      <c r="C7" s="14">
        <f>Q187</f>
        <v>126120.5</v>
      </c>
    </row>
    <row r="8">
      <c r="A8" s="8" t="s">
        <v>38</v>
      </c>
      <c r="B8" s="14">
        <f>COUNTIF(SAXS!$AH$8:$AH$670,"SOBRESTOCK")</f>
        <v>245</v>
      </c>
      <c r="C8" s="18"/>
    </row>
    <row r="9">
      <c r="A9" s="8" t="s">
        <v>41</v>
      </c>
      <c r="B9" s="14">
        <f>COUNTIF(SAXS!$AH$8:$AH$670,"SIN VENTAS")</f>
        <v>139</v>
      </c>
      <c r="C9" s="18"/>
    </row>
    <row r="10">
      <c r="A10" s="8" t="s">
        <v>43</v>
      </c>
      <c r="B10" s="14" t="str">
        <f>SAXS!$AD$3</f>
        <v>SI</v>
      </c>
      <c r="C10" s="18"/>
    </row>
    <row r="11">
      <c r="A11" s="3" t="s">
        <v>45</v>
      </c>
    </row>
    <row r="13">
      <c r="A13" s="20" t="s">
        <v>48</v>
      </c>
    </row>
    <row r="14" ht="42.0" customHeight="1">
      <c r="A14" s="21" t="s">
        <v>51</v>
      </c>
      <c r="B14" s="21" t="s">
        <v>52</v>
      </c>
      <c r="C14" s="21" t="s">
        <v>1</v>
      </c>
      <c r="D14" s="21" t="s">
        <v>55</v>
      </c>
      <c r="E14" s="21" t="s">
        <v>56</v>
      </c>
      <c r="F14" s="21" t="s">
        <v>57</v>
      </c>
      <c r="G14" s="21" t="s">
        <v>58</v>
      </c>
      <c r="H14" s="21" t="s">
        <v>59</v>
      </c>
      <c r="I14" s="21" t="s">
        <v>60</v>
      </c>
      <c r="J14" s="21" t="s">
        <v>61</v>
      </c>
      <c r="K14" s="21" t="s">
        <v>63</v>
      </c>
      <c r="L14" s="21" t="s">
        <v>65</v>
      </c>
      <c r="M14" s="21" t="s">
        <v>66</v>
      </c>
      <c r="N14" s="21" t="s">
        <v>67</v>
      </c>
      <c r="O14" s="21" t="s">
        <v>68</v>
      </c>
      <c r="P14" s="21" t="s">
        <v>69</v>
      </c>
      <c r="Q14" s="21" t="s">
        <v>71</v>
      </c>
      <c r="R14" s="21" t="s">
        <v>73</v>
      </c>
    </row>
    <row r="15">
      <c r="A15" s="23" t="s">
        <v>74</v>
      </c>
      <c r="B15" s="24">
        <v>21.0</v>
      </c>
      <c r="C15" s="24" t="str">
        <f>SAXS!A21</f>
        <v>4931098-0010</v>
      </c>
      <c r="D15" s="24" t="str">
        <f>SAXS!C21</f>
        <v>CALI</v>
      </c>
      <c r="E15" s="24" t="str">
        <f>SAXS!D21</f>
        <v>CHOCOLATE</v>
      </c>
      <c r="F15" s="26">
        <f>SAXS!E21</f>
        <v>0</v>
      </c>
      <c r="G15" s="26">
        <f>N(SAXS!F21)+SUM(SAXS!G21:H21)</f>
        <v>1000</v>
      </c>
      <c r="H15" s="26">
        <f>SUM(SAXS!I21:M21)+IF(SAXS!$AD$3="SI",SUM(SAXS!N21),0)</f>
        <v>3843</v>
      </c>
      <c r="I15" s="26">
        <f>SAXS!P21</f>
        <v>4843</v>
      </c>
      <c r="J15" s="26">
        <f>SAXS!X21</f>
        <v>1047</v>
      </c>
      <c r="K15" s="26">
        <f>SAXS!AF21</f>
        <v>2504.428571</v>
      </c>
      <c r="L15" s="26">
        <f t="array" ref="L15">IFERROR(AVERAGE(INDEX(Ventas!$C$2:$F$5000,MATCH(C15,Ventas!$A$2:$A$5000,0),0)),"")</f>
        <v>3375.75</v>
      </c>
      <c r="M15" s="26">
        <f t="shared" ref="M15:M138" si="1">ROUND(K15*4,0)</f>
        <v>10018</v>
      </c>
      <c r="N15" s="32">
        <f>SAXS!AG21</f>
        <v>5175</v>
      </c>
      <c r="O15" s="26">
        <f t="shared" ref="O15:O138" si="2">IF(L15="","",ROUND(L15*4,0)-I15)</f>
        <v>8660</v>
      </c>
      <c r="P15" s="34">
        <f t="shared" ref="P15:P138" si="3">IF(OR(K15="",K15=0),"",ROUND(I15/K15,1))</f>
        <v>1.9</v>
      </c>
      <c r="Q15" s="40" t="str">
        <f>TRIM(IF(SAXS!AE21&lt;&gt;"","QUIEBRE: "&amp;SAXS!AE21&amp;" · ","")&amp;IF(SAXS!AC21&lt;&gt;"","CONCENTRADA: "&amp;SAXS!AC21&amp;" · ","")&amp;IF(SAXS!AD21&lt;&gt;"","SIN STOCK ANTES 06/11 · ","")&amp;IF(SAXS!AB21&lt;&gt;"","SKU DUPLICADO",""))</f>
        <v>QUIEBRE: SÍ — stock 0 y Sep cayó (prom Feb-Ago 2,504) · SIN STOCK ANTES 06/11 ·</v>
      </c>
      <c r="R15" s="42"/>
    </row>
    <row r="16">
      <c r="A16" s="23" t="s">
        <v>74</v>
      </c>
      <c r="B16" s="24">
        <v>506.0</v>
      </c>
      <c r="C16" s="24" t="str">
        <f>SAXS!A506</f>
        <v>031012-0032</v>
      </c>
      <c r="D16" s="24" t="str">
        <f>SAXS!C506</f>
        <v>TELA DE CAMBRE</v>
      </c>
      <c r="E16" s="24" t="str">
        <f>SAXS!D506</f>
        <v>TELA DE CAMBRE 400 Natural</v>
      </c>
      <c r="F16" s="26">
        <f>SAXS!E506</f>
        <v>0</v>
      </c>
      <c r="G16" s="26">
        <f>N(SAXS!F506)+SUM(SAXS!G506:H506)</f>
        <v>0</v>
      </c>
      <c r="H16" s="26">
        <f>SUM(SAXS!I506:M506)+IF(SAXS!$AD$3="SI",SUM(SAXS!N506),0)</f>
        <v>0</v>
      </c>
      <c r="I16" s="26">
        <f>SAXS!P506</f>
        <v>0</v>
      </c>
      <c r="J16" s="26">
        <f>SAXS!X506</f>
        <v>0</v>
      </c>
      <c r="K16" s="26">
        <f>SAXS!AF506</f>
        <v>1135.714286</v>
      </c>
      <c r="L16" s="26">
        <f t="array" ref="L16">IFERROR(AVERAGE(INDEX(Ventas!$C$2:$F$5000,MATCH(C16,Ventas!$A$2:$A$5000,0),0)),"")</f>
        <v>1987.5</v>
      </c>
      <c r="M16" s="26">
        <f t="shared" si="1"/>
        <v>4543</v>
      </c>
      <c r="N16" s="32">
        <f>SAXS!AG506</f>
        <v>4543</v>
      </c>
      <c r="O16" s="26">
        <f t="shared" si="2"/>
        <v>7950</v>
      </c>
      <c r="P16" s="34">
        <f t="shared" si="3"/>
        <v>0</v>
      </c>
      <c r="Q16" s="40" t="str">
        <f>TRIM(IF(SAXS!AE506&lt;&gt;"","QUIEBRE: "&amp;SAXS!AE506&amp;" · ","")&amp;IF(SAXS!AC506&lt;&gt;"","CONCENTRADA: "&amp;SAXS!AC506&amp;" · ","")&amp;IF(SAXS!AD506&lt;&gt;"","SIN STOCK ANTES 06/11 · ","")&amp;IF(SAXS!AB506&lt;&gt;"","SKU DUPLICADO",""))</f>
        <v>QUIEBRE: SÍ — stock 0 y Sep cayó (prom Feb-Ago 1,136) ·</v>
      </c>
      <c r="R16" s="42"/>
    </row>
    <row r="17">
      <c r="A17" s="23" t="s">
        <v>74</v>
      </c>
      <c r="B17" s="24">
        <v>145.0</v>
      </c>
      <c r="C17" s="24" t="str">
        <f>SAXS!A145</f>
        <v>406923-9999</v>
      </c>
      <c r="D17" s="24" t="str">
        <f>SAXS!C145</f>
        <v>COSTURADO</v>
      </c>
      <c r="E17" s="24" t="str">
        <f>SAXS!D145</f>
        <v>NEGRO</v>
      </c>
      <c r="F17" s="26">
        <f>SAXS!E145</f>
        <v>0</v>
      </c>
      <c r="G17" s="26">
        <f>N(SAXS!F145)+SUM(SAXS!G145:H145)</f>
        <v>0</v>
      </c>
      <c r="H17" s="26">
        <f>SUM(SAXS!I145:M145)+IF(SAXS!$AD$3="SI",SUM(SAXS!N145),0)</f>
        <v>2000</v>
      </c>
      <c r="I17" s="26">
        <f>SAXS!P145</f>
        <v>2000</v>
      </c>
      <c r="J17" s="26">
        <f>SAXS!X145</f>
        <v>1106.25</v>
      </c>
      <c r="K17" s="26">
        <f>SAXS!AF145</f>
        <v>1552.671429</v>
      </c>
      <c r="L17" s="26">
        <f t="array" ref="L17">IFERROR(AVERAGE(INDEX(Ventas!$C$2:$F$5000,MATCH(C17,Ventas!$A$2:$A$5000,0),0)),"")</f>
        <v>1610.925</v>
      </c>
      <c r="M17" s="26">
        <f t="shared" si="1"/>
        <v>6211</v>
      </c>
      <c r="N17" s="32">
        <f>SAXS!AG145</f>
        <v>4211</v>
      </c>
      <c r="O17" s="26">
        <f t="shared" si="2"/>
        <v>4444</v>
      </c>
      <c r="P17" s="34">
        <f t="shared" si="3"/>
        <v>1.3</v>
      </c>
      <c r="Q17" s="40" t="str">
        <f>TRIM(IF(SAXS!AE145&lt;&gt;"","QUIEBRE: "&amp;SAXS!AE145&amp;" · ","")&amp;IF(SAXS!AC145&lt;&gt;"","CONCENTRADA: "&amp;SAXS!AC145&amp;" · ","")&amp;IF(SAXS!AD145&lt;&gt;"","SIN STOCK ANTES 06/11 · ","")&amp;IF(SAXS!AB145&lt;&gt;"","SKU DUPLICADO",""))</f>
        <v>QUIEBRE: SÍ — stock 0 y Sep cayó (prom Feb-Ago 1,553) · SIN STOCK ANTES 06/11 ·</v>
      </c>
      <c r="R17" s="42"/>
    </row>
    <row r="18">
      <c r="A18" s="23" t="s">
        <v>74</v>
      </c>
      <c r="B18" s="24">
        <v>514.0</v>
      </c>
      <c r="C18" s="24" t="str">
        <f>SAXS!A514</f>
        <v>20741217-9999</v>
      </c>
      <c r="D18" s="24" t="str">
        <f>SAXS!C514</f>
        <v>FRISELINA 120 GR</v>
      </c>
      <c r="E18" s="24" t="str">
        <f>SAXS!D514</f>
        <v>NEGRO</v>
      </c>
      <c r="F18" s="26">
        <f>SAXS!E514</f>
        <v>250</v>
      </c>
      <c r="G18" s="26">
        <f>N(SAXS!F514)+SUM(SAXS!G514:H514)</f>
        <v>0</v>
      </c>
      <c r="H18" s="26">
        <f>SUM(SAXS!I514:M514)+IF(SAXS!$AD$3="SI",SUM(SAXS!N514),0)</f>
        <v>0</v>
      </c>
      <c r="I18" s="26">
        <f>SAXS!P514</f>
        <v>250</v>
      </c>
      <c r="J18" s="26">
        <f>SAXS!X514</f>
        <v>937.5</v>
      </c>
      <c r="K18" s="26">
        <f>SAXS!AF514</f>
        <v>937.5</v>
      </c>
      <c r="L18" s="26">
        <f t="array" ref="L18">IFERROR(AVERAGE(INDEX(Ventas!$C$2:$F$5000,MATCH(C18,Ventas!$A$2:$A$5000,0),0)),"")</f>
        <v>1562.5</v>
      </c>
      <c r="M18" s="26">
        <f t="shared" si="1"/>
        <v>3750</v>
      </c>
      <c r="N18" s="32">
        <f>SAXS!AG514</f>
        <v>3500</v>
      </c>
      <c r="O18" s="26">
        <f t="shared" si="2"/>
        <v>6000</v>
      </c>
      <c r="P18" s="34">
        <f t="shared" si="3"/>
        <v>0.3</v>
      </c>
      <c r="Q18" s="40" t="str">
        <f>TRIM(IF(SAXS!AE514&lt;&gt;"","QUIEBRE: "&amp;SAXS!AE514&amp;" · ","")&amp;IF(SAXS!AC514&lt;&gt;"","CONCENTRADA: "&amp;SAXS!AC514&amp;" · ","")&amp;IF(SAXS!AD514&lt;&gt;"","SIN STOCK ANTES 06/11 · ","")&amp;IF(SAXS!AB514&lt;&gt;"","SKU DUPLICADO",""))</f>
        <v>SIN STOCK ANTES 06/11 ·</v>
      </c>
      <c r="R18" s="42"/>
    </row>
    <row r="19">
      <c r="A19" s="23" t="s">
        <v>74</v>
      </c>
      <c r="B19" s="24">
        <v>70.0</v>
      </c>
      <c r="C19" s="24" t="str">
        <f>SAXS!A70</f>
        <v>285127-0010</v>
      </c>
      <c r="D19" s="24" t="str">
        <f>SAXS!C70</f>
        <v>NAPA</v>
      </c>
      <c r="E19" s="24" t="str">
        <f>SAXS!D70</f>
        <v>CHOCOLATE</v>
      </c>
      <c r="F19" s="26">
        <f>SAXS!E70</f>
        <v>1275</v>
      </c>
      <c r="G19" s="26">
        <f>N(SAXS!F70)+SUM(SAXS!G70:H70)</f>
        <v>0</v>
      </c>
      <c r="H19" s="26">
        <f>SUM(SAXS!I70:M70)+IF(SAXS!$AD$3="SI",SUM(SAXS!N70),0)</f>
        <v>3000</v>
      </c>
      <c r="I19" s="26">
        <f>SAXS!P70</f>
        <v>4275</v>
      </c>
      <c r="J19" s="26">
        <f>SAXS!X70</f>
        <v>1887.5</v>
      </c>
      <c r="K19" s="26">
        <f>SAXS!AF70</f>
        <v>1887.5</v>
      </c>
      <c r="L19" s="26">
        <f t="array" ref="L19">IFERROR(AVERAGE(INDEX(Ventas!$C$2:$F$5000,MATCH(C19,Ventas!$A$2:$A$5000,0),0)),"")</f>
        <v>2677</v>
      </c>
      <c r="M19" s="26">
        <f t="shared" si="1"/>
        <v>7550</v>
      </c>
      <c r="N19" s="32">
        <f>SAXS!AG70</f>
        <v>3275</v>
      </c>
      <c r="O19" s="26">
        <f t="shared" si="2"/>
        <v>6433</v>
      </c>
      <c r="P19" s="34">
        <f t="shared" si="3"/>
        <v>2.3</v>
      </c>
      <c r="Q19" s="40" t="str">
        <f>TRIM(IF(SAXS!AE70&lt;&gt;"","QUIEBRE: "&amp;SAXS!AE70&amp;" · ","")&amp;IF(SAXS!AC70&lt;&gt;"","CONCENTRADA: "&amp;SAXS!AC70&amp;" · ","")&amp;IF(SAXS!AD70&lt;&gt;"","SIN STOCK ANTES 06/11 · ","")&amp;IF(SAXS!AB70&lt;&gt;"","SKU DUPLICADO",""))</f>
        <v/>
      </c>
      <c r="R19" s="42"/>
    </row>
    <row r="20">
      <c r="A20" s="23" t="s">
        <v>74</v>
      </c>
      <c r="B20" s="24">
        <v>654.0</v>
      </c>
      <c r="C20" s="24" t="str">
        <f>SAXS!A654</f>
        <v>2126000-9999</v>
      </c>
      <c r="D20" s="24" t="str">
        <f>SAXS!C654</f>
        <v>Jersey c/respaldo</v>
      </c>
      <c r="E20" s="24" t="str">
        <f>SAXS!D654</f>
        <v>NEGRO</v>
      </c>
      <c r="F20" s="26">
        <f>SAXS!E654</f>
        <v>0</v>
      </c>
      <c r="G20" s="26">
        <f>N(SAXS!F654)+SUM(SAXS!G654:H654)</f>
        <v>0</v>
      </c>
      <c r="H20" s="26">
        <f>SUM(SAXS!I654:M654)+IF(SAXS!$AD$3="SI",SUM(SAXS!N654),0)</f>
        <v>0</v>
      </c>
      <c r="I20" s="26">
        <f>SAXS!P654</f>
        <v>0</v>
      </c>
      <c r="J20" s="26">
        <f>SAXS!X654</f>
        <v>0</v>
      </c>
      <c r="K20" s="26">
        <f>SAXS!AF654</f>
        <v>706.8571429</v>
      </c>
      <c r="L20" s="26">
        <f t="array" ref="L20">IFERROR(AVERAGE(INDEX(Ventas!$C$2:$F$5000,MATCH(C20,Ventas!$A$2:$A$5000,0),0)),"")</f>
        <v>1237</v>
      </c>
      <c r="M20" s="26">
        <f t="shared" si="1"/>
        <v>2827</v>
      </c>
      <c r="N20" s="32">
        <f>SAXS!AG654</f>
        <v>2827</v>
      </c>
      <c r="O20" s="26">
        <f t="shared" si="2"/>
        <v>4948</v>
      </c>
      <c r="P20" s="34">
        <f t="shared" si="3"/>
        <v>0</v>
      </c>
      <c r="Q20" s="40" t="str">
        <f>TRIM(IF(SAXS!AE654&lt;&gt;"","QUIEBRE: "&amp;SAXS!AE654&amp;" · ","")&amp;IF(SAXS!AC654&lt;&gt;"","CONCENTRADA: "&amp;SAXS!AC654&amp;" · ","")&amp;IF(SAXS!AD654&lt;&gt;"","SIN STOCK ANTES 06/11 · ","")&amp;IF(SAXS!AB654&lt;&gt;"","SKU DUPLICADO",""))</f>
        <v>QUIEBRE: SÍ — stock 0 y Sep cayó (prom Feb-Ago 707) ·</v>
      </c>
      <c r="R20" s="42"/>
    </row>
    <row r="21" ht="15.75" customHeight="1">
      <c r="A21" s="23" t="s">
        <v>74</v>
      </c>
      <c r="B21" s="24">
        <v>519.0</v>
      </c>
      <c r="C21" s="24" t="str">
        <f>SAXS!A519</f>
        <v>0061126-9999</v>
      </c>
      <c r="D21" s="24" t="str">
        <f>SAXS!C519</f>
        <v>EVA 1,8 MM</v>
      </c>
      <c r="E21" s="24" t="str">
        <f>SAXS!D519</f>
        <v>NEGRO</v>
      </c>
      <c r="F21" s="26">
        <f>SAXS!E519</f>
        <v>720</v>
      </c>
      <c r="G21" s="26">
        <f>N(SAXS!F519)+SUM(SAXS!G519:H519)</f>
        <v>0</v>
      </c>
      <c r="H21" s="26">
        <f>SUM(SAXS!I519:M519)+IF(SAXS!$AD$3="SI",SUM(SAXS!N519),0)</f>
        <v>0</v>
      </c>
      <c r="I21" s="26">
        <f>SAXS!P519</f>
        <v>720</v>
      </c>
      <c r="J21" s="26">
        <f>SAXS!X519</f>
        <v>872.5</v>
      </c>
      <c r="K21" s="26">
        <f>SAXS!AF519</f>
        <v>872.5</v>
      </c>
      <c r="L21" s="26">
        <f t="array" ref="L21">IFERROR(AVERAGE(INDEX(Ventas!$C$2:$F$5000,MATCH(C21,Ventas!$A$2:$A$5000,0),0)),"")</f>
        <v>927.5</v>
      </c>
      <c r="M21" s="26">
        <f t="shared" si="1"/>
        <v>3490</v>
      </c>
      <c r="N21" s="32">
        <f>SAXS!AG519</f>
        <v>2770</v>
      </c>
      <c r="O21" s="26">
        <f t="shared" si="2"/>
        <v>2990</v>
      </c>
      <c r="P21" s="34">
        <f t="shared" si="3"/>
        <v>0.8</v>
      </c>
      <c r="Q21" s="40" t="str">
        <f>TRIM(IF(SAXS!AE519&lt;&gt;"","QUIEBRE: "&amp;SAXS!AE519&amp;" · ","")&amp;IF(SAXS!AC519&lt;&gt;"","CONCENTRADA: "&amp;SAXS!AC519&amp;" · ","")&amp;IF(SAXS!AD519&lt;&gt;"","SIN STOCK ANTES 06/11 · ","")&amp;IF(SAXS!AB519&lt;&gt;"","SKU DUPLICADO",""))</f>
        <v/>
      </c>
      <c r="R21" s="42"/>
    </row>
    <row r="22" ht="15.75" customHeight="1">
      <c r="A22" s="23" t="s">
        <v>74</v>
      </c>
      <c r="B22" s="24">
        <v>29.0</v>
      </c>
      <c r="C22" s="24" t="str">
        <f>SAXS!A29</f>
        <v>5099923-9999</v>
      </c>
      <c r="D22" s="24" t="str">
        <f>SAXS!C29</f>
        <v>CALI EVA PIQUE 3.3mm</v>
      </c>
      <c r="E22" s="24" t="str">
        <f>SAXS!D29</f>
        <v>NEGRO</v>
      </c>
      <c r="F22" s="26">
        <f>SAXS!E29</f>
        <v>0</v>
      </c>
      <c r="G22" s="26">
        <f>N(SAXS!F29)+SUM(SAXS!G29:H29)</f>
        <v>0</v>
      </c>
      <c r="H22" s="26">
        <f>SUM(SAXS!I29:M29)+IF(SAXS!$AD$3="SI",SUM(SAXS!N29),0)</f>
        <v>0</v>
      </c>
      <c r="I22" s="26">
        <f>SAXS!P29</f>
        <v>0</v>
      </c>
      <c r="J22" s="26">
        <f>SAXS!X29</f>
        <v>24.7</v>
      </c>
      <c r="K22" s="26">
        <f>SAXS!AF29</f>
        <v>511.6857143</v>
      </c>
      <c r="L22" s="26">
        <f t="array" ref="L22">IFERROR(AVERAGE(INDEX(Ventas!$C$2:$F$5000,MATCH(C22,Ventas!$A$2:$A$5000,0),0)),"")</f>
        <v>870.75</v>
      </c>
      <c r="M22" s="26">
        <f t="shared" si="1"/>
        <v>2047</v>
      </c>
      <c r="N22" s="32">
        <f>SAXS!AG29</f>
        <v>2047</v>
      </c>
      <c r="O22" s="26">
        <f t="shared" si="2"/>
        <v>3483</v>
      </c>
      <c r="P22" s="34">
        <f t="shared" si="3"/>
        <v>0</v>
      </c>
      <c r="Q22" s="40" t="str">
        <f>TRIM(IF(SAXS!AE29&lt;&gt;"","QUIEBRE: "&amp;SAXS!AE29&amp;" · ","")&amp;IF(SAXS!AC29&lt;&gt;"","CONCENTRADA: "&amp;SAXS!AC29&amp;" · ","")&amp;IF(SAXS!AD29&lt;&gt;"","SIN STOCK ANTES 06/11 · ","")&amp;IF(SAXS!AB29&lt;&gt;"","SKU DUPLICADO",""))</f>
        <v>QUIEBRE: SÍ — stock 0 y Sep cayó (prom Feb-Ago 512) · SIN STOCK ANTES 06/11 ·</v>
      </c>
      <c r="R22" s="42"/>
    </row>
    <row r="23" ht="15.75" customHeight="1">
      <c r="A23" s="23" t="s">
        <v>74</v>
      </c>
      <c r="B23" s="24">
        <v>518.0</v>
      </c>
      <c r="C23" s="24" t="str">
        <f>SAXS!A518</f>
        <v>0061126-0000</v>
      </c>
      <c r="D23" s="24" t="str">
        <f>SAXS!C518</f>
        <v>EVA 1,8 MM</v>
      </c>
      <c r="E23" s="24" t="str">
        <f>SAXS!D518</f>
        <v>BLANCO</v>
      </c>
      <c r="F23" s="26">
        <f>SAXS!E518</f>
        <v>100</v>
      </c>
      <c r="G23" s="26">
        <f>N(SAXS!F518)+SUM(SAXS!G518:H518)</f>
        <v>0</v>
      </c>
      <c r="H23" s="26">
        <f>SUM(SAXS!I518:M518)+IF(SAXS!$AD$3="SI",SUM(SAXS!N518),0)</f>
        <v>0</v>
      </c>
      <c r="I23" s="26">
        <f>SAXS!P518</f>
        <v>100</v>
      </c>
      <c r="J23" s="26">
        <f>SAXS!X518</f>
        <v>462.5</v>
      </c>
      <c r="K23" s="26">
        <f>SAXS!AF518</f>
        <v>462.5</v>
      </c>
      <c r="L23" s="26">
        <f t="array" ref="L23">IFERROR(AVERAGE(INDEX(Ventas!$C$2:$F$5000,MATCH(C23,Ventas!$A$2:$A$5000,0),0)),"")</f>
        <v>287.5</v>
      </c>
      <c r="M23" s="26">
        <f t="shared" si="1"/>
        <v>1850</v>
      </c>
      <c r="N23" s="32">
        <f>SAXS!AG518</f>
        <v>1750</v>
      </c>
      <c r="O23" s="26">
        <f t="shared" si="2"/>
        <v>1050</v>
      </c>
      <c r="P23" s="34">
        <f t="shared" si="3"/>
        <v>0.2</v>
      </c>
      <c r="Q23" s="40" t="str">
        <f>TRIM(IF(SAXS!AE518&lt;&gt;"","QUIEBRE: "&amp;SAXS!AE518&amp;" · ","")&amp;IF(SAXS!AC518&lt;&gt;"","CONCENTRADA: "&amp;SAXS!AC518&amp;" · ","")&amp;IF(SAXS!AD518&lt;&gt;"","SIN STOCK ANTES 06/11 · ","")&amp;IF(SAXS!AB518&lt;&gt;"","SKU DUPLICADO",""))</f>
        <v>SIN STOCK ANTES 06/11 ·</v>
      </c>
      <c r="R23" s="42"/>
    </row>
    <row r="24" ht="15.75" customHeight="1">
      <c r="A24" s="23" t="s">
        <v>74</v>
      </c>
      <c r="B24" s="24">
        <v>516.0</v>
      </c>
      <c r="C24" s="24" t="str">
        <f>SAXS!A516</f>
        <v>20741217-0003</v>
      </c>
      <c r="D24" s="24" t="str">
        <f>SAXS!C516</f>
        <v>FRISELINA 120 GR</v>
      </c>
      <c r="E24" s="24" t="str">
        <f>SAXS!D516</f>
        <v>BEIGE</v>
      </c>
      <c r="F24" s="26">
        <f>SAXS!E516</f>
        <v>0</v>
      </c>
      <c r="G24" s="26">
        <f>N(SAXS!F516)+SUM(SAXS!G516:H516)</f>
        <v>0</v>
      </c>
      <c r="H24" s="26">
        <f>SUM(SAXS!I516:M516)+IF(SAXS!$AD$3="SI",SUM(SAXS!N516),0)</f>
        <v>0</v>
      </c>
      <c r="I24" s="26">
        <f>SAXS!P516</f>
        <v>0</v>
      </c>
      <c r="J24" s="26">
        <f>SAXS!X516</f>
        <v>242.5</v>
      </c>
      <c r="K24" s="26">
        <f>SAXS!AF516</f>
        <v>424.2857143</v>
      </c>
      <c r="L24" s="26">
        <f t="array" ref="L24">IFERROR(AVERAGE(INDEX(Ventas!$C$2:$F$5000,MATCH(C24,Ventas!$A$2:$A$5000,0),0)),"")</f>
        <v>500</v>
      </c>
      <c r="M24" s="26">
        <f t="shared" si="1"/>
        <v>1697</v>
      </c>
      <c r="N24" s="32">
        <f>SAXS!AG516</f>
        <v>1697</v>
      </c>
      <c r="O24" s="26">
        <f t="shared" si="2"/>
        <v>2000</v>
      </c>
      <c r="P24" s="34">
        <f t="shared" si="3"/>
        <v>0</v>
      </c>
      <c r="Q24" s="40" t="str">
        <f>TRIM(IF(SAXS!AE516&lt;&gt;"","QUIEBRE: "&amp;SAXS!AE516&amp;" · ","")&amp;IF(SAXS!AC516&lt;&gt;"","CONCENTRADA: "&amp;SAXS!AC516&amp;" · ","")&amp;IF(SAXS!AD516&lt;&gt;"","SIN STOCK ANTES 06/11 · ","")&amp;IF(SAXS!AB516&lt;&gt;"","SKU DUPLICADO",""))</f>
        <v>QUIEBRE: SÍ — stock 0 y Sep cayó (prom Feb-Ago 424) · SIN STOCK ANTES 06/11 ·</v>
      </c>
      <c r="R24" s="42"/>
    </row>
    <row r="25" ht="15.75" customHeight="1">
      <c r="A25" s="23" t="s">
        <v>74</v>
      </c>
      <c r="B25" s="24">
        <v>42.0</v>
      </c>
      <c r="C25" s="24" t="str">
        <f>SAXS!A42</f>
        <v>5140923-0010</v>
      </c>
      <c r="D25" s="24" t="str">
        <f>SAXS!C42</f>
        <v>CALI eva microf. 2.4mm</v>
      </c>
      <c r="E25" s="24" t="str">
        <f>SAXS!D42</f>
        <v>CHOCOLATE</v>
      </c>
      <c r="F25" s="26">
        <f>SAXS!E42</f>
        <v>30</v>
      </c>
      <c r="G25" s="26">
        <f>N(SAXS!F42)+SUM(SAXS!G42:H42)</f>
        <v>0</v>
      </c>
      <c r="H25" s="26">
        <f>SUM(SAXS!I42:M42)+IF(SAXS!$AD$3="SI",SUM(SAXS!N42),0)</f>
        <v>0</v>
      </c>
      <c r="I25" s="26">
        <f>SAXS!P42</f>
        <v>30</v>
      </c>
      <c r="J25" s="26">
        <f>SAXS!X42</f>
        <v>388.75</v>
      </c>
      <c r="K25" s="26">
        <f>SAXS!AF42</f>
        <v>388.75</v>
      </c>
      <c r="L25" s="26">
        <f t="array" ref="L25">IFERROR(AVERAGE(INDEX(Ventas!$C$2:$F$5000,MATCH(C25,Ventas!$A$2:$A$5000,0),0)),"")</f>
        <v>97.5</v>
      </c>
      <c r="M25" s="26">
        <f t="shared" si="1"/>
        <v>1555</v>
      </c>
      <c r="N25" s="32">
        <f>SAXS!AG42</f>
        <v>1525</v>
      </c>
      <c r="O25" s="26">
        <f t="shared" si="2"/>
        <v>360</v>
      </c>
      <c r="P25" s="34">
        <f t="shared" si="3"/>
        <v>0.1</v>
      </c>
      <c r="Q25" s="40" t="str">
        <f>TRIM(IF(SAXS!AE42&lt;&gt;"","QUIEBRE: "&amp;SAXS!AE42&amp;" · ","")&amp;IF(SAXS!AC42&lt;&gt;"","CONCENTRADA: "&amp;SAXS!AC42&amp;" · ","")&amp;IF(SAXS!AD42&lt;&gt;"","SIN STOCK ANTES 06/11 · ","")&amp;IF(SAXS!AB42&lt;&gt;"","SKU DUPLICADO",""))</f>
        <v>SIN STOCK ANTES 06/11 ·</v>
      </c>
      <c r="R25" s="42"/>
    </row>
    <row r="26" ht="15.75" customHeight="1">
      <c r="A26" s="23" t="s">
        <v>74</v>
      </c>
      <c r="B26" s="24">
        <v>59.0</v>
      </c>
      <c r="C26" s="24" t="str">
        <f>SAXS!A59</f>
        <v>285127-0199</v>
      </c>
      <c r="D26" s="24" t="str">
        <f>SAXS!C59</f>
        <v>NAPA</v>
      </c>
      <c r="E26" s="24" t="str">
        <f>SAXS!D59</f>
        <v>CARAMELO d/t</v>
      </c>
      <c r="F26" s="26">
        <f>SAXS!E59</f>
        <v>0</v>
      </c>
      <c r="G26" s="26">
        <f>N(SAXS!F59)+SUM(SAXS!G59:H59)</f>
        <v>0</v>
      </c>
      <c r="H26" s="26">
        <f>SUM(SAXS!I59:M59)+IF(SAXS!$AD$3="SI",SUM(SAXS!N59),0)</f>
        <v>0</v>
      </c>
      <c r="I26" s="26">
        <f>SAXS!P59</f>
        <v>0</v>
      </c>
      <c r="J26" s="26">
        <f>SAXS!X59</f>
        <v>380.5</v>
      </c>
      <c r="K26" s="26">
        <f>SAXS!AF59</f>
        <v>380.5</v>
      </c>
      <c r="L26" s="26">
        <f t="array" ref="L26">IFERROR(AVERAGE(INDEX(Ventas!$C$2:$F$5000,MATCH(C26,Ventas!$A$2:$A$5000,0),0)),"")</f>
        <v>261</v>
      </c>
      <c r="M26" s="26">
        <f t="shared" si="1"/>
        <v>1522</v>
      </c>
      <c r="N26" s="32">
        <f>SAXS!AG59</f>
        <v>1522</v>
      </c>
      <c r="O26" s="26">
        <f t="shared" si="2"/>
        <v>1044</v>
      </c>
      <c r="P26" s="34">
        <f t="shared" si="3"/>
        <v>0</v>
      </c>
      <c r="Q26" s="40" t="str">
        <f>TRIM(IF(SAXS!AE59&lt;&gt;"","QUIEBRE: "&amp;SAXS!AE59&amp;" · ","")&amp;IF(SAXS!AC59&lt;&gt;"","CONCENTRADA: "&amp;SAXS!AC59&amp;" · ","")&amp;IF(SAXS!AD59&lt;&gt;"","SIN STOCK ANTES 06/11 · ","")&amp;IF(SAXS!AB59&lt;&gt;"","SKU DUPLICADO",""))</f>
        <v>SIN STOCK ANTES 06/11 ·</v>
      </c>
      <c r="R26" s="42"/>
    </row>
    <row r="27" ht="15.75" customHeight="1">
      <c r="A27" s="23" t="s">
        <v>74</v>
      </c>
      <c r="B27" s="24">
        <v>191.0</v>
      </c>
      <c r="C27" s="24" t="str">
        <f>SAXS!A191</f>
        <v>507923-0047</v>
      </c>
      <c r="D27" s="24" t="str">
        <f>SAXS!C191</f>
        <v>MICROFIBRA 0,8MM</v>
      </c>
      <c r="E27" s="24" t="str">
        <f>SAXS!D191</f>
        <v>VISON</v>
      </c>
      <c r="F27" s="26">
        <f>SAXS!E191</f>
        <v>0</v>
      </c>
      <c r="G27" s="26">
        <f>N(SAXS!F191)+SUM(SAXS!G191:H191)</f>
        <v>0</v>
      </c>
      <c r="H27" s="26">
        <f>SUM(SAXS!I191:M191)+IF(SAXS!$AD$3="SI",SUM(SAXS!N191),0)</f>
        <v>0</v>
      </c>
      <c r="I27" s="26">
        <f>SAXS!P191</f>
        <v>0</v>
      </c>
      <c r="J27" s="26">
        <f>SAXS!X191</f>
        <v>87.5</v>
      </c>
      <c r="K27" s="26">
        <f>SAXS!AF191</f>
        <v>370.8571429</v>
      </c>
      <c r="L27" s="26">
        <f t="array" ref="L27">IFERROR(AVERAGE(INDEX(Ventas!$C$2:$F$5000,MATCH(C27,Ventas!$A$2:$A$5000,0),0)),"")</f>
        <v>561.5</v>
      </c>
      <c r="M27" s="26">
        <f t="shared" si="1"/>
        <v>1483</v>
      </c>
      <c r="N27" s="32">
        <f>SAXS!AG191</f>
        <v>1483</v>
      </c>
      <c r="O27" s="26">
        <f t="shared" si="2"/>
        <v>2246</v>
      </c>
      <c r="P27" s="34">
        <f t="shared" si="3"/>
        <v>0</v>
      </c>
      <c r="Q27" s="40" t="str">
        <f>TRIM(IF(SAXS!AE191&lt;&gt;"","QUIEBRE: "&amp;SAXS!AE191&amp;" · ","")&amp;IF(SAXS!AC191&lt;&gt;"","CONCENTRADA: "&amp;SAXS!AC191&amp;" · ","")&amp;IF(SAXS!AD191&lt;&gt;"","SIN STOCK ANTES 06/11 · ","")&amp;IF(SAXS!AB191&lt;&gt;"","SKU DUPLICADO",""))</f>
        <v>QUIEBRE: SÍ — stock 0 y Sep cayó (prom Feb-Ago 371) · SIN STOCK ANTES 06/11 ·</v>
      </c>
      <c r="R27" s="42"/>
    </row>
    <row r="28" ht="15.75" customHeight="1">
      <c r="A28" s="23" t="s">
        <v>74</v>
      </c>
      <c r="B28" s="24">
        <v>25.0</v>
      </c>
      <c r="C28" s="24" t="str">
        <f>SAXS!A25</f>
        <v>581923-0010</v>
      </c>
      <c r="D28" s="24" t="str">
        <f>SAXS!C25</f>
        <v>BOGOTA</v>
      </c>
      <c r="E28" s="24" t="str">
        <f>SAXS!D25</f>
        <v>CHOCOLATE</v>
      </c>
      <c r="F28" s="26">
        <f>SAXS!E25</f>
        <v>0</v>
      </c>
      <c r="G28" s="26">
        <f>N(SAXS!F25)+SUM(SAXS!G25:H25)</f>
        <v>1000</v>
      </c>
      <c r="H28" s="26">
        <f>SUM(SAXS!I25:M25)+IF(SAXS!$AD$3="SI",SUM(SAXS!N25),0)</f>
        <v>3079</v>
      </c>
      <c r="I28" s="26">
        <f>SAXS!P25</f>
        <v>4079</v>
      </c>
      <c r="J28" s="26">
        <f>SAXS!X25</f>
        <v>1365.25</v>
      </c>
      <c r="K28" s="26">
        <f>SAXS!AF25</f>
        <v>1365.25</v>
      </c>
      <c r="L28" s="26">
        <f t="array" ref="L28">IFERROR(AVERAGE(INDEX(Ventas!$C$2:$F$5000,MATCH(C28,Ventas!$A$2:$A$5000,0),0)),"")</f>
        <v>684.75</v>
      </c>
      <c r="M28" s="26">
        <f t="shared" si="1"/>
        <v>5461</v>
      </c>
      <c r="N28" s="32">
        <f>SAXS!AG25</f>
        <v>1382</v>
      </c>
      <c r="O28" s="26">
        <f t="shared" si="2"/>
        <v>-1340</v>
      </c>
      <c r="P28" s="34">
        <f t="shared" si="3"/>
        <v>3</v>
      </c>
      <c r="Q28" s="40" t="str">
        <f>TRIM(IF(SAXS!AE25&lt;&gt;"","QUIEBRE: "&amp;SAXS!AE25&amp;" · ","")&amp;IF(SAXS!AC25&lt;&gt;"","CONCENTRADA: "&amp;SAXS!AC25&amp;" · ","")&amp;IF(SAXS!AD25&lt;&gt;"","SIN STOCK ANTES 06/11 · ","")&amp;IF(SAXS!AB25&lt;&gt;"","SKU DUPLICADO",""))</f>
        <v>QUIEBRE: SÍ — stock 0 y Sep cayó (prom Feb-Ago 1,145) · SIN STOCK ANTES 06/11 ·</v>
      </c>
      <c r="R28" s="42"/>
    </row>
    <row r="29" ht="15.75" customHeight="1">
      <c r="A29" s="23" t="s">
        <v>74</v>
      </c>
      <c r="B29" s="24">
        <v>197.0</v>
      </c>
      <c r="C29" s="24" t="str">
        <f>SAXS!A197</f>
        <v>511319-0010</v>
      </c>
      <c r="D29" s="24" t="str">
        <f>SAXS!C197</f>
        <v>MICROFIBRA 1,1MM</v>
      </c>
      <c r="E29" s="24" t="str">
        <f>SAXS!D197</f>
        <v>CHOCOLATE </v>
      </c>
      <c r="F29" s="26">
        <f>SAXS!E197</f>
        <v>238</v>
      </c>
      <c r="G29" s="26">
        <f>N(SAXS!F197)+SUM(SAXS!G197:H197)</f>
        <v>0</v>
      </c>
      <c r="H29" s="26">
        <f>SUM(SAXS!I197:M197)+IF(SAXS!$AD$3="SI",SUM(SAXS!N197),0)</f>
        <v>800</v>
      </c>
      <c r="I29" s="26">
        <f>SAXS!P197</f>
        <v>1038</v>
      </c>
      <c r="J29" s="26">
        <f>SAXS!X197</f>
        <v>598.25</v>
      </c>
      <c r="K29" s="26">
        <f>SAXS!AF197</f>
        <v>598.25</v>
      </c>
      <c r="L29" s="26">
        <f t="array" ref="L29">IFERROR(AVERAGE(INDEX(Ventas!$C$2:$F$5000,MATCH(C29,Ventas!$A$2:$A$5000,0),0)),"")</f>
        <v>783.25</v>
      </c>
      <c r="M29" s="26">
        <f t="shared" si="1"/>
        <v>2393</v>
      </c>
      <c r="N29" s="32">
        <f>SAXS!AG197</f>
        <v>1355</v>
      </c>
      <c r="O29" s="26">
        <f t="shared" si="2"/>
        <v>2095</v>
      </c>
      <c r="P29" s="34">
        <f t="shared" si="3"/>
        <v>1.7</v>
      </c>
      <c r="Q29" s="40" t="str">
        <f>TRIM(IF(SAXS!AE197&lt;&gt;"","QUIEBRE: "&amp;SAXS!AE197&amp;" · ","")&amp;IF(SAXS!AC197&lt;&gt;"","CONCENTRADA: "&amp;SAXS!AC197&amp;" · ","")&amp;IF(SAXS!AD197&lt;&gt;"","SIN STOCK ANTES 06/11 · ","")&amp;IF(SAXS!AB197&lt;&gt;"","SKU DUPLICADO",""))</f>
        <v>SIN STOCK ANTES 06/11 ·</v>
      </c>
      <c r="R29" s="42"/>
    </row>
    <row r="30" ht="15.75" customHeight="1">
      <c r="A30" s="23" t="s">
        <v>74</v>
      </c>
      <c r="B30" s="24">
        <v>444.0</v>
      </c>
      <c r="C30" s="24" t="str">
        <f>SAXS!A444</f>
        <v>546923-9999</v>
      </c>
      <c r="D30" s="24" t="str">
        <f>SAXS!C444</f>
        <v>CORDURA</v>
      </c>
      <c r="E30" s="24" t="str">
        <f>SAXS!D444</f>
        <v>NEGRO 42</v>
      </c>
      <c r="F30" s="26">
        <f>SAXS!E444</f>
        <v>50</v>
      </c>
      <c r="G30" s="26">
        <f>N(SAXS!F444)+SUM(SAXS!G444:H444)</f>
        <v>0</v>
      </c>
      <c r="H30" s="26">
        <f>SUM(SAXS!I444:M444)+IF(SAXS!$AD$3="SI",SUM(SAXS!N444),0)</f>
        <v>0</v>
      </c>
      <c r="I30" s="26">
        <f>SAXS!P444</f>
        <v>50</v>
      </c>
      <c r="J30" s="26">
        <f>SAXS!X444</f>
        <v>337.5</v>
      </c>
      <c r="K30" s="26">
        <f>SAXS!AF444</f>
        <v>337.5</v>
      </c>
      <c r="L30" s="26">
        <f t="array" ref="L30">IFERROR(AVERAGE(INDEX(Ventas!$C$2:$F$5000,MATCH(C30,Ventas!$A$2:$A$5000,0),0)),"")</f>
        <v>300</v>
      </c>
      <c r="M30" s="26">
        <f t="shared" si="1"/>
        <v>1350</v>
      </c>
      <c r="N30" s="32">
        <f>SAXS!AG444</f>
        <v>1300</v>
      </c>
      <c r="O30" s="26">
        <f t="shared" si="2"/>
        <v>1150</v>
      </c>
      <c r="P30" s="34">
        <f t="shared" si="3"/>
        <v>0.1</v>
      </c>
      <c r="Q30" s="40" t="str">
        <f>TRIM(IF(SAXS!AE444&lt;&gt;"","QUIEBRE: "&amp;SAXS!AE444&amp;" · ","")&amp;IF(SAXS!AC444&lt;&gt;"","CONCENTRADA: "&amp;SAXS!AC444&amp;" · ","")&amp;IF(SAXS!AD444&lt;&gt;"","SIN STOCK ANTES 06/11 · ","")&amp;IF(SAXS!AB444&lt;&gt;"","SKU DUPLICADO",""))</f>
        <v>SIN STOCK ANTES 06/11 ·</v>
      </c>
      <c r="R30" s="42"/>
    </row>
    <row r="31" ht="15.75" customHeight="1">
      <c r="A31" s="23" t="s">
        <v>74</v>
      </c>
      <c r="B31" s="24">
        <v>524.0</v>
      </c>
      <c r="C31" s="24" t="str">
        <f>SAXS!A524</f>
        <v>0031126-9999</v>
      </c>
      <c r="D31" s="24" t="str">
        <f>SAXS!C524</f>
        <v>EVA C/PIQUE 3,5MM</v>
      </c>
      <c r="E31" s="24" t="str">
        <f>SAXS!D524</f>
        <v>NEGRO</v>
      </c>
      <c r="F31" s="26">
        <f>SAXS!E524</f>
        <v>0</v>
      </c>
      <c r="G31" s="26">
        <f>N(SAXS!F524)+SUM(SAXS!G524:H524)</f>
        <v>0</v>
      </c>
      <c r="H31" s="26">
        <f>SUM(SAXS!I524:M524)+IF(SAXS!$AD$3="SI",SUM(SAXS!N524),0)</f>
        <v>800</v>
      </c>
      <c r="I31" s="26">
        <f>SAXS!P524</f>
        <v>800</v>
      </c>
      <c r="J31" s="26">
        <f>SAXS!X524</f>
        <v>289.5</v>
      </c>
      <c r="K31" s="26">
        <f>SAXS!AF524</f>
        <v>522.5714286</v>
      </c>
      <c r="L31" s="26">
        <f t="array" ref="L31">IFERROR(AVERAGE(INDEX(Ventas!$C$2:$F$5000,MATCH(C31,Ventas!$A$2:$A$5000,0),0)),"")</f>
        <v>625</v>
      </c>
      <c r="M31" s="26">
        <f t="shared" si="1"/>
        <v>2090</v>
      </c>
      <c r="N31" s="32">
        <f>SAXS!AG524</f>
        <v>1290</v>
      </c>
      <c r="O31" s="26">
        <f t="shared" si="2"/>
        <v>1700</v>
      </c>
      <c r="P31" s="34">
        <f t="shared" si="3"/>
        <v>1.5</v>
      </c>
      <c r="Q31" s="40" t="str">
        <f>TRIM(IF(SAXS!AE524&lt;&gt;"","QUIEBRE: "&amp;SAXS!AE524&amp;" · ","")&amp;IF(SAXS!AC524&lt;&gt;"","CONCENTRADA: "&amp;SAXS!AC524&amp;" · ","")&amp;IF(SAXS!AD524&lt;&gt;"","SIN STOCK ANTES 06/11 · ","")&amp;IF(SAXS!AB524&lt;&gt;"","SKU DUPLICADO",""))</f>
        <v>QUIEBRE: SÍ — stock 0 y Sep cayó (prom Feb-Ago 523) · SIN STOCK ANTES 06/11 ·</v>
      </c>
      <c r="R31" s="42"/>
    </row>
    <row r="32" ht="15.75" customHeight="1">
      <c r="A32" s="23" t="s">
        <v>74</v>
      </c>
      <c r="B32" s="24">
        <v>523.0</v>
      </c>
      <c r="C32" s="24" t="str">
        <f>SAXS!A523</f>
        <v>0031126-0000</v>
      </c>
      <c r="D32" s="24" t="str">
        <f>SAXS!C523</f>
        <v>EVA C/PIQUE 3,5MM</v>
      </c>
      <c r="E32" s="24" t="str">
        <f>SAXS!D523</f>
        <v>BLANCO</v>
      </c>
      <c r="F32" s="26">
        <f>SAXS!E523</f>
        <v>0</v>
      </c>
      <c r="G32" s="26">
        <f>N(SAXS!F523)+SUM(SAXS!G523:H523)</f>
        <v>0</v>
      </c>
      <c r="H32" s="26">
        <f>SUM(SAXS!I523:M523)+IF(SAXS!$AD$3="SI",SUM(SAXS!N523),0)</f>
        <v>0</v>
      </c>
      <c r="I32" s="26">
        <f>SAXS!P523</f>
        <v>0</v>
      </c>
      <c r="J32" s="26">
        <f>SAXS!X523</f>
        <v>226.75</v>
      </c>
      <c r="K32" s="26">
        <f>SAXS!AF523</f>
        <v>318.2857143</v>
      </c>
      <c r="L32" s="26">
        <f t="array" ref="L32">IFERROR(AVERAGE(INDEX(Ventas!$C$2:$F$5000,MATCH(C32,Ventas!$A$2:$A$5000,0),0)),"")</f>
        <v>345.25</v>
      </c>
      <c r="M32" s="26">
        <f t="shared" si="1"/>
        <v>1273</v>
      </c>
      <c r="N32" s="32">
        <f>SAXS!AG523</f>
        <v>1273</v>
      </c>
      <c r="O32" s="26">
        <f t="shared" si="2"/>
        <v>1381</v>
      </c>
      <c r="P32" s="34">
        <f t="shared" si="3"/>
        <v>0</v>
      </c>
      <c r="Q32" s="40" t="str">
        <f>TRIM(IF(SAXS!AE523&lt;&gt;"","QUIEBRE: "&amp;SAXS!AE523&amp;" · ","")&amp;IF(SAXS!AC523&lt;&gt;"","CONCENTRADA: "&amp;SAXS!AC523&amp;" · ","")&amp;IF(SAXS!AD523&lt;&gt;"","SIN STOCK ANTES 06/11 · ","")&amp;IF(SAXS!AB523&lt;&gt;"","SKU DUPLICADO",""))</f>
        <v>QUIEBRE: SÍ — stock 0 y Sep cayó (prom Feb-Ago 318) · SIN STOCK ANTES 06/11 ·</v>
      </c>
      <c r="R32" s="42"/>
    </row>
    <row r="33" ht="15.75" customHeight="1">
      <c r="A33" s="23" t="s">
        <v>74</v>
      </c>
      <c r="B33" s="24">
        <v>161.0</v>
      </c>
      <c r="C33" s="24" t="str">
        <f>SAXS!A161</f>
        <v>2862744-9999</v>
      </c>
      <c r="D33" s="24" t="str">
        <f>SAXS!C161</f>
        <v>PRAGA</v>
      </c>
      <c r="E33" s="24" t="str">
        <f>SAXS!D161</f>
        <v>NEGRO 1,2</v>
      </c>
      <c r="F33" s="26">
        <f>SAXS!E161</f>
        <v>0</v>
      </c>
      <c r="G33" s="26">
        <f>N(SAXS!F161)+SUM(SAXS!G161:H161)</f>
        <v>0</v>
      </c>
      <c r="H33" s="26">
        <f>SUM(SAXS!I161:M161)+IF(SAXS!$AD$3="SI",SUM(SAXS!N161),0)</f>
        <v>0</v>
      </c>
      <c r="I33" s="26">
        <f>SAXS!P161</f>
        <v>0</v>
      </c>
      <c r="J33" s="26">
        <f>SAXS!X161</f>
        <v>6.25</v>
      </c>
      <c r="K33" s="26">
        <f>SAXS!AF161</f>
        <v>305.3571429</v>
      </c>
      <c r="L33" s="26">
        <f t="array" ref="L33">IFERROR(AVERAGE(INDEX(Ventas!$C$2:$F$5000,MATCH(C33,Ventas!$A$2:$A$5000,0),0)),"")</f>
        <v>528.125</v>
      </c>
      <c r="M33" s="26">
        <f t="shared" si="1"/>
        <v>1221</v>
      </c>
      <c r="N33" s="32">
        <f>SAXS!AG161</f>
        <v>1221</v>
      </c>
      <c r="O33" s="26">
        <f t="shared" si="2"/>
        <v>2113</v>
      </c>
      <c r="P33" s="34">
        <f t="shared" si="3"/>
        <v>0</v>
      </c>
      <c r="Q33" s="40" t="str">
        <f>TRIM(IF(SAXS!AE161&lt;&gt;"","QUIEBRE: "&amp;SAXS!AE161&amp;" · ","")&amp;IF(SAXS!AC161&lt;&gt;"","CONCENTRADA: "&amp;SAXS!AC161&amp;" · ","")&amp;IF(SAXS!AD161&lt;&gt;"","SIN STOCK ANTES 06/11 · ","")&amp;IF(SAXS!AB161&lt;&gt;"","SKU DUPLICADO",""))</f>
        <v>QUIEBRE: SÍ — stock 0 y Sep cayó (prom Feb-Ago 305) · SIN STOCK ANTES 06/11 ·</v>
      </c>
      <c r="R33" s="42"/>
    </row>
    <row r="34" ht="15.75" customHeight="1">
      <c r="A34" s="23" t="s">
        <v>74</v>
      </c>
      <c r="B34" s="24">
        <v>109.0</v>
      </c>
      <c r="C34" s="24" t="str">
        <f>SAXS!A109</f>
        <v>037923-0010</v>
      </c>
      <c r="D34" s="24" t="str">
        <f>SAXS!C109</f>
        <v>KANSAS ( ZR30313 )</v>
      </c>
      <c r="E34" s="24" t="str">
        <f>SAXS!D109</f>
        <v>CHOCOLATE </v>
      </c>
      <c r="F34" s="26">
        <f>SAXS!E109</f>
        <v>0</v>
      </c>
      <c r="G34" s="26">
        <f>N(SAXS!F109)+SUM(SAXS!G109:H109)</f>
        <v>0</v>
      </c>
      <c r="H34" s="26">
        <f>SUM(SAXS!I109:M109)+IF(SAXS!$AD$3="SI",SUM(SAXS!N109),0)</f>
        <v>0</v>
      </c>
      <c r="I34" s="26">
        <f>SAXS!P109</f>
        <v>0</v>
      </c>
      <c r="J34" s="26">
        <f>SAXS!X109</f>
        <v>0</v>
      </c>
      <c r="K34" s="26">
        <f>SAXS!AF109</f>
        <v>293.2857143</v>
      </c>
      <c r="L34" s="26">
        <f t="array" ref="L34">IFERROR(AVERAGE(INDEX(Ventas!$C$2:$F$5000,MATCH(C34,Ventas!$A$2:$A$5000,0),0)),"")</f>
        <v>513.25</v>
      </c>
      <c r="M34" s="26">
        <f t="shared" si="1"/>
        <v>1173</v>
      </c>
      <c r="N34" s="32">
        <f>SAXS!AG109</f>
        <v>1173</v>
      </c>
      <c r="O34" s="26">
        <f t="shared" si="2"/>
        <v>2053</v>
      </c>
      <c r="P34" s="34">
        <f t="shared" si="3"/>
        <v>0</v>
      </c>
      <c r="Q34" s="40" t="str">
        <f>TRIM(IF(SAXS!AE109&lt;&gt;"","QUIEBRE: "&amp;SAXS!AE109&amp;" · ","")&amp;IF(SAXS!AC109&lt;&gt;"","CONCENTRADA: "&amp;SAXS!AC109&amp;" · ","")&amp;IF(SAXS!AD109&lt;&gt;"","SIN STOCK ANTES 06/11 · ","")&amp;IF(SAXS!AB109&lt;&gt;"","SKU DUPLICADO",""))</f>
        <v>QUIEBRE: SÍ — stock 0 y Sep cayó (prom Feb-Ago 293) ·</v>
      </c>
      <c r="R34" s="42"/>
    </row>
    <row r="35" ht="15.75" customHeight="1">
      <c r="A35" s="23" t="s">
        <v>74</v>
      </c>
      <c r="B35" s="24">
        <v>508.0</v>
      </c>
      <c r="C35" s="24" t="str">
        <f>SAXS!A508</f>
        <v>0291098-0032</v>
      </c>
      <c r="D35" s="24" t="str">
        <f>SAXS!C508</f>
        <v>TELA DE CAMBRE</v>
      </c>
      <c r="E35" s="24" t="str">
        <f>SAXS!D508</f>
        <v>TELA DE CAMBRE NATURAL</v>
      </c>
      <c r="F35" s="26">
        <f>SAXS!E508</f>
        <v>3100</v>
      </c>
      <c r="G35" s="26">
        <f>N(SAXS!F508)+SUM(SAXS!G508:H508)</f>
        <v>0</v>
      </c>
      <c r="H35" s="26">
        <f>SUM(SAXS!I508:M508)+IF(SAXS!$AD$3="SI",SUM(SAXS!N508),0)</f>
        <v>0</v>
      </c>
      <c r="I35" s="26">
        <f>SAXS!P508</f>
        <v>3100</v>
      </c>
      <c r="J35" s="26">
        <f>SAXS!X508</f>
        <v>1037.5</v>
      </c>
      <c r="K35" s="26">
        <f>SAXS!AF508</f>
        <v>1037.5</v>
      </c>
      <c r="L35" s="26">
        <f t="array" ref="L35">IFERROR(AVERAGE(INDEX(Ventas!$C$2:$F$5000,MATCH(C35,Ventas!$A$2:$A$5000,0),0)),"")</f>
        <v>1262.5</v>
      </c>
      <c r="M35" s="26">
        <f t="shared" si="1"/>
        <v>4150</v>
      </c>
      <c r="N35" s="32">
        <f>SAXS!AG508</f>
        <v>1050</v>
      </c>
      <c r="O35" s="26">
        <f t="shared" si="2"/>
        <v>1950</v>
      </c>
      <c r="P35" s="34">
        <f t="shared" si="3"/>
        <v>3</v>
      </c>
      <c r="Q35" s="40" t="str">
        <f>TRIM(IF(SAXS!AE508&lt;&gt;"","QUIEBRE: "&amp;SAXS!AE508&amp;" · ","")&amp;IF(SAXS!AC508&lt;&gt;"","CONCENTRADA: "&amp;SAXS!AC508&amp;" · ","")&amp;IF(SAXS!AD508&lt;&gt;"","SIN STOCK ANTES 06/11 · ","")&amp;IF(SAXS!AB508&lt;&gt;"","SKU DUPLICADO",""))</f>
        <v/>
      </c>
      <c r="R35" s="42"/>
    </row>
    <row r="36" ht="15.75" customHeight="1">
      <c r="A36" s="23" t="s">
        <v>74</v>
      </c>
      <c r="B36" s="24">
        <v>127.0</v>
      </c>
      <c r="C36" s="24" t="str">
        <f>SAXS!A127</f>
        <v>007319-0156</v>
      </c>
      <c r="D36" s="24" t="str">
        <f>SAXS!C127</f>
        <v>ARNO</v>
      </c>
      <c r="E36" s="24" t="str">
        <f>SAXS!D127</f>
        <v>OLIVA</v>
      </c>
      <c r="F36" s="26">
        <f>SAXS!E127</f>
        <v>0</v>
      </c>
      <c r="G36" s="26">
        <f>N(SAXS!F127)+SUM(SAXS!G127:H127)</f>
        <v>0</v>
      </c>
      <c r="H36" s="26">
        <f>SUM(SAXS!I127:M127)+IF(SAXS!$AD$3="SI",SUM(SAXS!N127),0)</f>
        <v>0</v>
      </c>
      <c r="I36" s="26">
        <f>SAXS!P127</f>
        <v>0</v>
      </c>
      <c r="J36" s="26">
        <f>SAXS!X127</f>
        <v>250.5</v>
      </c>
      <c r="K36" s="26">
        <f>SAXS!AF127</f>
        <v>250.5</v>
      </c>
      <c r="L36" s="26">
        <f t="array" ref="L36">IFERROR(AVERAGE(INDEX(Ventas!$C$2:$F$5000,MATCH(C36,Ventas!$A$2:$A$5000,0),0)),"")</f>
        <v>83</v>
      </c>
      <c r="M36" s="26">
        <f t="shared" si="1"/>
        <v>1002</v>
      </c>
      <c r="N36" s="32">
        <f>SAXS!AG127</f>
        <v>1002</v>
      </c>
      <c r="O36" s="26">
        <f t="shared" si="2"/>
        <v>332</v>
      </c>
      <c r="P36" s="34">
        <f t="shared" si="3"/>
        <v>0</v>
      </c>
      <c r="Q36" s="40" t="str">
        <f>TRIM(IF(SAXS!AE127&lt;&gt;"","QUIEBRE: "&amp;SAXS!AE127&amp;" · ","")&amp;IF(SAXS!AC127&lt;&gt;"","CONCENTRADA: "&amp;SAXS!AC127&amp;" · ","")&amp;IF(SAXS!AD127&lt;&gt;"","SIN STOCK ANTES 06/11 · ","")&amp;IF(SAXS!AB127&lt;&gt;"","SKU DUPLICADO",""))</f>
        <v>SIN STOCK ANTES 06/11 ·</v>
      </c>
      <c r="R36" s="42"/>
    </row>
    <row r="37" ht="15.75" customHeight="1">
      <c r="A37" s="23" t="s">
        <v>74</v>
      </c>
      <c r="B37" s="24">
        <v>512.0</v>
      </c>
      <c r="C37" s="24" t="str">
        <f>SAXS!A512</f>
        <v>20771097-9999</v>
      </c>
      <c r="D37" s="24" t="str">
        <f>SAXS!C512</f>
        <v>MANTA 120 GR</v>
      </c>
      <c r="E37" s="24" t="str">
        <f>SAXS!D512</f>
        <v>NEGRO</v>
      </c>
      <c r="F37" s="26">
        <f>SAXS!E512</f>
        <v>0</v>
      </c>
      <c r="G37" s="26">
        <f>N(SAXS!F512)+SUM(SAXS!G512:H512)</f>
        <v>0</v>
      </c>
      <c r="H37" s="26">
        <f>SUM(SAXS!I512:M512)+IF(SAXS!$AD$3="SI",SUM(SAXS!N512),0)</f>
        <v>0</v>
      </c>
      <c r="I37" s="26">
        <f>SAXS!P512</f>
        <v>0</v>
      </c>
      <c r="J37" s="26">
        <f>SAXS!X512</f>
        <v>100</v>
      </c>
      <c r="K37" s="26">
        <f>SAXS!AF512</f>
        <v>228.5714286</v>
      </c>
      <c r="L37" s="26">
        <f t="array" ref="L37">IFERROR(AVERAGE(INDEX(Ventas!$C$2:$F$5000,MATCH(C37,Ventas!$A$2:$A$5000,0),0)),"")</f>
        <v>300</v>
      </c>
      <c r="M37" s="26">
        <f t="shared" si="1"/>
        <v>914</v>
      </c>
      <c r="N37" s="32">
        <f>SAXS!AG512</f>
        <v>914</v>
      </c>
      <c r="O37" s="26">
        <f t="shared" si="2"/>
        <v>1200</v>
      </c>
      <c r="P37" s="34">
        <f t="shared" si="3"/>
        <v>0</v>
      </c>
      <c r="Q37" s="40" t="str">
        <f>TRIM(IF(SAXS!AE512&lt;&gt;"","QUIEBRE: "&amp;SAXS!AE512&amp;" · ","")&amp;IF(SAXS!AC512&lt;&gt;"","CONCENTRADA: "&amp;SAXS!AC512&amp;" · ","")&amp;IF(SAXS!AD512&lt;&gt;"","SIN STOCK ANTES 06/11 · ","")&amp;IF(SAXS!AB512&lt;&gt;"","SKU DUPLICADO",""))</f>
        <v>QUIEBRE: SÍ — stock 0 y Sep cayó (prom Feb-Ago 229) · SIN STOCK ANTES 06/11 ·</v>
      </c>
      <c r="R37" s="42"/>
    </row>
    <row r="38" ht="15.75" customHeight="1">
      <c r="A38" s="23" t="s">
        <v>74</v>
      </c>
      <c r="B38" s="24">
        <v>337.0</v>
      </c>
      <c r="C38" s="24" t="str">
        <f>SAXS!A337</f>
        <v>004319-0004</v>
      </c>
      <c r="D38" s="24" t="str">
        <f>SAXS!C337</f>
        <v>ALTO BRILLO</v>
      </c>
      <c r="E38" s="24" t="str">
        <f>SAXS!D337</f>
        <v>BORDO</v>
      </c>
      <c r="F38" s="26">
        <f>SAXS!E337</f>
        <v>40</v>
      </c>
      <c r="G38" s="26">
        <f>N(SAXS!F337)+SUM(SAXS!G337:H337)</f>
        <v>0</v>
      </c>
      <c r="H38" s="26">
        <f>SUM(SAXS!I337:M337)+IF(SAXS!$AD$3="SI",SUM(SAXS!N337),0)</f>
        <v>0</v>
      </c>
      <c r="I38" s="26">
        <f>SAXS!P337</f>
        <v>40</v>
      </c>
      <c r="J38" s="26">
        <f>SAXS!X337</f>
        <v>230</v>
      </c>
      <c r="K38" s="26">
        <f>SAXS!AF337</f>
        <v>230</v>
      </c>
      <c r="L38" s="26">
        <f t="array" ref="L38">IFERROR(AVERAGE(INDEX(Ventas!$C$2:$F$5000,MATCH(C38,Ventas!$A$2:$A$5000,0),0)),"")</f>
        <v>119.25</v>
      </c>
      <c r="M38" s="26">
        <f t="shared" si="1"/>
        <v>920</v>
      </c>
      <c r="N38" s="32">
        <f>SAXS!AG337</f>
        <v>880</v>
      </c>
      <c r="O38" s="26">
        <f t="shared" si="2"/>
        <v>437</v>
      </c>
      <c r="P38" s="34">
        <f t="shared" si="3"/>
        <v>0.2</v>
      </c>
      <c r="Q38" s="40" t="str">
        <f>TRIM(IF(SAXS!AE337&lt;&gt;"","QUIEBRE: "&amp;SAXS!AE337&amp;" · ","")&amp;IF(SAXS!AC337&lt;&gt;"","CONCENTRADA: "&amp;SAXS!AC337&amp;" · ","")&amp;IF(SAXS!AD337&lt;&gt;"","SIN STOCK ANTES 06/11 · ","")&amp;IF(SAXS!AB337&lt;&gt;"","SKU DUPLICADO",""))</f>
        <v>SIN STOCK ANTES 06/11 ·</v>
      </c>
      <c r="R38" s="42"/>
    </row>
    <row r="39" ht="15.75" customHeight="1">
      <c r="A39" s="23" t="s">
        <v>74</v>
      </c>
      <c r="B39" s="24">
        <v>30.0</v>
      </c>
      <c r="C39" s="24" t="str">
        <f>SAXS!A30</f>
        <v>5100923-9999</v>
      </c>
      <c r="D39" s="24" t="str">
        <f>SAXS!C30</f>
        <v>TOKIO EVA PIQUE 3.3mm</v>
      </c>
      <c r="E39" s="24" t="str">
        <f>SAXS!D30</f>
        <v>NEGRO</v>
      </c>
      <c r="F39" s="26">
        <f>SAXS!E30</f>
        <v>0</v>
      </c>
      <c r="G39" s="26">
        <f>N(SAXS!F30)+SUM(SAXS!G30:H30)</f>
        <v>0</v>
      </c>
      <c r="H39" s="26">
        <f>SUM(SAXS!I30:M30)+IF(SAXS!$AD$3="SI",SUM(SAXS!N30),0)</f>
        <v>0</v>
      </c>
      <c r="I39" s="26">
        <f>SAXS!P30</f>
        <v>0</v>
      </c>
      <c r="J39" s="26">
        <f>SAXS!X30</f>
        <v>0</v>
      </c>
      <c r="K39" s="26">
        <f>SAXS!AF30</f>
        <v>172.1428571</v>
      </c>
      <c r="L39" s="26">
        <f t="array" ref="L39">IFERROR(AVERAGE(INDEX(Ventas!$C$2:$F$5000,MATCH(C39,Ventas!$A$2:$A$5000,0),0)),"")</f>
        <v>301.25</v>
      </c>
      <c r="M39" s="26">
        <f t="shared" si="1"/>
        <v>689</v>
      </c>
      <c r="N39" s="32">
        <f>SAXS!AG30</f>
        <v>689</v>
      </c>
      <c r="O39" s="26">
        <f t="shared" si="2"/>
        <v>1205</v>
      </c>
      <c r="P39" s="34">
        <f t="shared" si="3"/>
        <v>0</v>
      </c>
      <c r="Q39" s="40" t="str">
        <f>TRIM(IF(SAXS!AE30&lt;&gt;"","QUIEBRE: "&amp;SAXS!AE30&amp;" · ","")&amp;IF(SAXS!AC30&lt;&gt;"","CONCENTRADA: "&amp;SAXS!AC30&amp;" · ","")&amp;IF(SAXS!AD30&lt;&gt;"","SIN STOCK ANTES 06/11 · ","")&amp;IF(SAXS!AB30&lt;&gt;"","SKU DUPLICADO",""))</f>
        <v>QUIEBRE: SÍ — stock 0 y Sep cayó (prom Feb-Ago 172) ·</v>
      </c>
      <c r="R39" s="42"/>
    </row>
    <row r="40" ht="15.75" customHeight="1">
      <c r="A40" s="23" t="s">
        <v>74</v>
      </c>
      <c r="B40" s="24">
        <v>89.0</v>
      </c>
      <c r="C40" s="24" t="str">
        <f>SAXS!A89</f>
        <v>027923-0156</v>
      </c>
      <c r="D40" s="24" t="str">
        <f>SAXS!C89</f>
        <v>TEXA</v>
      </c>
      <c r="E40" s="24" t="str">
        <f>SAXS!D89</f>
        <v>OLIVA</v>
      </c>
      <c r="F40" s="26">
        <f>SAXS!E89</f>
        <v>0</v>
      </c>
      <c r="G40" s="26">
        <f>N(SAXS!F89)+SUM(SAXS!G89:H89)</f>
        <v>0</v>
      </c>
      <c r="H40" s="26">
        <f>SUM(SAXS!I89:M89)+IF(SAXS!$AD$3="SI",SUM(SAXS!N89),0)</f>
        <v>0</v>
      </c>
      <c r="I40" s="26">
        <f>SAXS!P89</f>
        <v>0</v>
      </c>
      <c r="J40" s="26">
        <f>SAXS!X89</f>
        <v>169.75</v>
      </c>
      <c r="K40" s="26">
        <f>SAXS!AF89</f>
        <v>169.75</v>
      </c>
      <c r="L40" s="26">
        <f t="array" ref="L40">IFERROR(AVERAGE(INDEX(Ventas!$C$2:$F$5000,MATCH(C40,Ventas!$A$2:$A$5000,0),0)),"")</f>
        <v>121.875</v>
      </c>
      <c r="M40" s="26">
        <f t="shared" si="1"/>
        <v>679</v>
      </c>
      <c r="N40" s="32">
        <f>SAXS!AG89</f>
        <v>679</v>
      </c>
      <c r="O40" s="26">
        <f t="shared" si="2"/>
        <v>488</v>
      </c>
      <c r="P40" s="34">
        <f t="shared" si="3"/>
        <v>0</v>
      </c>
      <c r="Q40" s="40" t="str">
        <f>TRIM(IF(SAXS!AE89&lt;&gt;"","QUIEBRE: "&amp;SAXS!AE89&amp;" · ","")&amp;IF(SAXS!AC89&lt;&gt;"","CONCENTRADA: "&amp;SAXS!AC89&amp;" · ","")&amp;IF(SAXS!AD89&lt;&gt;"","SIN STOCK ANTES 06/11 · ","")&amp;IF(SAXS!AB89&lt;&gt;"","SKU DUPLICADO",""))</f>
        <v>SIN STOCK ANTES 06/11 ·</v>
      </c>
      <c r="R40" s="42"/>
    </row>
    <row r="41" ht="15.75" customHeight="1">
      <c r="A41" s="23" t="s">
        <v>74</v>
      </c>
      <c r="B41" s="24">
        <v>260.0</v>
      </c>
      <c r="C41" s="24" t="str">
        <f>SAXS!A260</f>
        <v>0341018-0030</v>
      </c>
      <c r="D41" s="24" t="str">
        <f>SAXS!C260</f>
        <v>RIO</v>
      </c>
      <c r="E41" s="24" t="str">
        <f>SAXS!D260</f>
        <v>PLATA</v>
      </c>
      <c r="F41" s="26">
        <f>SAXS!E260</f>
        <v>0</v>
      </c>
      <c r="G41" s="26">
        <f>N(SAXS!F260)+SUM(SAXS!G260:H260)</f>
        <v>0</v>
      </c>
      <c r="H41" s="26">
        <f>SUM(SAXS!I260:M260)+IF(SAXS!$AD$3="SI",SUM(SAXS!N260),0)</f>
        <v>0</v>
      </c>
      <c r="I41" s="26">
        <f>SAXS!P260</f>
        <v>0</v>
      </c>
      <c r="J41" s="26">
        <f>SAXS!X260</f>
        <v>157.5</v>
      </c>
      <c r="K41" s="26">
        <f>SAXS!AF260</f>
        <v>157.5</v>
      </c>
      <c r="L41" s="26">
        <f t="array" ref="L41">IFERROR(AVERAGE(INDEX(Ventas!$C$2:$F$5000,MATCH(C41,Ventas!$A$2:$A$5000,0),0)),"")</f>
        <v>12.5</v>
      </c>
      <c r="M41" s="26">
        <f t="shared" si="1"/>
        <v>630</v>
      </c>
      <c r="N41" s="32">
        <f>SAXS!AG260</f>
        <v>630</v>
      </c>
      <c r="O41" s="26">
        <f t="shared" si="2"/>
        <v>50</v>
      </c>
      <c r="P41" s="34">
        <f t="shared" si="3"/>
        <v>0</v>
      </c>
      <c r="Q41" s="40" t="str">
        <f>TRIM(IF(SAXS!AE260&lt;&gt;"","QUIEBRE: "&amp;SAXS!AE260&amp;" · ","")&amp;IF(SAXS!AC260&lt;&gt;"","CONCENTRADA: "&amp;SAXS!AC260&amp;" · ","")&amp;IF(SAXS!AD260&lt;&gt;"","SIN STOCK ANTES 06/11 · ","")&amp;IF(SAXS!AB260&lt;&gt;"","SKU DUPLICADO",""))</f>
        <v>SIN STOCK ANTES 06/11 ·</v>
      </c>
      <c r="R41" s="42"/>
    </row>
    <row r="42" ht="15.75" customHeight="1">
      <c r="A42" s="23" t="s">
        <v>74</v>
      </c>
      <c r="B42" s="24">
        <v>190.0</v>
      </c>
      <c r="C42" s="24" t="str">
        <f>SAXS!A190</f>
        <v>507923-0003</v>
      </c>
      <c r="D42" s="24" t="str">
        <f>SAXS!C190</f>
        <v>MICROFIBRA 0,8MM</v>
      </c>
      <c r="E42" s="24" t="str">
        <f>SAXS!D190</f>
        <v>BEIGE</v>
      </c>
      <c r="F42" s="26">
        <f>SAXS!E190</f>
        <v>0</v>
      </c>
      <c r="G42" s="26">
        <f>N(SAXS!F190)+SUM(SAXS!G190:H190)</f>
        <v>0</v>
      </c>
      <c r="H42" s="26">
        <f>SUM(SAXS!I190:M190)+IF(SAXS!$AD$3="SI",SUM(SAXS!N190),0)</f>
        <v>0</v>
      </c>
      <c r="I42" s="26">
        <f>SAXS!P190</f>
        <v>0</v>
      </c>
      <c r="J42" s="26">
        <f>SAXS!X190</f>
        <v>154</v>
      </c>
      <c r="K42" s="26">
        <f>SAXS!AF190</f>
        <v>154</v>
      </c>
      <c r="L42" s="26">
        <f t="array" ref="L42">IFERROR(AVERAGE(INDEX(Ventas!$C$2:$F$5000,MATCH(C42,Ventas!$A$2:$A$5000,0),0)),"")</f>
        <v>260.75</v>
      </c>
      <c r="M42" s="26">
        <f t="shared" si="1"/>
        <v>616</v>
      </c>
      <c r="N42" s="32">
        <f>SAXS!AG190</f>
        <v>616</v>
      </c>
      <c r="O42" s="26">
        <f t="shared" si="2"/>
        <v>1043</v>
      </c>
      <c r="P42" s="34">
        <f t="shared" si="3"/>
        <v>0</v>
      </c>
      <c r="Q42" s="40" t="str">
        <f>TRIM(IF(SAXS!AE190&lt;&gt;"","QUIEBRE: "&amp;SAXS!AE190&amp;" · ","")&amp;IF(SAXS!AC190&lt;&gt;"","CONCENTRADA: "&amp;SAXS!AC190&amp;" · ","")&amp;IF(SAXS!AD190&lt;&gt;"","SIN STOCK ANTES 06/11 · ","")&amp;IF(SAXS!AB190&lt;&gt;"","SKU DUPLICADO",""))</f>
        <v>SIN STOCK ANTES 06/11 ·</v>
      </c>
      <c r="R42" s="42"/>
    </row>
    <row r="43" ht="15.75" customHeight="1">
      <c r="A43" s="23" t="s">
        <v>74</v>
      </c>
      <c r="B43" s="24">
        <v>110.0</v>
      </c>
      <c r="C43" s="24" t="str">
        <f>SAXS!A110</f>
        <v>037923-0044</v>
      </c>
      <c r="D43" s="24" t="str">
        <f>SAXS!C110</f>
        <v>KANSAS ( ZR30313 )</v>
      </c>
      <c r="E43" s="24" t="str">
        <f>SAXS!D110</f>
        <v>MOCCA (7)</v>
      </c>
      <c r="F43" s="26">
        <f>SAXS!E110</f>
        <v>352</v>
      </c>
      <c r="G43" s="26">
        <f>N(SAXS!F110)+SUM(SAXS!G110:H110)</f>
        <v>0</v>
      </c>
      <c r="H43" s="26">
        <f>SUM(SAXS!I110:M110)+IF(SAXS!$AD$3="SI",SUM(SAXS!N110),0)</f>
        <v>2000</v>
      </c>
      <c r="I43" s="26">
        <f>SAXS!P110</f>
        <v>2352</v>
      </c>
      <c r="J43" s="26">
        <f>SAXS!X110</f>
        <v>734.375</v>
      </c>
      <c r="K43" s="26">
        <f>SAXS!AF110</f>
        <v>734.375</v>
      </c>
      <c r="L43" s="26">
        <f t="array" ref="L43">IFERROR(AVERAGE(INDEX(Ventas!$C$2:$F$5000,MATCH(C43,Ventas!$A$2:$A$5000,0),0)),"")</f>
        <v>684.875</v>
      </c>
      <c r="M43" s="26">
        <f t="shared" si="1"/>
        <v>2938</v>
      </c>
      <c r="N43" s="32">
        <f>SAXS!AG110</f>
        <v>586</v>
      </c>
      <c r="O43" s="26">
        <f t="shared" si="2"/>
        <v>388</v>
      </c>
      <c r="P43" s="34">
        <f t="shared" si="3"/>
        <v>3.2</v>
      </c>
      <c r="Q43" s="40" t="str">
        <f>TRIM(IF(SAXS!AE110&lt;&gt;"","QUIEBRE: "&amp;SAXS!AE110&amp;" · ","")&amp;IF(SAXS!AC110&lt;&gt;"","CONCENTRADA: "&amp;SAXS!AC110&amp;" · ","")&amp;IF(SAXS!AD110&lt;&gt;"","SIN STOCK ANTES 06/11 · ","")&amp;IF(SAXS!AB110&lt;&gt;"","SKU DUPLICADO",""))</f>
        <v>SIN STOCK ANTES 06/11 ·</v>
      </c>
      <c r="R43" s="42"/>
    </row>
    <row r="44" ht="15.75" customHeight="1">
      <c r="A44" s="23" t="s">
        <v>74</v>
      </c>
      <c r="B44" s="24">
        <v>520.0</v>
      </c>
      <c r="C44" s="24" t="str">
        <f>SAXS!A520</f>
        <v>0021126-0000</v>
      </c>
      <c r="D44" s="24" t="str">
        <f>SAXS!C520</f>
        <v>EVA C/PIQUE 2MM</v>
      </c>
      <c r="E44" s="24" t="str">
        <f>SAXS!D520</f>
        <v>BLANCO</v>
      </c>
      <c r="F44" s="26">
        <f>SAXS!E520</f>
        <v>825</v>
      </c>
      <c r="G44" s="26">
        <f>N(SAXS!F520)+SUM(SAXS!G520:H520)</f>
        <v>0</v>
      </c>
      <c r="H44" s="26">
        <f>SUM(SAXS!I520:M520)+IF(SAXS!$AD$3="SI",SUM(SAXS!N520),0)</f>
        <v>0</v>
      </c>
      <c r="I44" s="26">
        <f>SAXS!P520</f>
        <v>825</v>
      </c>
      <c r="J44" s="26">
        <f>SAXS!X520</f>
        <v>346.75</v>
      </c>
      <c r="K44" s="26">
        <f>SAXS!AF520</f>
        <v>346.75</v>
      </c>
      <c r="L44" s="26">
        <f t="array" ref="L44">IFERROR(AVERAGE(INDEX(Ventas!$C$2:$F$5000,MATCH(C44,Ventas!$A$2:$A$5000,0),0)),"")</f>
        <v>341.75</v>
      </c>
      <c r="M44" s="26">
        <f t="shared" si="1"/>
        <v>1387</v>
      </c>
      <c r="N44" s="32">
        <f>SAXS!AG520</f>
        <v>562</v>
      </c>
      <c r="O44" s="26">
        <f t="shared" si="2"/>
        <v>542</v>
      </c>
      <c r="P44" s="34">
        <f t="shared" si="3"/>
        <v>2.4</v>
      </c>
      <c r="Q44" s="40" t="str">
        <f>TRIM(IF(SAXS!AE520&lt;&gt;"","QUIEBRE: "&amp;SAXS!AE520&amp;" · ","")&amp;IF(SAXS!AC520&lt;&gt;"","CONCENTRADA: "&amp;SAXS!AC520&amp;" · ","")&amp;IF(SAXS!AD520&lt;&gt;"","SIN STOCK ANTES 06/11 · ","")&amp;IF(SAXS!AB520&lt;&gt;"","SKU DUPLICADO",""))</f>
        <v/>
      </c>
      <c r="R44" s="42"/>
    </row>
    <row r="45" ht="15.75" customHeight="1">
      <c r="A45" s="23" t="s">
        <v>74</v>
      </c>
      <c r="B45" s="24">
        <v>35.0</v>
      </c>
      <c r="C45" s="24" t="str">
        <f>SAXS!A35</f>
        <v>5130923-9999</v>
      </c>
      <c r="D45" s="24" t="str">
        <f>SAXS!C35</f>
        <v>CALI EVA pique 2.4mm</v>
      </c>
      <c r="E45" s="24" t="str">
        <f>SAXS!D35</f>
        <v>NEGRO</v>
      </c>
      <c r="F45" s="26">
        <f>SAXS!E35</f>
        <v>0</v>
      </c>
      <c r="G45" s="26">
        <f>N(SAXS!F35)+SUM(SAXS!G35:H35)</f>
        <v>0</v>
      </c>
      <c r="H45" s="26">
        <f>SUM(SAXS!I35:M35)+IF(SAXS!$AD$3="SI",SUM(SAXS!N35),0)</f>
        <v>4000</v>
      </c>
      <c r="I45" s="26">
        <f>SAXS!P35</f>
        <v>4000</v>
      </c>
      <c r="J45" s="26">
        <f>SAXS!X35</f>
        <v>896.75</v>
      </c>
      <c r="K45" s="26">
        <f>SAXS!AF35</f>
        <v>1139.714286</v>
      </c>
      <c r="L45" s="26">
        <f t="array" ref="L45">IFERROR(AVERAGE(INDEX(Ventas!$C$2:$F$5000,MATCH(C45,Ventas!$A$2:$A$5000,0),0)),"")</f>
        <v>1097.75</v>
      </c>
      <c r="M45" s="26">
        <f t="shared" si="1"/>
        <v>4559</v>
      </c>
      <c r="N45" s="32">
        <f>SAXS!AG35</f>
        <v>559</v>
      </c>
      <c r="O45" s="26">
        <f t="shared" si="2"/>
        <v>391</v>
      </c>
      <c r="P45" s="34">
        <f t="shared" si="3"/>
        <v>3.5</v>
      </c>
      <c r="Q45" s="40" t="str">
        <f>TRIM(IF(SAXS!AE35&lt;&gt;"","QUIEBRE: "&amp;SAXS!AE35&amp;" · ","")&amp;IF(SAXS!AC35&lt;&gt;"","CONCENTRADA: "&amp;SAXS!AC35&amp;" · ","")&amp;IF(SAXS!AD35&lt;&gt;"","SIN STOCK ANTES 06/11 · ","")&amp;IF(SAXS!AB35&lt;&gt;"","SKU DUPLICADO",""))</f>
        <v>QUIEBRE: SÍ — stock 0 y Sep cayó (prom Feb-Ago 1,140) · SIN STOCK ANTES 06/11 ·</v>
      </c>
      <c r="R45" s="42"/>
    </row>
    <row r="46" ht="15.75" customHeight="1">
      <c r="A46" s="23" t="s">
        <v>74</v>
      </c>
      <c r="B46" s="24">
        <v>91.0</v>
      </c>
      <c r="C46" s="24" t="str">
        <f>SAXS!A91</f>
        <v>027923-0010</v>
      </c>
      <c r="D46" s="24" t="str">
        <f>SAXS!C91</f>
        <v>TEXA</v>
      </c>
      <c r="E46" s="24" t="str">
        <f>SAXS!D91</f>
        <v>CHOCOLATE</v>
      </c>
      <c r="F46" s="26">
        <f>SAXS!E91</f>
        <v>2320</v>
      </c>
      <c r="G46" s="26">
        <f>N(SAXS!F91)+SUM(SAXS!G91:H91)</f>
        <v>0</v>
      </c>
      <c r="H46" s="26">
        <f>SUM(SAXS!I91:M91)+IF(SAXS!$AD$3="SI",SUM(SAXS!N91),0)</f>
        <v>1000</v>
      </c>
      <c r="I46" s="26">
        <f>SAXS!P91</f>
        <v>3320</v>
      </c>
      <c r="J46" s="26">
        <f>SAXS!X91</f>
        <v>967.75</v>
      </c>
      <c r="K46" s="26">
        <f>SAXS!AF91</f>
        <v>967.75</v>
      </c>
      <c r="L46" s="26">
        <f t="array" ref="L46">IFERROR(AVERAGE(INDEX(Ventas!$C$2:$F$5000,MATCH(C46,Ventas!$A$2:$A$5000,0),0)),"")</f>
        <v>1164</v>
      </c>
      <c r="M46" s="26">
        <f t="shared" si="1"/>
        <v>3871</v>
      </c>
      <c r="N46" s="32">
        <f>SAXS!AG91</f>
        <v>551</v>
      </c>
      <c r="O46" s="26">
        <f t="shared" si="2"/>
        <v>1336</v>
      </c>
      <c r="P46" s="34">
        <f t="shared" si="3"/>
        <v>3.4</v>
      </c>
      <c r="Q46" s="40" t="str">
        <f>TRIM(IF(SAXS!AE91&lt;&gt;"","QUIEBRE: "&amp;SAXS!AE91&amp;" · ","")&amp;IF(SAXS!AC91&lt;&gt;"","CONCENTRADA: "&amp;SAXS!AC91&amp;" · ","")&amp;IF(SAXS!AD91&lt;&gt;"","SIN STOCK ANTES 06/11 · ","")&amp;IF(SAXS!AB91&lt;&gt;"","SKU DUPLICADO",""))</f>
        <v/>
      </c>
      <c r="R46" s="42"/>
    </row>
    <row r="47" ht="15.75" customHeight="1">
      <c r="A47" s="23" t="s">
        <v>74</v>
      </c>
      <c r="B47" s="24">
        <v>656.0</v>
      </c>
      <c r="C47" s="24" t="str">
        <f>SAXS!A656</f>
        <v>2126000-0003</v>
      </c>
      <c r="D47" s="24" t="str">
        <f>SAXS!C656</f>
        <v>Jersey c/respaldo</v>
      </c>
      <c r="E47" s="24" t="str">
        <f>SAXS!D656</f>
        <v>BEIGE </v>
      </c>
      <c r="F47" s="26">
        <f>SAXS!E656</f>
        <v>0</v>
      </c>
      <c r="G47" s="26">
        <f>N(SAXS!F656)+SUM(SAXS!G656:H656)</f>
        <v>0</v>
      </c>
      <c r="H47" s="26">
        <f>SUM(SAXS!I656:M656)+IF(SAXS!$AD$3="SI",SUM(SAXS!N656),0)</f>
        <v>0</v>
      </c>
      <c r="I47" s="26">
        <f>SAXS!P656</f>
        <v>0</v>
      </c>
      <c r="J47" s="26">
        <f>SAXS!X656</f>
        <v>0</v>
      </c>
      <c r="K47" s="26">
        <f>SAXS!AF656</f>
        <v>124.7142857</v>
      </c>
      <c r="L47" s="26">
        <f t="array" ref="L47">IFERROR(AVERAGE(INDEX(Ventas!$C$2:$F$5000,MATCH(C47,Ventas!$A$2:$A$5000,0),0)),"")</f>
        <v>218.25</v>
      </c>
      <c r="M47" s="26">
        <f t="shared" si="1"/>
        <v>499</v>
      </c>
      <c r="N47" s="32">
        <f>SAXS!AG656</f>
        <v>499</v>
      </c>
      <c r="O47" s="26">
        <f t="shared" si="2"/>
        <v>873</v>
      </c>
      <c r="P47" s="34">
        <f t="shared" si="3"/>
        <v>0</v>
      </c>
      <c r="Q47" s="40" t="str">
        <f>TRIM(IF(SAXS!AE656&lt;&gt;"","QUIEBRE: "&amp;SAXS!AE656&amp;" · ","")&amp;IF(SAXS!AC656&lt;&gt;"","CONCENTRADA: "&amp;SAXS!AC656&amp;" · ","")&amp;IF(SAXS!AD656&lt;&gt;"","SIN STOCK ANTES 06/11 · ","")&amp;IF(SAXS!AB656&lt;&gt;"","SKU DUPLICADO",""))</f>
        <v>QUIEBRE: SÍ — stock 0 y Sep cayó (prom Feb-Ago 125) ·</v>
      </c>
      <c r="R47" s="42"/>
    </row>
    <row r="48" ht="15.75" customHeight="1">
      <c r="A48" s="23" t="s">
        <v>74</v>
      </c>
      <c r="B48" s="24">
        <v>507.0</v>
      </c>
      <c r="C48" s="24" t="str">
        <f>SAXS!A507</f>
        <v>030012-0032</v>
      </c>
      <c r="D48" s="24" t="str">
        <f>SAXS!C507</f>
        <v>TELA DE CAMBRE</v>
      </c>
      <c r="E48" s="24" t="str">
        <f>SAXS!D507</f>
        <v>TELA DE CAMBRE 180 Natural</v>
      </c>
      <c r="F48" s="26">
        <f>SAXS!E507</f>
        <v>0</v>
      </c>
      <c r="G48" s="26">
        <f>N(SAXS!F507)+SUM(SAXS!G507:H507)</f>
        <v>0</v>
      </c>
      <c r="H48" s="26">
        <f>SUM(SAXS!I507:M507)+IF(SAXS!$AD$3="SI",SUM(SAXS!N507),0)</f>
        <v>0</v>
      </c>
      <c r="I48" s="26">
        <f>SAXS!P507</f>
        <v>0</v>
      </c>
      <c r="J48" s="26">
        <f>SAXS!X507</f>
        <v>0</v>
      </c>
      <c r="K48" s="26">
        <f>SAXS!AF507</f>
        <v>121.4285714</v>
      </c>
      <c r="L48" s="26">
        <f t="array" ref="L48">IFERROR(AVERAGE(INDEX(Ventas!$C$2:$F$5000,MATCH(C48,Ventas!$A$2:$A$5000,0),0)),"")</f>
        <v>212.5</v>
      </c>
      <c r="M48" s="26">
        <f t="shared" si="1"/>
        <v>486</v>
      </c>
      <c r="N48" s="32">
        <f>SAXS!AG507</f>
        <v>486</v>
      </c>
      <c r="O48" s="26">
        <f t="shared" si="2"/>
        <v>850</v>
      </c>
      <c r="P48" s="34">
        <f t="shared" si="3"/>
        <v>0</v>
      </c>
      <c r="Q48" s="40" t="str">
        <f>TRIM(IF(SAXS!AE507&lt;&gt;"","QUIEBRE: "&amp;SAXS!AE507&amp;" · ","")&amp;IF(SAXS!AC507&lt;&gt;"","CONCENTRADA: "&amp;SAXS!AC507&amp;" · ","")&amp;IF(SAXS!AD507&lt;&gt;"","SIN STOCK ANTES 06/11 · ","")&amp;IF(SAXS!AB507&lt;&gt;"","SKU DUPLICADO",""))</f>
        <v>QUIEBRE: SÍ — stock 0 y Sep cayó (prom Feb-Ago 121) ·</v>
      </c>
      <c r="R48" s="42"/>
    </row>
    <row r="49" ht="15.75" customHeight="1">
      <c r="A49" s="23" t="s">
        <v>74</v>
      </c>
      <c r="B49" s="24">
        <v>146.0</v>
      </c>
      <c r="C49" s="24" t="str">
        <f>SAXS!A146</f>
        <v>406923-0000</v>
      </c>
      <c r="D49" s="24" t="str">
        <f>SAXS!C146</f>
        <v>COSTURADO</v>
      </c>
      <c r="E49" s="24" t="str">
        <f>SAXS!D146</f>
        <v>BLANCO</v>
      </c>
      <c r="F49" s="26">
        <f>SAXS!E146</f>
        <v>0</v>
      </c>
      <c r="G49" s="26">
        <f>N(SAXS!F146)+SUM(SAXS!G146:H146)</f>
        <v>0</v>
      </c>
      <c r="H49" s="26">
        <f>SUM(SAXS!I146:M146)+IF(SAXS!$AD$3="SI",SUM(SAXS!N146),0)</f>
        <v>0</v>
      </c>
      <c r="I49" s="26">
        <f>SAXS!P146</f>
        <v>0</v>
      </c>
      <c r="J49" s="26">
        <f>SAXS!X146</f>
        <v>0</v>
      </c>
      <c r="K49" s="26">
        <f>SAXS!AF146</f>
        <v>116.7857143</v>
      </c>
      <c r="L49" s="26">
        <f t="array" ref="L49">IFERROR(AVERAGE(INDEX(Ventas!$C$2:$F$5000,MATCH(C49,Ventas!$A$2:$A$5000,0),0)),"")</f>
        <v>204.375</v>
      </c>
      <c r="M49" s="26">
        <f t="shared" si="1"/>
        <v>467</v>
      </c>
      <c r="N49" s="32">
        <f>SAXS!AG146</f>
        <v>467</v>
      </c>
      <c r="O49" s="26">
        <f t="shared" si="2"/>
        <v>818</v>
      </c>
      <c r="P49" s="34">
        <f t="shared" si="3"/>
        <v>0</v>
      </c>
      <c r="Q49" s="40" t="str">
        <f>TRIM(IF(SAXS!AE146&lt;&gt;"","QUIEBRE: "&amp;SAXS!AE146&amp;" · ","")&amp;IF(SAXS!AC146&lt;&gt;"","CONCENTRADA: "&amp;SAXS!AC146&amp;" · ","")&amp;IF(SAXS!AD146&lt;&gt;"","SIN STOCK ANTES 06/11 · ","")&amp;IF(SAXS!AB146&lt;&gt;"","SKU DUPLICADO",""))</f>
        <v>QUIEBRE: SÍ — stock 0 y Sep cayó (prom Feb-Ago 117) ·</v>
      </c>
      <c r="R49" s="42"/>
    </row>
    <row r="50" ht="15.75" customHeight="1">
      <c r="A50" s="23" t="s">
        <v>74</v>
      </c>
      <c r="B50" s="24">
        <v>511.0</v>
      </c>
      <c r="C50" s="24" t="str">
        <f>SAXS!A511</f>
        <v>20741097-0000</v>
      </c>
      <c r="D50" s="24" t="str">
        <f>SAXS!C511</f>
        <v>NO TEJIDO 120 GR</v>
      </c>
      <c r="E50" s="24" t="str">
        <f>SAXS!D511</f>
        <v>BLANCO</v>
      </c>
      <c r="F50" s="26">
        <f>SAXS!E511</f>
        <v>0</v>
      </c>
      <c r="G50" s="26">
        <f>N(SAXS!F511)+SUM(SAXS!G511:H511)</f>
        <v>0</v>
      </c>
      <c r="H50" s="26">
        <f>SUM(SAXS!I511:M511)+IF(SAXS!$AD$3="SI",SUM(SAXS!N511),0)</f>
        <v>0</v>
      </c>
      <c r="I50" s="26">
        <f>SAXS!P511</f>
        <v>0</v>
      </c>
      <c r="J50" s="26">
        <f>SAXS!X511</f>
        <v>0</v>
      </c>
      <c r="K50" s="26">
        <f>SAXS!AF511</f>
        <v>114.2857143</v>
      </c>
      <c r="L50" s="26">
        <f t="array" ref="L50">IFERROR(AVERAGE(INDEX(Ventas!$C$2:$F$5000,MATCH(C50,Ventas!$A$2:$A$5000,0),0)),"")</f>
        <v>200</v>
      </c>
      <c r="M50" s="26">
        <f t="shared" si="1"/>
        <v>457</v>
      </c>
      <c r="N50" s="32">
        <f>SAXS!AG511</f>
        <v>457</v>
      </c>
      <c r="O50" s="26">
        <f t="shared" si="2"/>
        <v>800</v>
      </c>
      <c r="P50" s="34">
        <f t="shared" si="3"/>
        <v>0</v>
      </c>
      <c r="Q50" s="40" t="str">
        <f>TRIM(IF(SAXS!AE511&lt;&gt;"","QUIEBRE: "&amp;SAXS!AE511&amp;" · ","")&amp;IF(SAXS!AC511&lt;&gt;"","CONCENTRADA: "&amp;SAXS!AC511&amp;" · ","")&amp;IF(SAXS!AD511&lt;&gt;"","SIN STOCK ANTES 06/11 · ","")&amp;IF(SAXS!AB511&lt;&gt;"","SKU DUPLICADO",""))</f>
        <v>QUIEBRE: SÍ — stock 0 y Sep cayó (prom Feb-Ago 114) ·</v>
      </c>
      <c r="R50" s="42"/>
    </row>
    <row r="51" ht="15.75" customHeight="1">
      <c r="A51" s="23" t="s">
        <v>74</v>
      </c>
      <c r="B51" s="24">
        <v>31.0</v>
      </c>
      <c r="C51" s="24" t="str">
        <f>SAXS!A31</f>
        <v>5110923-9999</v>
      </c>
      <c r="D51" s="24" t="str">
        <f>SAXS!C31</f>
        <v>NAPA EVA PIQUE 3.3mm</v>
      </c>
      <c r="E51" s="24" t="str">
        <f>SAXS!D31</f>
        <v>NEGRO</v>
      </c>
      <c r="F51" s="26">
        <f>SAXS!E31</f>
        <v>0</v>
      </c>
      <c r="G51" s="26">
        <f>N(SAXS!F31)+SUM(SAXS!G31:H31)</f>
        <v>0</v>
      </c>
      <c r="H51" s="26">
        <f>SUM(SAXS!I31:M31)+IF(SAXS!$AD$3="SI",SUM(SAXS!N31),0)</f>
        <v>0</v>
      </c>
      <c r="I51" s="26">
        <f>SAXS!P31</f>
        <v>0</v>
      </c>
      <c r="J51" s="26">
        <f>SAXS!X31</f>
        <v>0</v>
      </c>
      <c r="K51" s="26">
        <f>SAXS!AF31</f>
        <v>96.64285714</v>
      </c>
      <c r="L51" s="26">
        <f t="array" ref="L51">IFERROR(AVERAGE(INDEX(Ventas!$C$2:$F$5000,MATCH(C51,Ventas!$A$2:$A$5000,0),0)),"")</f>
        <v>169.125</v>
      </c>
      <c r="M51" s="26">
        <f t="shared" si="1"/>
        <v>387</v>
      </c>
      <c r="N51" s="32">
        <f>SAXS!AG31</f>
        <v>387</v>
      </c>
      <c r="O51" s="26">
        <f t="shared" si="2"/>
        <v>677</v>
      </c>
      <c r="P51" s="34">
        <f t="shared" si="3"/>
        <v>0</v>
      </c>
      <c r="Q51" s="40" t="str">
        <f>TRIM(IF(SAXS!AE31&lt;&gt;"","QUIEBRE: "&amp;SAXS!AE31&amp;" · ","")&amp;IF(SAXS!AC31&lt;&gt;"","CONCENTRADA: "&amp;SAXS!AC31&amp;" · ","")&amp;IF(SAXS!AD31&lt;&gt;"","SIN STOCK ANTES 06/11 · ","")&amp;IF(SAXS!AB31&lt;&gt;"","SKU DUPLICADO",""))</f>
        <v>QUIEBRE: SÍ — stock 0 y Sep cayó (prom Feb-Ago 97) ·</v>
      </c>
      <c r="R51" s="42"/>
    </row>
    <row r="52" ht="15.75" customHeight="1">
      <c r="A52" s="23" t="s">
        <v>74</v>
      </c>
      <c r="B52" s="24">
        <v>342.0</v>
      </c>
      <c r="C52" s="24" t="str">
        <f>SAXS!A342</f>
        <v>384127-9999</v>
      </c>
      <c r="D52" s="24" t="str">
        <f>SAXS!C342</f>
        <v>CHAROL 1 MM</v>
      </c>
      <c r="E52" s="24" t="str">
        <f>SAXS!D342</f>
        <v>NEGRO</v>
      </c>
      <c r="F52" s="26">
        <f>SAXS!E342</f>
        <v>0</v>
      </c>
      <c r="G52" s="26">
        <f>N(SAXS!F342)+SUM(SAXS!G342:H342)</f>
        <v>1006</v>
      </c>
      <c r="H52" s="26">
        <f>SUM(SAXS!I342:M342)+IF(SAXS!$AD$3="SI",SUM(SAXS!N342),0)</f>
        <v>1000</v>
      </c>
      <c r="I52" s="26">
        <f>SAXS!P342</f>
        <v>2006</v>
      </c>
      <c r="J52" s="26">
        <f>SAXS!X342</f>
        <v>305.5</v>
      </c>
      <c r="K52" s="26">
        <f>SAXS!AF342</f>
        <v>597.2857143</v>
      </c>
      <c r="L52" s="26">
        <f t="array" ref="L52">IFERROR(AVERAGE(INDEX(Ventas!$C$2:$F$5000,MATCH(C52,Ventas!$A$2:$A$5000,0),0)),"")</f>
        <v>739.75</v>
      </c>
      <c r="M52" s="26">
        <f t="shared" si="1"/>
        <v>2389</v>
      </c>
      <c r="N52" s="32">
        <f>SAXS!AG342</f>
        <v>383</v>
      </c>
      <c r="O52" s="26">
        <f t="shared" si="2"/>
        <v>953</v>
      </c>
      <c r="P52" s="34">
        <f t="shared" si="3"/>
        <v>3.4</v>
      </c>
      <c r="Q52" s="40" t="str">
        <f>TRIM(IF(SAXS!AE342&lt;&gt;"","QUIEBRE: "&amp;SAXS!AE342&amp;" · ","")&amp;IF(SAXS!AC342&lt;&gt;"","CONCENTRADA: "&amp;SAXS!AC342&amp;" · ","")&amp;IF(SAXS!AD342&lt;&gt;"","SIN STOCK ANTES 06/11 · ","")&amp;IF(SAXS!AB342&lt;&gt;"","SKU DUPLICADO",""))</f>
        <v>QUIEBRE: SÍ — stock 0 y Sep cayó (prom Feb-Ago 597) · SIN STOCK ANTES 06/11 ·</v>
      </c>
      <c r="R52" s="42"/>
    </row>
    <row r="53" ht="15.75" customHeight="1">
      <c r="A53" s="23" t="s">
        <v>74</v>
      </c>
      <c r="B53" s="24">
        <v>11.0</v>
      </c>
      <c r="C53" s="24" t="str">
        <f>SAXS!A11</f>
        <v>4931098-0597</v>
      </c>
      <c r="D53" s="24" t="str">
        <f>SAXS!C11</f>
        <v>CALI</v>
      </c>
      <c r="E53" s="24" t="str">
        <f>SAXS!D11</f>
        <v>SUELA D/T</v>
      </c>
      <c r="F53" s="26">
        <f>SAXS!E11</f>
        <v>0</v>
      </c>
      <c r="G53" s="26">
        <f>N(SAXS!F11)+SUM(SAXS!G11:H11)</f>
        <v>0</v>
      </c>
      <c r="H53" s="26">
        <f>SUM(SAXS!I11:M11)+IF(SAXS!$AD$3="SI",SUM(SAXS!N11),0)</f>
        <v>1000</v>
      </c>
      <c r="I53" s="26">
        <f>SAXS!P11</f>
        <v>1000</v>
      </c>
      <c r="J53" s="26">
        <f>SAXS!X11</f>
        <v>261.25</v>
      </c>
      <c r="K53" s="26">
        <f>SAXS!AF11</f>
        <v>343.5714286</v>
      </c>
      <c r="L53" s="26">
        <f t="array" ref="L53">IFERROR(AVERAGE(INDEX(Ventas!$C$2:$F$5000,MATCH(C53,Ventas!$A$2:$A$5000,0),0)),"")</f>
        <v>370</v>
      </c>
      <c r="M53" s="26">
        <f t="shared" si="1"/>
        <v>1374</v>
      </c>
      <c r="N53" s="32">
        <f>SAXS!AG11</f>
        <v>374</v>
      </c>
      <c r="O53" s="26">
        <f t="shared" si="2"/>
        <v>480</v>
      </c>
      <c r="P53" s="34">
        <f t="shared" si="3"/>
        <v>2.9</v>
      </c>
      <c r="Q53" s="40" t="str">
        <f>TRIM(IF(SAXS!AE11&lt;&gt;"","QUIEBRE: "&amp;SAXS!AE11&amp;" · ","")&amp;IF(SAXS!AC11&lt;&gt;"","CONCENTRADA: "&amp;SAXS!AC11&amp;" · ","")&amp;IF(SAXS!AD11&lt;&gt;"","SIN STOCK ANTES 06/11 · ","")&amp;IF(SAXS!AB11&lt;&gt;"","SKU DUPLICADO",""))</f>
        <v>QUIEBRE: SÍ — stock 0 y Sep cayó (prom Feb-Ago 344) · SIN STOCK ANTES 06/11 ·</v>
      </c>
      <c r="R53" s="42"/>
    </row>
    <row r="54" ht="15.75" customHeight="1">
      <c r="A54" s="23" t="s">
        <v>74</v>
      </c>
      <c r="B54" s="24">
        <v>178.0</v>
      </c>
      <c r="C54" s="24" t="str">
        <f>SAXS!A178</f>
        <v>503744-9999</v>
      </c>
      <c r="D54" s="24" t="str">
        <f>SAXS!C178</f>
        <v>OSLO</v>
      </c>
      <c r="E54" s="24" t="str">
        <f>SAXS!D178</f>
        <v>NEGRO</v>
      </c>
      <c r="F54" s="26">
        <f>SAXS!E178</f>
        <v>0</v>
      </c>
      <c r="G54" s="26">
        <f>N(SAXS!F178)+SUM(SAXS!G178:H178)</f>
        <v>0</v>
      </c>
      <c r="H54" s="26">
        <f>SUM(SAXS!I178:M178)+IF(SAXS!$AD$3="SI",SUM(SAXS!N178),0)</f>
        <v>0</v>
      </c>
      <c r="I54" s="26">
        <f>SAXS!P178</f>
        <v>0</v>
      </c>
      <c r="J54" s="26">
        <f>SAXS!X178</f>
        <v>0</v>
      </c>
      <c r="K54" s="26">
        <f>SAXS!AF178</f>
        <v>87.28571429</v>
      </c>
      <c r="L54" s="26">
        <f t="array" ref="L54">IFERROR(AVERAGE(INDEX(Ventas!$C$2:$F$5000,MATCH(C54,Ventas!$A$2:$A$5000,0),0)),"")</f>
        <v>152.75</v>
      </c>
      <c r="M54" s="26">
        <f t="shared" si="1"/>
        <v>349</v>
      </c>
      <c r="N54" s="32">
        <f>SAXS!AG178</f>
        <v>349</v>
      </c>
      <c r="O54" s="26">
        <f t="shared" si="2"/>
        <v>611</v>
      </c>
      <c r="P54" s="34">
        <f t="shared" si="3"/>
        <v>0</v>
      </c>
      <c r="Q54" s="40" t="str">
        <f>TRIM(IF(SAXS!AE178&lt;&gt;"","QUIEBRE: "&amp;SAXS!AE178&amp;" · ","")&amp;IF(SAXS!AC178&lt;&gt;"","CONCENTRADA: "&amp;SAXS!AC178&amp;" · ","")&amp;IF(SAXS!AD178&lt;&gt;"","SIN STOCK ANTES 06/11 · ","")&amp;IF(SAXS!AB178&lt;&gt;"","SKU DUPLICADO",""))</f>
        <v>QUIEBRE: SÍ — stock 0 y Sep cayó (prom Feb-Ago 87) ·</v>
      </c>
      <c r="R54" s="42"/>
    </row>
    <row r="55" ht="15.75" customHeight="1">
      <c r="A55" s="23" t="s">
        <v>74</v>
      </c>
      <c r="B55" s="24">
        <v>236.0</v>
      </c>
      <c r="C55" s="24" t="str">
        <f>SAXS!A236</f>
        <v>282127-0149</v>
      </c>
      <c r="D55" s="24" t="str">
        <f>SAXS!C236</f>
        <v>NAPA MET</v>
      </c>
      <c r="E55" s="24" t="str">
        <f>SAXS!D236</f>
        <v> ROSE GOLD</v>
      </c>
      <c r="F55" s="26">
        <f>SAXS!E236</f>
        <v>50</v>
      </c>
      <c r="G55" s="26">
        <f>N(SAXS!F236)+SUM(SAXS!G236:H236)</f>
        <v>0</v>
      </c>
      <c r="H55" s="26">
        <f>SUM(SAXS!I236:M236)+IF(SAXS!$AD$3="SI",SUM(SAXS!N236),0)</f>
        <v>0</v>
      </c>
      <c r="I55" s="26">
        <f>SAXS!P236</f>
        <v>50</v>
      </c>
      <c r="J55" s="26">
        <f>SAXS!X236</f>
        <v>90</v>
      </c>
      <c r="K55" s="26">
        <f>SAXS!AF236</f>
        <v>90</v>
      </c>
      <c r="L55" s="26">
        <f t="array" ref="L55">IFERROR(AVERAGE(INDEX(Ventas!$C$2:$F$5000,MATCH(C55,Ventas!$A$2:$A$5000,0),0)),"")</f>
        <v>37.5</v>
      </c>
      <c r="M55" s="26">
        <f t="shared" si="1"/>
        <v>360</v>
      </c>
      <c r="N55" s="32">
        <f>SAXS!AG236</f>
        <v>310</v>
      </c>
      <c r="O55" s="26">
        <f t="shared" si="2"/>
        <v>100</v>
      </c>
      <c r="P55" s="34">
        <f t="shared" si="3"/>
        <v>0.6</v>
      </c>
      <c r="Q55" s="40" t="str">
        <f>TRIM(IF(SAXS!AE236&lt;&gt;"","QUIEBRE: "&amp;SAXS!AE236&amp;" · ","")&amp;IF(SAXS!AC236&lt;&gt;"","CONCENTRADA: "&amp;SAXS!AC236&amp;" · ","")&amp;IF(SAXS!AD236&lt;&gt;"","SIN STOCK ANTES 06/11 · ","")&amp;IF(SAXS!AB236&lt;&gt;"","SKU DUPLICADO",""))</f>
        <v/>
      </c>
      <c r="R55" s="42"/>
    </row>
    <row r="56" ht="15.75" customHeight="1">
      <c r="A56" s="23" t="s">
        <v>74</v>
      </c>
      <c r="B56" s="24">
        <v>163.0</v>
      </c>
      <c r="C56" s="24" t="str">
        <f>SAXS!A163</f>
        <v>2852744-0002</v>
      </c>
      <c r="D56" s="24" t="str">
        <f>SAXS!C163</f>
        <v>PRAGA</v>
      </c>
      <c r="E56" s="24" t="str">
        <f>SAXS!D163</f>
        <v>AZUL (MOOD INDICO)</v>
      </c>
      <c r="F56" s="26">
        <f>SAXS!E163</f>
        <v>0</v>
      </c>
      <c r="G56" s="26">
        <f>N(SAXS!F163)+SUM(SAXS!G163:H163)</f>
        <v>0</v>
      </c>
      <c r="H56" s="26">
        <f>SUM(SAXS!I163:M163)+IF(SAXS!$AD$3="SI",SUM(SAXS!N163),0)</f>
        <v>0</v>
      </c>
      <c r="I56" s="26">
        <f>SAXS!P163</f>
        <v>0</v>
      </c>
      <c r="J56" s="26">
        <f>SAXS!X163</f>
        <v>35</v>
      </c>
      <c r="K56" s="26">
        <f>SAXS!AF163</f>
        <v>72.71428571</v>
      </c>
      <c r="L56" s="26">
        <f t="array" ref="L56">IFERROR(AVERAGE(INDEX(Ventas!$C$2:$F$5000,MATCH(C56,Ventas!$A$2:$A$5000,0),0)),"")</f>
        <v>92.25</v>
      </c>
      <c r="M56" s="26">
        <f t="shared" si="1"/>
        <v>291</v>
      </c>
      <c r="N56" s="32">
        <f>SAXS!AG163</f>
        <v>291</v>
      </c>
      <c r="O56" s="26">
        <f t="shared" si="2"/>
        <v>369</v>
      </c>
      <c r="P56" s="34">
        <f t="shared" si="3"/>
        <v>0</v>
      </c>
      <c r="Q56" s="40" t="str">
        <f>TRIM(IF(SAXS!AE163&lt;&gt;"","QUIEBRE: "&amp;SAXS!AE163&amp;" · ","")&amp;IF(SAXS!AC163&lt;&gt;"","CONCENTRADA: "&amp;SAXS!AC163&amp;" · ","")&amp;IF(SAXS!AD163&lt;&gt;"","SIN STOCK ANTES 06/11 · ","")&amp;IF(SAXS!AB163&lt;&gt;"","SKU DUPLICADO",""))</f>
        <v>QUIEBRE: SÍ — stock 0 y Sep cayó (prom Feb-Ago 73) · SIN STOCK ANTES 06/11 ·</v>
      </c>
      <c r="R56" s="42"/>
    </row>
    <row r="57" ht="15.75" customHeight="1">
      <c r="A57" s="23" t="s">
        <v>74</v>
      </c>
      <c r="B57" s="24">
        <v>663.0</v>
      </c>
      <c r="C57" s="24" t="str">
        <f>SAXS!A663</f>
        <v>21262025-9999</v>
      </c>
      <c r="D57" s="24" t="str">
        <f>SAXS!C663</f>
        <v>Set c/respaldo</v>
      </c>
      <c r="E57" s="24" t="str">
        <f>SAXS!D663</f>
        <v>NEGRO</v>
      </c>
      <c r="F57" s="26">
        <f>SAXS!E663</f>
        <v>0</v>
      </c>
      <c r="G57" s="26">
        <f>N(SAXS!F663)+SUM(SAXS!G663:H663)</f>
        <v>0</v>
      </c>
      <c r="H57" s="26">
        <f>SUM(SAXS!I663:M663)+IF(SAXS!$AD$3="SI",SUM(SAXS!N663),0)</f>
        <v>0</v>
      </c>
      <c r="I57" s="26">
        <f>SAXS!P663</f>
        <v>0</v>
      </c>
      <c r="J57" s="26">
        <f>SAXS!X663</f>
        <v>0</v>
      </c>
      <c r="K57" s="26">
        <f>SAXS!AF663</f>
        <v>68.14285714</v>
      </c>
      <c r="L57" s="26">
        <f t="array" ref="L57">IFERROR(AVERAGE(INDEX(Ventas!$C$2:$F$5000,MATCH(C57,Ventas!$A$2:$A$5000,0),0)),"")</f>
        <v>119.25</v>
      </c>
      <c r="M57" s="26">
        <f t="shared" si="1"/>
        <v>273</v>
      </c>
      <c r="N57" s="32">
        <f>SAXS!AG663</f>
        <v>273</v>
      </c>
      <c r="O57" s="26">
        <f t="shared" si="2"/>
        <v>477</v>
      </c>
      <c r="P57" s="34">
        <f t="shared" si="3"/>
        <v>0</v>
      </c>
      <c r="Q57" s="40" t="str">
        <f>TRIM(IF(SAXS!AE663&lt;&gt;"","QUIEBRE: "&amp;SAXS!AE663&amp;" · ","")&amp;IF(SAXS!AC663&lt;&gt;"","CONCENTRADA: "&amp;SAXS!AC663&amp;" · ","")&amp;IF(SAXS!AD663&lt;&gt;"","SIN STOCK ANTES 06/11 · ","")&amp;IF(SAXS!AB663&lt;&gt;"","SKU DUPLICADO",""))</f>
        <v>QUIEBRE: SÍ — stock 0 y Sep cayó (prom Feb-Ago 68) ·</v>
      </c>
      <c r="R57" s="42"/>
    </row>
    <row r="58" ht="15.75" customHeight="1">
      <c r="A58" s="23" t="s">
        <v>74</v>
      </c>
      <c r="B58" s="24">
        <v>426.0</v>
      </c>
      <c r="C58" s="24" t="str">
        <f>SAXS!A426</f>
        <v>0250923-2222</v>
      </c>
      <c r="D58" s="24" t="str">
        <f>SAXS!C426</f>
        <v>JEAN</v>
      </c>
      <c r="E58" s="24" t="str">
        <f>SAXS!D426</f>
        <v>JEAN</v>
      </c>
      <c r="F58" s="26">
        <f>SAXS!E426</f>
        <v>0</v>
      </c>
      <c r="G58" s="26">
        <f>N(SAXS!F426)+SUM(SAXS!G426:H426)</f>
        <v>0</v>
      </c>
      <c r="H58" s="26">
        <f>SUM(SAXS!I426:M426)+IF(SAXS!$AD$3="SI",SUM(SAXS!N426),0)</f>
        <v>0</v>
      </c>
      <c r="I58" s="26">
        <f>SAXS!P426</f>
        <v>0</v>
      </c>
      <c r="J58" s="26">
        <f>SAXS!X426</f>
        <v>12.85</v>
      </c>
      <c r="K58" s="26">
        <f>SAXS!AF426</f>
        <v>64.34285714</v>
      </c>
      <c r="L58" s="26">
        <f t="array" ref="L58">IFERROR(AVERAGE(INDEX(Ventas!$C$2:$F$5000,MATCH(C58,Ventas!$A$2:$A$5000,0),0)),"")</f>
        <v>99.75</v>
      </c>
      <c r="M58" s="26">
        <f t="shared" si="1"/>
        <v>257</v>
      </c>
      <c r="N58" s="32">
        <f>SAXS!AG426</f>
        <v>257</v>
      </c>
      <c r="O58" s="26">
        <f t="shared" si="2"/>
        <v>399</v>
      </c>
      <c r="P58" s="34">
        <f t="shared" si="3"/>
        <v>0</v>
      </c>
      <c r="Q58" s="40" t="str">
        <f>TRIM(IF(SAXS!AE426&lt;&gt;"","QUIEBRE: "&amp;SAXS!AE426&amp;" · ","")&amp;IF(SAXS!AC426&lt;&gt;"","CONCENTRADA: "&amp;SAXS!AC426&amp;" · ","")&amp;IF(SAXS!AD426&lt;&gt;"","SIN STOCK ANTES 06/11 · ","")&amp;IF(SAXS!AB426&lt;&gt;"","SKU DUPLICADO",""))</f>
        <v>QUIEBRE: SÍ — stock 0 y Sep cayó (prom Feb-Ago 64) · SIN STOCK ANTES 06/11 ·</v>
      </c>
      <c r="R58" s="42"/>
    </row>
    <row r="59" ht="15.75" customHeight="1">
      <c r="A59" s="23" t="s">
        <v>74</v>
      </c>
      <c r="B59" s="24">
        <v>72.0</v>
      </c>
      <c r="C59" s="24" t="str">
        <f>SAXS!A72</f>
        <v>285127-0004</v>
      </c>
      <c r="D59" s="24" t="str">
        <f>SAXS!C72</f>
        <v>NAPA</v>
      </c>
      <c r="E59" s="24" t="str">
        <f>SAXS!D72</f>
        <v>BORDO</v>
      </c>
      <c r="F59" s="26">
        <f>SAXS!E72</f>
        <v>0</v>
      </c>
      <c r="G59" s="26">
        <f>N(SAXS!F72)+SUM(SAXS!G72:H72)</f>
        <v>0</v>
      </c>
      <c r="H59" s="26">
        <f>SUM(SAXS!I72:M72)+IF(SAXS!$AD$3="SI",SUM(SAXS!N72),0)</f>
        <v>1500</v>
      </c>
      <c r="I59" s="26">
        <f>SAXS!P72</f>
        <v>1500</v>
      </c>
      <c r="J59" s="26">
        <f>SAXS!X72</f>
        <v>232.5</v>
      </c>
      <c r="K59" s="26">
        <f>SAXS!AF72</f>
        <v>434.5714286</v>
      </c>
      <c r="L59" s="26">
        <f t="array" ref="L59">IFERROR(AVERAGE(INDEX(Ventas!$C$2:$F$5000,MATCH(C59,Ventas!$A$2:$A$5000,0),0)),"")</f>
        <v>528</v>
      </c>
      <c r="M59" s="26">
        <f t="shared" si="1"/>
        <v>1738</v>
      </c>
      <c r="N59" s="32">
        <f>SAXS!AG72</f>
        <v>238</v>
      </c>
      <c r="O59" s="26">
        <f t="shared" si="2"/>
        <v>612</v>
      </c>
      <c r="P59" s="34">
        <f t="shared" si="3"/>
        <v>3.5</v>
      </c>
      <c r="Q59" s="40" t="str">
        <f>TRIM(IF(SAXS!AE72&lt;&gt;"","QUIEBRE: "&amp;SAXS!AE72&amp;" · ","")&amp;IF(SAXS!AC72&lt;&gt;"","CONCENTRADA: "&amp;SAXS!AC72&amp;" · ","")&amp;IF(SAXS!AD72&lt;&gt;"","SIN STOCK ANTES 06/11 · ","")&amp;IF(SAXS!AB72&lt;&gt;"","SKU DUPLICADO",""))</f>
        <v>QUIEBRE: SÍ — stock 0 y Sep cayó (prom Feb-Ago 435) · SIN STOCK ANTES 06/11 ·</v>
      </c>
      <c r="R59" s="42"/>
    </row>
    <row r="60" ht="15.75" customHeight="1">
      <c r="A60" s="23" t="s">
        <v>74</v>
      </c>
      <c r="B60" s="24">
        <v>462.0</v>
      </c>
      <c r="C60" s="24" t="str">
        <f>SAXS!A462</f>
        <v>544923-9999</v>
      </c>
      <c r="D60" s="24" t="str">
        <f>SAXS!C462</f>
        <v>MONTREAL</v>
      </c>
      <c r="E60" s="24" t="str">
        <f>SAXS!D462</f>
        <v>NEGRO</v>
      </c>
      <c r="F60" s="26">
        <f>SAXS!E462</f>
        <v>50</v>
      </c>
      <c r="G60" s="26">
        <f>N(SAXS!F462)+SUM(SAXS!G462:H462)</f>
        <v>0</v>
      </c>
      <c r="H60" s="26">
        <f>SUM(SAXS!I462:M462)+IF(SAXS!$AD$3="SI",SUM(SAXS!N462),0)</f>
        <v>0</v>
      </c>
      <c r="I60" s="26">
        <f>SAXS!P462</f>
        <v>50</v>
      </c>
      <c r="J60" s="26">
        <f>SAXS!X462</f>
        <v>68.25</v>
      </c>
      <c r="K60" s="26">
        <f>SAXS!AF462</f>
        <v>68.25</v>
      </c>
      <c r="L60" s="26">
        <f t="array" ref="L60">IFERROR(AVERAGE(INDEX(Ventas!$C$2:$F$5000,MATCH(C60,Ventas!$A$2:$A$5000,0),0)),"")</f>
        <v>37.5</v>
      </c>
      <c r="M60" s="26">
        <f t="shared" si="1"/>
        <v>273</v>
      </c>
      <c r="N60" s="32">
        <f>SAXS!AG462</f>
        <v>223</v>
      </c>
      <c r="O60" s="26">
        <f t="shared" si="2"/>
        <v>100</v>
      </c>
      <c r="P60" s="34">
        <f t="shared" si="3"/>
        <v>0.7</v>
      </c>
      <c r="Q60" s="40" t="str">
        <f>TRIM(IF(SAXS!AE462&lt;&gt;"","QUIEBRE: "&amp;SAXS!AE462&amp;" · ","")&amp;IF(SAXS!AC462&lt;&gt;"","CONCENTRADA: "&amp;SAXS!AC462&amp;" · ","")&amp;IF(SAXS!AD462&lt;&gt;"","SIN STOCK ANTES 06/11 · ","")&amp;IF(SAXS!AB462&lt;&gt;"","SKU DUPLICADO",""))</f>
        <v/>
      </c>
      <c r="R60" s="42"/>
    </row>
    <row r="61" ht="15.75" customHeight="1">
      <c r="A61" s="23" t="s">
        <v>74</v>
      </c>
      <c r="B61" s="24">
        <v>456.0</v>
      </c>
      <c r="C61" s="24" t="str">
        <f>SAXS!A456</f>
        <v>407923-0045</v>
      </c>
      <c r="D61" s="24" t="str">
        <f>SAXS!C456</f>
        <v>DOBLE FRONTURA</v>
      </c>
      <c r="E61" s="24" t="str">
        <f>SAXS!D456</f>
        <v>GRIS</v>
      </c>
      <c r="F61" s="26">
        <f>SAXS!E456</f>
        <v>150</v>
      </c>
      <c r="G61" s="26">
        <f>N(SAXS!F456)+SUM(SAXS!G456:H456)</f>
        <v>0</v>
      </c>
      <c r="H61" s="26">
        <f>SUM(SAXS!I456:M456)+IF(SAXS!$AD$3="SI",SUM(SAXS!N456),0)</f>
        <v>0</v>
      </c>
      <c r="I61" s="26">
        <f>SAXS!P456</f>
        <v>150</v>
      </c>
      <c r="J61" s="26">
        <f>SAXS!X456</f>
        <v>50</v>
      </c>
      <c r="K61" s="26">
        <f>SAXS!AF456</f>
        <v>50</v>
      </c>
      <c r="L61" s="26">
        <f t="array" ref="L61">IFERROR(AVERAGE(INDEX(Ventas!$C$2:$F$5000,MATCH(C61,Ventas!$A$2:$A$5000,0),0)),"")</f>
        <v>74</v>
      </c>
      <c r="M61" s="26">
        <f t="shared" si="1"/>
        <v>200</v>
      </c>
      <c r="N61" s="32">
        <f>SAXS!AG456</f>
        <v>50</v>
      </c>
      <c r="O61" s="26">
        <f t="shared" si="2"/>
        <v>146</v>
      </c>
      <c r="P61" s="34">
        <f t="shared" si="3"/>
        <v>3</v>
      </c>
      <c r="Q61" s="40" t="str">
        <f>TRIM(IF(SAXS!AE456&lt;&gt;"","QUIEBRE: "&amp;SAXS!AE456&amp;" · ","")&amp;IF(SAXS!AC456&lt;&gt;"","CONCENTRADA: "&amp;SAXS!AC456&amp;" · ","")&amp;IF(SAXS!AD456&lt;&gt;"","SIN STOCK ANTES 06/11 · ","")&amp;IF(SAXS!AB456&lt;&gt;"","SKU DUPLICADO",""))</f>
        <v/>
      </c>
      <c r="R61" s="42"/>
    </row>
    <row r="62" ht="15.75" customHeight="1">
      <c r="A62" s="23" t="s">
        <v>74</v>
      </c>
      <c r="B62" s="24">
        <v>87.0</v>
      </c>
      <c r="C62" s="24" t="str">
        <f>SAXS!A87</f>
        <v>027923-0002</v>
      </c>
      <c r="D62" s="24" t="str">
        <f>SAXS!C87</f>
        <v>TEXA</v>
      </c>
      <c r="E62" s="24" t="str">
        <f>SAXS!D87</f>
        <v>AZUL</v>
      </c>
      <c r="F62" s="26">
        <f>SAXS!E87</f>
        <v>320</v>
      </c>
      <c r="G62" s="26">
        <f>N(SAXS!F87)+SUM(SAXS!G87:H87)</f>
        <v>0</v>
      </c>
      <c r="H62" s="26">
        <f>SUM(SAXS!I87:M87)+IF(SAXS!$AD$3="SI",SUM(SAXS!N87),0)</f>
        <v>0</v>
      </c>
      <c r="I62" s="26">
        <f>SAXS!P87</f>
        <v>320</v>
      </c>
      <c r="J62" s="26">
        <f>SAXS!X87</f>
        <v>90</v>
      </c>
      <c r="K62" s="26">
        <f>SAXS!AF87</f>
        <v>90</v>
      </c>
      <c r="L62" s="26">
        <f t="array" ref="L62">IFERROR(AVERAGE(INDEX(Ventas!$C$2:$F$5000,MATCH(C62,Ventas!$A$2:$A$5000,0),0)),"")</f>
        <v>201.375</v>
      </c>
      <c r="M62" s="26">
        <f t="shared" si="1"/>
        <v>360</v>
      </c>
      <c r="N62" s="32">
        <f>SAXS!AG87</f>
        <v>40</v>
      </c>
      <c r="O62" s="26">
        <f t="shared" si="2"/>
        <v>486</v>
      </c>
      <c r="P62" s="34">
        <f t="shared" si="3"/>
        <v>3.6</v>
      </c>
      <c r="Q62" s="40" t="str">
        <f>TRIM(IF(SAXS!AE87&lt;&gt;"","QUIEBRE: "&amp;SAXS!AE87&amp;" · ","")&amp;IF(SAXS!AC87&lt;&gt;"","CONCENTRADA: "&amp;SAXS!AC87&amp;" · ","")&amp;IF(SAXS!AD87&lt;&gt;"","SIN STOCK ANTES 06/11 · ","")&amp;IF(SAXS!AB87&lt;&gt;"","SKU DUPLICADO",""))</f>
        <v/>
      </c>
      <c r="R62" s="42"/>
    </row>
    <row r="63" ht="15.75" customHeight="1">
      <c r="A63" s="75" t="s">
        <v>1652</v>
      </c>
      <c r="B63" s="24">
        <v>219.0</v>
      </c>
      <c r="C63" s="24" t="str">
        <f>SAXS!A219</f>
        <v>130923-9999</v>
      </c>
      <c r="D63" s="24" t="str">
        <f>SAXS!C219</f>
        <v>FLOTTER  CHICO ( Tormes )</v>
      </c>
      <c r="E63" s="24" t="str">
        <f>SAXS!D219</f>
        <v>Negro</v>
      </c>
      <c r="F63" s="26">
        <f>SAXS!E219</f>
        <v>2150</v>
      </c>
      <c r="G63" s="26">
        <f>N(SAXS!F219)+SUM(SAXS!G219:H219)</f>
        <v>0</v>
      </c>
      <c r="H63" s="26">
        <f>SUM(SAXS!I219:M219)+IF(SAXS!$AD$3="SI",SUM(SAXS!N219),0)</f>
        <v>0</v>
      </c>
      <c r="I63" s="26">
        <f>SAXS!P219</f>
        <v>2150</v>
      </c>
      <c r="J63" s="26">
        <f>SAXS!X219</f>
        <v>862</v>
      </c>
      <c r="K63" s="26">
        <f>SAXS!AF219</f>
        <v>862</v>
      </c>
      <c r="L63" s="26">
        <f t="array" ref="L63">IFERROR(AVERAGE(INDEX(Ventas!$C$2:$F$5000,MATCH(C63,Ventas!$A$2:$A$5000,0),0)),"")</f>
        <v>37.5</v>
      </c>
      <c r="M63" s="26">
        <f t="shared" si="1"/>
        <v>3448</v>
      </c>
      <c r="N63" s="32">
        <f>SAXS!AG219</f>
        <v>1298</v>
      </c>
      <c r="O63" s="26">
        <f t="shared" si="2"/>
        <v>-2000</v>
      </c>
      <c r="P63" s="34">
        <f t="shared" si="3"/>
        <v>2.5</v>
      </c>
      <c r="Q63" s="40" t="str">
        <f>TRIM(IF(SAXS!AE219&lt;&gt;"","QUIEBRE: "&amp;SAXS!AE219&amp;" · ","")&amp;IF(SAXS!AC219&lt;&gt;"","CONCENTRADA: "&amp;SAXS!AC219&amp;" · ","")&amp;IF(SAXS!AD219&lt;&gt;"","SIN STOCK ANTES 06/11 · ","")&amp;IF(SAXS!AB219&lt;&gt;"","SKU DUPLICADO",""))</f>
        <v/>
      </c>
      <c r="R63" s="42"/>
    </row>
    <row r="64" ht="15.75" customHeight="1">
      <c r="A64" s="75" t="s">
        <v>1652</v>
      </c>
      <c r="B64" s="24">
        <v>446.0</v>
      </c>
      <c r="C64" s="24" t="str">
        <f>SAXS!A446</f>
        <v>112923-0032</v>
      </c>
      <c r="D64" s="24" t="str">
        <f>SAXS!C446</f>
        <v>RAFIA</v>
      </c>
      <c r="E64" s="24" t="str">
        <f>SAXS!D446</f>
        <v>NILO NATURAL</v>
      </c>
      <c r="F64" s="26">
        <f>SAXS!E446</f>
        <v>830</v>
      </c>
      <c r="G64" s="26">
        <f>N(SAXS!F446)+SUM(SAXS!G446:H446)</f>
        <v>0</v>
      </c>
      <c r="H64" s="26">
        <f>SUM(SAXS!I446:M446)+IF(SAXS!$AD$3="SI",SUM(SAXS!N446),0)</f>
        <v>0</v>
      </c>
      <c r="I64" s="26">
        <f>SAXS!P446</f>
        <v>830</v>
      </c>
      <c r="J64" s="26">
        <f>SAXS!X446</f>
        <v>417.25</v>
      </c>
      <c r="K64" s="26">
        <f>SAXS!AF446</f>
        <v>417.25</v>
      </c>
      <c r="L64" s="26">
        <f t="array" ref="L64">IFERROR(AVERAGE(INDEX(Ventas!$C$2:$F$5000,MATCH(C64,Ventas!$A$2:$A$5000,0),0)),"")</f>
        <v>73.75</v>
      </c>
      <c r="M64" s="26">
        <f t="shared" si="1"/>
        <v>1669</v>
      </c>
      <c r="N64" s="32">
        <f>SAXS!AG446</f>
        <v>839</v>
      </c>
      <c r="O64" s="26">
        <f t="shared" si="2"/>
        <v>-535</v>
      </c>
      <c r="P64" s="34">
        <f t="shared" si="3"/>
        <v>2</v>
      </c>
      <c r="Q64" s="40" t="str">
        <f>TRIM(IF(SAXS!AE446&lt;&gt;"","QUIEBRE: "&amp;SAXS!AE446&amp;" · ","")&amp;IF(SAXS!AC446&lt;&gt;"","CONCENTRADA: "&amp;SAXS!AC446&amp;" · ","")&amp;IF(SAXS!AD446&lt;&gt;"","SIN STOCK ANTES 06/11 · ","")&amp;IF(SAXS!AB446&lt;&gt;"","SKU DUPLICADO",""))</f>
        <v/>
      </c>
      <c r="R64" s="42"/>
    </row>
    <row r="65" ht="15.75" customHeight="1">
      <c r="A65" s="75" t="s">
        <v>1652</v>
      </c>
      <c r="B65" s="24">
        <v>147.0</v>
      </c>
      <c r="C65" s="24" t="str">
        <f>SAXS!A147</f>
        <v>406923-0191</v>
      </c>
      <c r="D65" s="24" t="str">
        <f>SAXS!C147</f>
        <v>COSTURADO</v>
      </c>
      <c r="E65" s="24" t="str">
        <f>SAXS!D147</f>
        <v>BLANCO OPTICO</v>
      </c>
      <c r="F65" s="26">
        <f>SAXS!E147</f>
        <v>324</v>
      </c>
      <c r="G65" s="26">
        <f>N(SAXS!F147)+SUM(SAXS!G147:H147)</f>
        <v>0</v>
      </c>
      <c r="H65" s="26">
        <f>SUM(SAXS!I147:M147)+IF(SAXS!$AD$3="SI",SUM(SAXS!N147),0)</f>
        <v>0</v>
      </c>
      <c r="I65" s="26">
        <f>SAXS!P147</f>
        <v>324</v>
      </c>
      <c r="J65" s="26">
        <f>SAXS!X147</f>
        <v>271.6</v>
      </c>
      <c r="K65" s="26">
        <f>SAXS!AF147</f>
        <v>271.6</v>
      </c>
      <c r="L65" s="26">
        <f t="array" ref="L65">IFERROR(AVERAGE(INDEX(Ventas!$C$2:$F$5000,MATCH(C65,Ventas!$A$2:$A$5000,0),0)),"")</f>
        <v>75</v>
      </c>
      <c r="M65" s="26">
        <f t="shared" si="1"/>
        <v>1086</v>
      </c>
      <c r="N65" s="32">
        <f>SAXS!AG147</f>
        <v>762</v>
      </c>
      <c r="O65" s="26">
        <f t="shared" si="2"/>
        <v>-24</v>
      </c>
      <c r="P65" s="34">
        <f t="shared" si="3"/>
        <v>1.2</v>
      </c>
      <c r="Q65" s="40" t="str">
        <f>TRIM(IF(SAXS!AE147&lt;&gt;"","QUIEBRE: "&amp;SAXS!AE147&amp;" · ","")&amp;IF(SAXS!AC147&lt;&gt;"","CONCENTRADA: "&amp;SAXS!AC147&amp;" · ","")&amp;IF(SAXS!AD147&lt;&gt;"","SIN STOCK ANTES 06/11 · ","")&amp;IF(SAXS!AB147&lt;&gt;"","SKU DUPLICADO",""))</f>
        <v/>
      </c>
      <c r="R65" s="42"/>
    </row>
    <row r="66" ht="15.75" customHeight="1">
      <c r="A66" s="75" t="s">
        <v>1652</v>
      </c>
      <c r="B66" s="24">
        <v>47.0</v>
      </c>
      <c r="C66" s="24" t="str">
        <f>SAXS!A47</f>
        <v>394923-0000</v>
      </c>
      <c r="D66" s="24" t="str">
        <f>SAXS!C47</f>
        <v>TOKIO</v>
      </c>
      <c r="E66" s="24" t="str">
        <f>SAXS!D47</f>
        <v>BLANCO</v>
      </c>
      <c r="F66" s="26">
        <f>SAXS!E47</f>
        <v>851</v>
      </c>
      <c r="G66" s="26">
        <f>N(SAXS!F47)+SUM(SAXS!G47:H47)</f>
        <v>0</v>
      </c>
      <c r="H66" s="26">
        <f>SUM(SAXS!I47:M47)+IF(SAXS!$AD$3="SI",SUM(SAXS!N47),0)</f>
        <v>1097</v>
      </c>
      <c r="I66" s="26">
        <f>SAXS!P47</f>
        <v>1948</v>
      </c>
      <c r="J66" s="26">
        <f>SAXS!X47</f>
        <v>656.5</v>
      </c>
      <c r="K66" s="26">
        <f>SAXS!AF47</f>
        <v>656.5</v>
      </c>
      <c r="L66" s="26">
        <f t="array" ref="L66">IFERROR(AVERAGE(INDEX(Ventas!$C$2:$F$5000,MATCH(C66,Ventas!$A$2:$A$5000,0),0)),"")</f>
        <v>416</v>
      </c>
      <c r="M66" s="26">
        <f t="shared" si="1"/>
        <v>2626</v>
      </c>
      <c r="N66" s="32">
        <f>SAXS!AG47</f>
        <v>678</v>
      </c>
      <c r="O66" s="26">
        <f t="shared" si="2"/>
        <v>-284</v>
      </c>
      <c r="P66" s="34">
        <f t="shared" si="3"/>
        <v>3</v>
      </c>
      <c r="Q66" s="40" t="str">
        <f>TRIM(IF(SAXS!AE47&lt;&gt;"","QUIEBRE: "&amp;SAXS!AE47&amp;" · ","")&amp;IF(SAXS!AC47&lt;&gt;"","CONCENTRADA: "&amp;SAXS!AC47&amp;" · ","")&amp;IF(SAXS!AD47&lt;&gt;"","SIN STOCK ANTES 06/11 · ","")&amp;IF(SAXS!AB47&lt;&gt;"","SKU DUPLICADO",""))</f>
        <v/>
      </c>
      <c r="R66" s="42"/>
    </row>
    <row r="67" ht="15.75" customHeight="1">
      <c r="A67" s="75" t="s">
        <v>1652</v>
      </c>
      <c r="B67" s="24">
        <v>449.0</v>
      </c>
      <c r="C67" s="24" t="str">
        <f>SAXS!A449</f>
        <v>111923-9999</v>
      </c>
      <c r="D67" s="24" t="str">
        <f>SAXS!C449</f>
        <v>RAFIA</v>
      </c>
      <c r="E67" s="24" t="str">
        <f>SAXS!D449</f>
        <v>NEGRO</v>
      </c>
      <c r="F67" s="26">
        <f>SAXS!E449</f>
        <v>196</v>
      </c>
      <c r="G67" s="26">
        <f>N(SAXS!F449)+SUM(SAXS!G449:H449)</f>
        <v>0</v>
      </c>
      <c r="H67" s="26">
        <f>SUM(SAXS!I449:M449)+IF(SAXS!$AD$3="SI",SUM(SAXS!N449),0)</f>
        <v>0</v>
      </c>
      <c r="I67" s="26">
        <f>SAXS!P449</f>
        <v>196</v>
      </c>
      <c r="J67" s="26">
        <f>SAXS!X449</f>
        <v>208</v>
      </c>
      <c r="K67" s="26">
        <f>SAXS!AF449</f>
        <v>208</v>
      </c>
      <c r="L67" s="26">
        <f t="array" ref="L67">IFERROR(AVERAGE(INDEX(Ventas!$C$2:$F$5000,MATCH(C67,Ventas!$A$2:$A$5000,0),0)),"")</f>
        <v>10.25</v>
      </c>
      <c r="M67" s="26">
        <f t="shared" si="1"/>
        <v>832</v>
      </c>
      <c r="N67" s="32">
        <f>SAXS!AG449</f>
        <v>636</v>
      </c>
      <c r="O67" s="26">
        <f t="shared" si="2"/>
        <v>-155</v>
      </c>
      <c r="P67" s="34">
        <f t="shared" si="3"/>
        <v>0.9</v>
      </c>
      <c r="Q67" s="40" t="str">
        <f>TRIM(IF(SAXS!AE449&lt;&gt;"","QUIEBRE: "&amp;SAXS!AE449&amp;" · ","")&amp;IF(SAXS!AC449&lt;&gt;"","CONCENTRADA: "&amp;SAXS!AC449&amp;" · ","")&amp;IF(SAXS!AD449&lt;&gt;"","SIN STOCK ANTES 06/11 · ","")&amp;IF(SAXS!AB449&lt;&gt;"","SKU DUPLICADO",""))</f>
        <v/>
      </c>
      <c r="R67" s="42"/>
    </row>
    <row r="68" ht="15.75" customHeight="1">
      <c r="A68" s="75" t="s">
        <v>1652</v>
      </c>
      <c r="B68" s="24">
        <v>57.0</v>
      </c>
      <c r="C68" s="24" t="str">
        <f>SAXS!A57</f>
        <v>285127-0000</v>
      </c>
      <c r="D68" s="24" t="str">
        <f>SAXS!C57</f>
        <v>NAPA</v>
      </c>
      <c r="E68" s="24" t="str">
        <f>SAXS!D57</f>
        <v>BLANCO</v>
      </c>
      <c r="F68" s="26">
        <f>SAXS!E57</f>
        <v>328</v>
      </c>
      <c r="G68" s="26">
        <f>N(SAXS!F57)+SUM(SAXS!G57:H57)</f>
        <v>0</v>
      </c>
      <c r="H68" s="26">
        <f>SUM(SAXS!I57:M57)+IF(SAXS!$AD$3="SI",SUM(SAXS!N57),0)</f>
        <v>4000</v>
      </c>
      <c r="I68" s="26">
        <f>SAXS!P57</f>
        <v>4328</v>
      </c>
      <c r="J68" s="26">
        <f>SAXS!X57</f>
        <v>1239.75</v>
      </c>
      <c r="K68" s="26">
        <f>SAXS!AF57</f>
        <v>1239.75</v>
      </c>
      <c r="L68" s="26">
        <f t="array" ref="L68">IFERROR(AVERAGE(INDEX(Ventas!$C$2:$F$5000,MATCH(C68,Ventas!$A$2:$A$5000,0),0)),"")</f>
        <v>528</v>
      </c>
      <c r="M68" s="26">
        <f t="shared" si="1"/>
        <v>4959</v>
      </c>
      <c r="N68" s="32">
        <f>SAXS!AG57</f>
        <v>631</v>
      </c>
      <c r="O68" s="26">
        <f t="shared" si="2"/>
        <v>-2216</v>
      </c>
      <c r="P68" s="34">
        <f t="shared" si="3"/>
        <v>3.5</v>
      </c>
      <c r="Q68" s="40" t="str">
        <f>TRIM(IF(SAXS!AE57&lt;&gt;"","QUIEBRE: "&amp;SAXS!AE57&amp;" · ","")&amp;IF(SAXS!AC57&lt;&gt;"","CONCENTRADA: "&amp;SAXS!AC57&amp;" · ","")&amp;IF(SAXS!AD57&lt;&gt;"","SIN STOCK ANTES 06/11 · ","")&amp;IF(SAXS!AB57&lt;&gt;"","SKU DUPLICADO",""))</f>
        <v>SIN STOCK ANTES 06/11 ·</v>
      </c>
      <c r="R68" s="42"/>
    </row>
    <row r="69" ht="15.75" customHeight="1">
      <c r="A69" s="75" t="s">
        <v>1652</v>
      </c>
      <c r="B69" s="24">
        <v>233.0</v>
      </c>
      <c r="C69" s="24" t="str">
        <f>SAXS!A233</f>
        <v>282127-0030</v>
      </c>
      <c r="D69" s="24" t="str">
        <f>SAXS!C233</f>
        <v>NAPA MET</v>
      </c>
      <c r="E69" s="24" t="str">
        <f>SAXS!D233</f>
        <v> PLATA</v>
      </c>
      <c r="F69" s="26">
        <f>SAXS!E233</f>
        <v>784</v>
      </c>
      <c r="G69" s="26">
        <f>N(SAXS!F233)+SUM(SAXS!G233:H233)</f>
        <v>0</v>
      </c>
      <c r="H69" s="26">
        <f>SUM(SAXS!I233:M233)+IF(SAXS!$AD$3="SI",SUM(SAXS!N233),0)</f>
        <v>1500</v>
      </c>
      <c r="I69" s="26">
        <f>SAXS!P233</f>
        <v>2284</v>
      </c>
      <c r="J69" s="26">
        <f>SAXS!X233</f>
        <v>701.425</v>
      </c>
      <c r="K69" s="26">
        <f>SAXS!AF233</f>
        <v>701.425</v>
      </c>
      <c r="L69" s="26">
        <f t="array" ref="L69">IFERROR(AVERAGE(INDEX(Ventas!$C$2:$F$5000,MATCH(C69,Ventas!$A$2:$A$5000,0),0)),"")</f>
        <v>101.75</v>
      </c>
      <c r="M69" s="26">
        <f t="shared" si="1"/>
        <v>2806</v>
      </c>
      <c r="N69" s="32">
        <f>SAXS!AG233</f>
        <v>522</v>
      </c>
      <c r="O69" s="26">
        <f t="shared" si="2"/>
        <v>-1877</v>
      </c>
      <c r="P69" s="34">
        <f t="shared" si="3"/>
        <v>3.3</v>
      </c>
      <c r="Q69" s="40" t="str">
        <f>TRIM(IF(SAXS!AE233&lt;&gt;"","QUIEBRE: "&amp;SAXS!AE233&amp;" · ","")&amp;IF(SAXS!AC233&lt;&gt;"","CONCENTRADA: "&amp;SAXS!AC233&amp;" · ","")&amp;IF(SAXS!AD233&lt;&gt;"","SIN STOCK ANTES 06/11 · ","")&amp;IF(SAXS!AB233&lt;&gt;"","SKU DUPLICADO",""))</f>
        <v/>
      </c>
      <c r="R69" s="42"/>
    </row>
    <row r="70" ht="15.75" customHeight="1">
      <c r="A70" s="75" t="s">
        <v>1652</v>
      </c>
      <c r="B70" s="24">
        <v>217.0</v>
      </c>
      <c r="C70" s="24" t="str">
        <f>SAXS!A217</f>
        <v>132127-0010</v>
      </c>
      <c r="D70" s="24" t="str">
        <f>SAXS!C217</f>
        <v>FLOTTER</v>
      </c>
      <c r="E70" s="24" t="str">
        <f>SAXS!D217</f>
        <v>CHOCOLATE</v>
      </c>
      <c r="F70" s="26">
        <f>SAXS!E217</f>
        <v>1751</v>
      </c>
      <c r="G70" s="26">
        <f>N(SAXS!F217)+SUM(SAXS!G217:H217)</f>
        <v>0</v>
      </c>
      <c r="H70" s="26">
        <f>SUM(SAXS!I217:M217)+IF(SAXS!$AD$3="SI",SUM(SAXS!N217),0)</f>
        <v>0</v>
      </c>
      <c r="I70" s="26">
        <f>SAXS!P217</f>
        <v>1751</v>
      </c>
      <c r="J70" s="26">
        <f>SAXS!X217</f>
        <v>557.5</v>
      </c>
      <c r="K70" s="26">
        <f>SAXS!AF217</f>
        <v>557.5</v>
      </c>
      <c r="L70" s="26">
        <f t="array" ref="L70">IFERROR(AVERAGE(INDEX(Ventas!$C$2:$F$5000,MATCH(C70,Ventas!$A$2:$A$5000,0),0)),"")</f>
        <v>265.5</v>
      </c>
      <c r="M70" s="26">
        <f t="shared" si="1"/>
        <v>2230</v>
      </c>
      <c r="N70" s="32">
        <f>SAXS!AG217</f>
        <v>479</v>
      </c>
      <c r="O70" s="26">
        <f t="shared" si="2"/>
        <v>-689</v>
      </c>
      <c r="P70" s="34">
        <f t="shared" si="3"/>
        <v>3.1</v>
      </c>
      <c r="Q70" s="40" t="str">
        <f>TRIM(IF(SAXS!AE217&lt;&gt;"","QUIEBRE: "&amp;SAXS!AE217&amp;" · ","")&amp;IF(SAXS!AC217&lt;&gt;"","CONCENTRADA: "&amp;SAXS!AC217&amp;" · ","")&amp;IF(SAXS!AD217&lt;&gt;"","SIN STOCK ANTES 06/11 · ","")&amp;IF(SAXS!AB217&lt;&gt;"","SKU DUPLICADO",""))</f>
        <v/>
      </c>
      <c r="R70" s="42"/>
    </row>
    <row r="71" ht="15.75" customHeight="1">
      <c r="A71" s="75" t="s">
        <v>1652</v>
      </c>
      <c r="B71" s="24">
        <v>451.0</v>
      </c>
      <c r="C71" s="24" t="str">
        <f>SAXS!A451</f>
        <v>112923-0010</v>
      </c>
      <c r="D71" s="24" t="str">
        <f>SAXS!C451</f>
        <v>RAFIA</v>
      </c>
      <c r="E71" s="24" t="str">
        <f>SAXS!D451</f>
        <v>NILO CHOCOLATE</v>
      </c>
      <c r="F71" s="26">
        <f>SAXS!E451</f>
        <v>150</v>
      </c>
      <c r="G71" s="26">
        <f>N(SAXS!F451)+SUM(SAXS!G451:H451)</f>
        <v>0</v>
      </c>
      <c r="H71" s="26">
        <f>SUM(SAXS!I451:M451)+IF(SAXS!$AD$3="SI",SUM(SAXS!N451),0)</f>
        <v>1000</v>
      </c>
      <c r="I71" s="26">
        <f>SAXS!P451</f>
        <v>1150</v>
      </c>
      <c r="J71" s="26">
        <f>SAXS!X451</f>
        <v>355.85</v>
      </c>
      <c r="K71" s="26">
        <f>SAXS!AF451</f>
        <v>355.85</v>
      </c>
      <c r="L71" s="26">
        <f t="array" ref="L71">IFERROR(AVERAGE(INDEX(Ventas!$C$2:$F$5000,MATCH(C71,Ventas!$A$2:$A$5000,0),0)),"")</f>
        <v>63.5</v>
      </c>
      <c r="M71" s="26">
        <f t="shared" si="1"/>
        <v>1423</v>
      </c>
      <c r="N71" s="32">
        <f>SAXS!AG451</f>
        <v>273</v>
      </c>
      <c r="O71" s="26">
        <f t="shared" si="2"/>
        <v>-896</v>
      </c>
      <c r="P71" s="34">
        <f t="shared" si="3"/>
        <v>3.2</v>
      </c>
      <c r="Q71" s="40" t="str">
        <f>TRIM(IF(SAXS!AE451&lt;&gt;"","QUIEBRE: "&amp;SAXS!AE451&amp;" · ","")&amp;IF(SAXS!AC451&lt;&gt;"","CONCENTRADA: "&amp;SAXS!AC451&amp;" · ","")&amp;IF(SAXS!AD451&lt;&gt;"","SIN STOCK ANTES 06/11 · ","")&amp;IF(SAXS!AB451&lt;&gt;"","SKU DUPLICADO",""))</f>
        <v>SIN STOCK ANTES 06/11 ·</v>
      </c>
      <c r="R71" s="42"/>
    </row>
    <row r="72" ht="15.75" customHeight="1">
      <c r="A72" s="75" t="s">
        <v>1652</v>
      </c>
      <c r="B72" s="24">
        <v>67.0</v>
      </c>
      <c r="C72" s="24" t="str">
        <f>SAXS!A67</f>
        <v>285127-0003</v>
      </c>
      <c r="D72" s="24" t="str">
        <f>SAXS!C67</f>
        <v>NAPA</v>
      </c>
      <c r="E72" s="24" t="str">
        <f>SAXS!D67</f>
        <v>BEIGE</v>
      </c>
      <c r="F72" s="26">
        <f>SAXS!E67</f>
        <v>0</v>
      </c>
      <c r="G72" s="26">
        <f>N(SAXS!F67)+SUM(SAXS!G67:H67)</f>
        <v>0</v>
      </c>
      <c r="H72" s="26">
        <f>SUM(SAXS!I67:M67)+IF(SAXS!$AD$3="SI",SUM(SAXS!N67),0)</f>
        <v>800</v>
      </c>
      <c r="I72" s="26">
        <f>SAXS!P67</f>
        <v>800</v>
      </c>
      <c r="J72" s="26">
        <f>SAXS!X67</f>
        <v>267.75</v>
      </c>
      <c r="K72" s="26">
        <f>SAXS!AF67</f>
        <v>267.75</v>
      </c>
      <c r="L72" s="26">
        <f t="array" ref="L72">IFERROR(AVERAGE(INDEX(Ventas!$C$2:$F$5000,MATCH(C72,Ventas!$A$2:$A$5000,0),0)),"")</f>
        <v>189.5</v>
      </c>
      <c r="M72" s="26">
        <f t="shared" si="1"/>
        <v>1071</v>
      </c>
      <c r="N72" s="32">
        <f>SAXS!AG67</f>
        <v>271</v>
      </c>
      <c r="O72" s="26">
        <f t="shared" si="2"/>
        <v>-42</v>
      </c>
      <c r="P72" s="34">
        <f t="shared" si="3"/>
        <v>3</v>
      </c>
      <c r="Q72" s="40" t="str">
        <f>TRIM(IF(SAXS!AE67&lt;&gt;"","QUIEBRE: "&amp;SAXS!AE67&amp;" · ","")&amp;IF(SAXS!AC67&lt;&gt;"","CONCENTRADA: "&amp;SAXS!AC67&amp;" · ","")&amp;IF(SAXS!AD67&lt;&gt;"","SIN STOCK ANTES 06/11 · ","")&amp;IF(SAXS!AB67&lt;&gt;"","SKU DUPLICADO",""))</f>
        <v>SIN STOCK ANTES 06/11 ·</v>
      </c>
      <c r="R72" s="42"/>
    </row>
    <row r="73" ht="15.75" customHeight="1">
      <c r="A73" s="75" t="s">
        <v>1652</v>
      </c>
      <c r="B73" s="24">
        <v>452.0</v>
      </c>
      <c r="C73" s="24" t="str">
        <f>SAXS!A452</f>
        <v>111923-0010</v>
      </c>
      <c r="D73" s="24" t="str">
        <f>SAXS!C452</f>
        <v>RAFIA</v>
      </c>
      <c r="E73" s="24" t="str">
        <f>SAXS!D452</f>
        <v> CHOCOLATE</v>
      </c>
      <c r="F73" s="26">
        <f>SAXS!E452</f>
        <v>212</v>
      </c>
      <c r="G73" s="26">
        <f>N(SAXS!F452)+SUM(SAXS!G452:H452)</f>
        <v>0</v>
      </c>
      <c r="H73" s="26">
        <f>SUM(SAXS!I452:M452)+IF(SAXS!$AD$3="SI",SUM(SAXS!N452),0)</f>
        <v>0</v>
      </c>
      <c r="I73" s="26">
        <f>SAXS!P452</f>
        <v>212</v>
      </c>
      <c r="J73" s="26">
        <f>SAXS!X452</f>
        <v>105</v>
      </c>
      <c r="K73" s="26">
        <f>SAXS!AF452</f>
        <v>105</v>
      </c>
      <c r="L73" s="26">
        <f t="array" ref="L73">IFERROR(AVERAGE(INDEX(Ventas!$C$2:$F$5000,MATCH(C73,Ventas!$A$2:$A$5000,0),0)),"")</f>
        <v>21.75</v>
      </c>
      <c r="M73" s="26">
        <f t="shared" si="1"/>
        <v>420</v>
      </c>
      <c r="N73" s="32">
        <f>SAXS!AG452</f>
        <v>208</v>
      </c>
      <c r="O73" s="26">
        <f t="shared" si="2"/>
        <v>-125</v>
      </c>
      <c r="P73" s="34">
        <f t="shared" si="3"/>
        <v>2</v>
      </c>
      <c r="Q73" s="40" t="str">
        <f>TRIM(IF(SAXS!AE452&lt;&gt;"","QUIEBRE: "&amp;SAXS!AE452&amp;" · ","")&amp;IF(SAXS!AC452&lt;&gt;"","CONCENTRADA: "&amp;SAXS!AC452&amp;" · ","")&amp;IF(SAXS!AD452&lt;&gt;"","SIN STOCK ANTES 06/11 · ","")&amp;IF(SAXS!AB452&lt;&gt;"","SKU DUPLICADO",""))</f>
        <v/>
      </c>
      <c r="R73" s="42"/>
    </row>
    <row r="74" ht="15.75" customHeight="1">
      <c r="A74" s="75" t="s">
        <v>1652</v>
      </c>
      <c r="B74" s="24">
        <v>232.0</v>
      </c>
      <c r="C74" s="24" t="str">
        <f>SAXS!A232</f>
        <v>282127-0051</v>
      </c>
      <c r="D74" s="24" t="str">
        <f>SAXS!C232</f>
        <v>NAPA MET</v>
      </c>
      <c r="E74" s="24" t="str">
        <f>SAXS!D232</f>
        <v> PLATINO</v>
      </c>
      <c r="F74" s="26">
        <f>SAXS!E232</f>
        <v>496</v>
      </c>
      <c r="G74" s="26">
        <f>N(SAXS!F232)+SUM(SAXS!G232:H232)</f>
        <v>0</v>
      </c>
      <c r="H74" s="26">
        <f>SUM(SAXS!I232:M232)+IF(SAXS!$AD$3="SI",SUM(SAXS!N232),0)</f>
        <v>0</v>
      </c>
      <c r="I74" s="26">
        <f>SAXS!P232</f>
        <v>496</v>
      </c>
      <c r="J74" s="26">
        <f>SAXS!X232</f>
        <v>166</v>
      </c>
      <c r="K74" s="26">
        <f>SAXS!AF232</f>
        <v>166</v>
      </c>
      <c r="L74" s="26">
        <f t="array" ref="L74">IFERROR(AVERAGE(INDEX(Ventas!$C$2:$F$5000,MATCH(C74,Ventas!$A$2:$A$5000,0),0)),"")</f>
        <v>75</v>
      </c>
      <c r="M74" s="26">
        <f t="shared" si="1"/>
        <v>664</v>
      </c>
      <c r="N74" s="32">
        <f>SAXS!AG232</f>
        <v>168</v>
      </c>
      <c r="O74" s="26">
        <f t="shared" si="2"/>
        <v>-196</v>
      </c>
      <c r="P74" s="34">
        <f t="shared" si="3"/>
        <v>3</v>
      </c>
      <c r="Q74" s="40" t="str">
        <f>TRIM(IF(SAXS!AE232&lt;&gt;"","QUIEBRE: "&amp;SAXS!AE232&amp;" · ","")&amp;IF(SAXS!AC232&lt;&gt;"","CONCENTRADA: "&amp;SAXS!AC232&amp;" · ","")&amp;IF(SAXS!AD232&lt;&gt;"","SIN STOCK ANTES 06/11 · ","")&amp;IF(SAXS!AB232&lt;&gt;"","SKU DUPLICADO",""))</f>
        <v/>
      </c>
      <c r="R74" s="42"/>
    </row>
    <row r="75" ht="15.75" customHeight="1">
      <c r="A75" s="75" t="s">
        <v>1652</v>
      </c>
      <c r="B75" s="24">
        <v>95.0</v>
      </c>
      <c r="C75" s="24" t="str">
        <f>SAXS!A95</f>
        <v>027923-0257</v>
      </c>
      <c r="D75" s="24" t="str">
        <f>SAXS!C95</f>
        <v>TEXA</v>
      </c>
      <c r="E75" s="24" t="str">
        <f>SAXS!D95</f>
        <v>PRINT CHOCOL</v>
      </c>
      <c r="F75" s="26">
        <f>SAXS!E95</f>
        <v>50</v>
      </c>
      <c r="G75" s="26">
        <f>N(SAXS!F95)+SUM(SAXS!G95:H95)</f>
        <v>0</v>
      </c>
      <c r="H75" s="26">
        <f>SUM(SAXS!I95:M95)+IF(SAXS!$AD$3="SI",SUM(SAXS!N95),0)</f>
        <v>0</v>
      </c>
      <c r="I75" s="26">
        <f>SAXS!P95</f>
        <v>50</v>
      </c>
      <c r="J75" s="26">
        <f>SAXS!X95</f>
        <v>50</v>
      </c>
      <c r="K75" s="26">
        <f>SAXS!AF95</f>
        <v>50</v>
      </c>
      <c r="L75" s="26">
        <f t="array" ref="L75">IFERROR(AVERAGE(INDEX(Ventas!$C$2:$F$5000,MATCH(C75,Ventas!$A$2:$A$5000,0),0)),"")</f>
        <v>12.5</v>
      </c>
      <c r="M75" s="26">
        <f t="shared" si="1"/>
        <v>200</v>
      </c>
      <c r="N75" s="32">
        <f>SAXS!AG95</f>
        <v>150</v>
      </c>
      <c r="O75" s="26">
        <f t="shared" si="2"/>
        <v>0</v>
      </c>
      <c r="P75" s="34">
        <f t="shared" si="3"/>
        <v>1</v>
      </c>
      <c r="Q75" s="40" t="str">
        <f>TRIM(IF(SAXS!AE95&lt;&gt;"","QUIEBRE: "&amp;SAXS!AE95&amp;" · ","")&amp;IF(SAXS!AC95&lt;&gt;"","CONCENTRADA: "&amp;SAXS!AC95&amp;" · ","")&amp;IF(SAXS!AD95&lt;&gt;"","SIN STOCK ANTES 06/11 · ","")&amp;IF(SAXS!AB95&lt;&gt;"","SKU DUPLICADO",""))</f>
        <v/>
      </c>
      <c r="R75" s="42"/>
    </row>
    <row r="76" ht="15.75" customHeight="1">
      <c r="A76" s="75" t="s">
        <v>1652</v>
      </c>
      <c r="B76" s="24">
        <v>226.0</v>
      </c>
      <c r="C76" s="24" t="str">
        <f>SAXS!A226</f>
        <v>284923-0030</v>
      </c>
      <c r="D76" s="24" t="str">
        <f>SAXS!C226</f>
        <v>NAPA MATE</v>
      </c>
      <c r="E76" s="24" t="str">
        <f>SAXS!D226</f>
        <v> PLATA</v>
      </c>
      <c r="F76" s="26">
        <f>SAXS!E226</f>
        <v>444</v>
      </c>
      <c r="G76" s="26">
        <f>N(SAXS!F226)+SUM(SAXS!G226:H226)</f>
        <v>0</v>
      </c>
      <c r="H76" s="26">
        <f>SUM(SAXS!I226:M226)+IF(SAXS!$AD$3="SI",SUM(SAXS!N226),0)</f>
        <v>0</v>
      </c>
      <c r="I76" s="26">
        <f>SAXS!P226</f>
        <v>444</v>
      </c>
      <c r="J76" s="26">
        <f>SAXS!X226</f>
        <v>126.25</v>
      </c>
      <c r="K76" s="26">
        <f>SAXS!AF226</f>
        <v>126.25</v>
      </c>
      <c r="L76" s="26">
        <f t="array" ref="L76">IFERROR(AVERAGE(INDEX(Ventas!$C$2:$F$5000,MATCH(C76,Ventas!$A$2:$A$5000,0),0)),"")</f>
        <v>63</v>
      </c>
      <c r="M76" s="26">
        <f t="shared" si="1"/>
        <v>505</v>
      </c>
      <c r="N76" s="32">
        <f>SAXS!AG226</f>
        <v>61</v>
      </c>
      <c r="O76" s="26">
        <f t="shared" si="2"/>
        <v>-192</v>
      </c>
      <c r="P76" s="34">
        <f t="shared" si="3"/>
        <v>3.5</v>
      </c>
      <c r="Q76" s="40" t="str">
        <f>TRIM(IF(SAXS!AE226&lt;&gt;"","QUIEBRE: "&amp;SAXS!AE226&amp;" · ","")&amp;IF(SAXS!AC226&lt;&gt;"","CONCENTRADA: "&amp;SAXS!AC226&amp;" · ","")&amp;IF(SAXS!AD226&lt;&gt;"","SIN STOCK ANTES 06/11 · ","")&amp;IF(SAXS!AB226&lt;&gt;"","SKU DUPLICADO",""))</f>
        <v/>
      </c>
      <c r="R76" s="42"/>
    </row>
    <row r="77" ht="15.75" customHeight="1">
      <c r="A77" s="76" t="s">
        <v>2111</v>
      </c>
      <c r="B77" s="24">
        <v>140.0</v>
      </c>
      <c r="C77" s="24" t="str">
        <f>SAXS!A140</f>
        <v>007319-0044</v>
      </c>
      <c r="D77" s="24" t="str">
        <f>SAXS!C140</f>
        <v>ARNO</v>
      </c>
      <c r="E77" s="24" t="str">
        <f>SAXS!D140</f>
        <v>MOCCA</v>
      </c>
      <c r="F77" s="26">
        <f>SAXS!E140</f>
        <v>0</v>
      </c>
      <c r="G77" s="26">
        <f>N(SAXS!F140)+SUM(SAXS!G140:H140)</f>
        <v>0</v>
      </c>
      <c r="H77" s="26">
        <f>SUM(SAXS!I140:M140)+IF(SAXS!$AD$3="SI",SUM(SAXS!N140),0)</f>
        <v>2500</v>
      </c>
      <c r="I77" s="26">
        <f>SAXS!P140</f>
        <v>2500</v>
      </c>
      <c r="J77" s="26">
        <f>SAXS!X140</f>
        <v>1422.625</v>
      </c>
      <c r="K77" s="26">
        <f>SAXS!AF140</f>
        <v>1422.625</v>
      </c>
      <c r="L77" s="26">
        <f t="array" ref="L77">IFERROR(AVERAGE(INDEX(Ventas!$C$2:$F$5000,MATCH(C77,Ventas!$A$2:$A$5000,0),0)),"")</f>
        <v>37.5</v>
      </c>
      <c r="M77" s="26">
        <f t="shared" si="1"/>
        <v>5691</v>
      </c>
      <c r="N77" s="32">
        <f>SAXS!AG140</f>
        <v>3191</v>
      </c>
      <c r="O77" s="26">
        <f t="shared" si="2"/>
        <v>-2350</v>
      </c>
      <c r="P77" s="34">
        <f t="shared" si="3"/>
        <v>1.8</v>
      </c>
      <c r="Q77" s="40" t="str">
        <f>TRIM(IF(SAXS!AE140&lt;&gt;"","QUIEBRE: "&amp;SAXS!AE140&amp;" · ","")&amp;IF(SAXS!AC140&lt;&gt;"","CONCENTRADA: "&amp;SAXS!AC140&amp;" · ","")&amp;IF(SAXS!AD140&lt;&gt;"","SIN STOCK ANTES 06/11 · ","")&amp;IF(SAXS!AB140&lt;&gt;"","SKU DUPLICADO",""))</f>
        <v>CONCENTRADA: 1 mes = 84% de 4 meses · SIN STOCK ANTES 06/11 ·</v>
      </c>
      <c r="R77" s="42"/>
    </row>
    <row r="78" ht="15.75" customHeight="1">
      <c r="A78" s="76" t="s">
        <v>2111</v>
      </c>
      <c r="B78" s="24">
        <v>221.0</v>
      </c>
      <c r="C78" s="24" t="str">
        <f>SAXS!A221</f>
        <v>584923-0273</v>
      </c>
      <c r="D78" s="24" t="str">
        <f>SAXS!C221</f>
        <v>FLOTTER  0,8 MM mediano</v>
      </c>
      <c r="E78" s="24" t="str">
        <f>SAXS!D221</f>
        <v>negro</v>
      </c>
      <c r="F78" s="26">
        <f>SAXS!E221</f>
        <v>0</v>
      </c>
      <c r="G78" s="26">
        <f>N(SAXS!F221)+SUM(SAXS!G221:H221)</f>
        <v>0</v>
      </c>
      <c r="H78" s="26">
        <f>SUM(SAXS!I221:M221)+IF(SAXS!$AD$3="SI",SUM(SAXS!N221),0)</f>
        <v>0</v>
      </c>
      <c r="I78" s="26">
        <f>SAXS!P221</f>
        <v>0</v>
      </c>
      <c r="J78" s="26">
        <f>SAXS!X221</f>
        <v>788.75</v>
      </c>
      <c r="K78" s="26">
        <f>SAXS!AF221</f>
        <v>788.75</v>
      </c>
      <c r="L78" s="26">
        <f t="array" ref="L78">IFERROR(AVERAGE(INDEX(Ventas!$C$2:$F$5000,MATCH(C78,Ventas!$A$2:$A$5000,0),0)),"")</f>
        <v>187.5</v>
      </c>
      <c r="M78" s="26">
        <f t="shared" si="1"/>
        <v>3155</v>
      </c>
      <c r="N78" s="32">
        <f>SAXS!AG221</f>
        <v>3155</v>
      </c>
      <c r="O78" s="26">
        <f t="shared" si="2"/>
        <v>750</v>
      </c>
      <c r="P78" s="34">
        <f t="shared" si="3"/>
        <v>0</v>
      </c>
      <c r="Q78" s="40" t="str">
        <f>TRIM(IF(SAXS!AE221&lt;&gt;"","QUIEBRE: "&amp;SAXS!AE221&amp;" · ","")&amp;IF(SAXS!AC221&lt;&gt;"","CONCENTRADA: "&amp;SAXS!AC221&amp;" · ","")&amp;IF(SAXS!AD221&lt;&gt;"","SIN STOCK ANTES 06/11 · ","")&amp;IF(SAXS!AB221&lt;&gt;"","SKU DUPLICADO",""))</f>
        <v>QUIEBRE: SÍ — stock 0 y Sep cayó (prom Feb-Ago 554) · CONCENTRADA: 1 mes = 91% de 4 meses · SIN STOCK ANTES 06/11 ·</v>
      </c>
      <c r="R78" s="42"/>
    </row>
    <row r="79" ht="15.75" customHeight="1">
      <c r="A79" s="76" t="s">
        <v>2111</v>
      </c>
      <c r="B79" s="24">
        <v>487.0</v>
      </c>
      <c r="C79" s="24" t="str">
        <f>SAXS!A487</f>
        <v>118127-0159</v>
      </c>
      <c r="D79" s="24" t="str">
        <f>SAXS!C487</f>
        <v>PECARI SOFT</v>
      </c>
      <c r="E79" s="24" t="str">
        <f>SAXS!D487</f>
        <v>NUDE</v>
      </c>
      <c r="F79" s="26">
        <f>SAXS!E487</f>
        <v>0</v>
      </c>
      <c r="G79" s="26">
        <f>N(SAXS!F487)+SUM(SAXS!G487:H487)</f>
        <v>0</v>
      </c>
      <c r="H79" s="26">
        <f>SUM(SAXS!I487:M487)+IF(SAXS!$AD$3="SI",SUM(SAXS!N487),0)</f>
        <v>1500</v>
      </c>
      <c r="I79" s="26">
        <f>SAXS!P487</f>
        <v>1500</v>
      </c>
      <c r="J79" s="26">
        <f>SAXS!X487</f>
        <v>850.75</v>
      </c>
      <c r="K79" s="26">
        <f>SAXS!AF487</f>
        <v>850.75</v>
      </c>
      <c r="L79" s="26">
        <f t="array" ref="L79">IFERROR(AVERAGE(INDEX(Ventas!$C$2:$F$5000,MATCH(C79,Ventas!$A$2:$A$5000,0),0)),"")</f>
        <v>187.5</v>
      </c>
      <c r="M79" s="26">
        <f t="shared" si="1"/>
        <v>3403</v>
      </c>
      <c r="N79" s="32">
        <f>SAXS!AG487</f>
        <v>1903</v>
      </c>
      <c r="O79" s="26">
        <f t="shared" si="2"/>
        <v>-750</v>
      </c>
      <c r="P79" s="34">
        <f t="shared" si="3"/>
        <v>1.8</v>
      </c>
      <c r="Q79" s="40" t="str">
        <f>TRIM(IF(SAXS!AE487&lt;&gt;"","QUIEBRE: "&amp;SAXS!AE487&amp;" · ","")&amp;IF(SAXS!AC487&lt;&gt;"","CONCENTRADA: "&amp;SAXS!AC487&amp;" · ","")&amp;IF(SAXS!AD487&lt;&gt;"","SIN STOCK ANTES 06/11 · ","")&amp;IF(SAXS!AB487&lt;&gt;"","SKU DUPLICADO",""))</f>
        <v>CONCENTRADA: 1 mes = 54% de 4 meses · SIN STOCK ANTES 06/11 ·</v>
      </c>
      <c r="R79" s="42"/>
    </row>
    <row r="80" ht="15.75" customHeight="1">
      <c r="A80" s="76" t="s">
        <v>2111</v>
      </c>
      <c r="B80" s="24">
        <v>510.0</v>
      </c>
      <c r="C80" s="24" t="str">
        <f>SAXS!A510</f>
        <v>20741097-9999</v>
      </c>
      <c r="D80" s="24" t="str">
        <f>SAXS!C510</f>
        <v>NO TEJIDO 120 GR</v>
      </c>
      <c r="E80" s="24" t="str">
        <f>SAXS!D510</f>
        <v>NEGRO</v>
      </c>
      <c r="F80" s="26">
        <f>SAXS!E510</f>
        <v>0</v>
      </c>
      <c r="G80" s="26">
        <f>N(SAXS!F510)+SUM(SAXS!G510:H510)</f>
        <v>0</v>
      </c>
      <c r="H80" s="26">
        <f>SUM(SAXS!I510:M510)+IF(SAXS!$AD$3="SI",SUM(SAXS!N510),0)</f>
        <v>0</v>
      </c>
      <c r="I80" s="26">
        <f>SAXS!P510</f>
        <v>0</v>
      </c>
      <c r="J80" s="26">
        <f>SAXS!X510</f>
        <v>217.5</v>
      </c>
      <c r="K80" s="26">
        <f>SAXS!AF510</f>
        <v>359.2857143</v>
      </c>
      <c r="L80" s="26">
        <f t="array" ref="L80">IFERROR(AVERAGE(INDEX(Ventas!$C$2:$F$5000,MATCH(C80,Ventas!$A$2:$A$5000,0),0)),"")</f>
        <v>411.25</v>
      </c>
      <c r="M80" s="26">
        <f t="shared" si="1"/>
        <v>1437</v>
      </c>
      <c r="N80" s="32">
        <f>SAXS!AG510</f>
        <v>1437</v>
      </c>
      <c r="O80" s="26">
        <f t="shared" si="2"/>
        <v>1645</v>
      </c>
      <c r="P80" s="34">
        <f t="shared" si="3"/>
        <v>0</v>
      </c>
      <c r="Q80" s="40" t="str">
        <f>TRIM(IF(SAXS!AE510&lt;&gt;"","QUIEBRE: "&amp;SAXS!AE510&amp;" · ","")&amp;IF(SAXS!AC510&lt;&gt;"","CONCENTRADA: "&amp;SAXS!AC510&amp;" · ","")&amp;IF(SAXS!AD510&lt;&gt;"","SIN STOCK ANTES 06/11 · ","")&amp;IF(SAXS!AB510&lt;&gt;"","SKU DUPLICADO",""))</f>
        <v>QUIEBRE: SÍ — stock 0 y Sep cayó (prom Feb-Ago 359) · CONCENTRADA: 1 mes = 61% de 4 meses · SIN STOCK ANTES 06/11 ·</v>
      </c>
      <c r="R80" s="42"/>
    </row>
    <row r="81" ht="15.75" customHeight="1">
      <c r="A81" s="76" t="s">
        <v>2111</v>
      </c>
      <c r="B81" s="24">
        <v>224.0</v>
      </c>
      <c r="C81" s="24" t="str">
        <f>SAXS!A224</f>
        <v>584923-0274</v>
      </c>
      <c r="D81" s="24" t="str">
        <f>SAXS!C224</f>
        <v>flotter chico 0,8 mm chico</v>
      </c>
      <c r="E81" s="24" t="str">
        <f>SAXS!D224</f>
        <v>negro</v>
      </c>
      <c r="F81" s="26">
        <f>SAXS!E224</f>
        <v>350</v>
      </c>
      <c r="G81" s="26">
        <f>N(SAXS!F224)+SUM(SAXS!G224:H224)</f>
        <v>0</v>
      </c>
      <c r="H81" s="26">
        <f>SUM(SAXS!I224:M224)+IF(SAXS!$AD$3="SI",SUM(SAXS!N224),0)</f>
        <v>0</v>
      </c>
      <c r="I81" s="26">
        <f>SAXS!P224</f>
        <v>350</v>
      </c>
      <c r="J81" s="26">
        <f>SAXS!X224</f>
        <v>425</v>
      </c>
      <c r="K81" s="26">
        <f>SAXS!AF224</f>
        <v>425</v>
      </c>
      <c r="L81" s="26">
        <f t="array" ref="L81">IFERROR(AVERAGE(INDEX(Ventas!$C$2:$F$5000,MATCH(C81,Ventas!$A$2:$A$5000,0),0)),"")</f>
        <v>175</v>
      </c>
      <c r="M81" s="26">
        <f t="shared" si="1"/>
        <v>1700</v>
      </c>
      <c r="N81" s="32">
        <f>SAXS!AG224</f>
        <v>1350</v>
      </c>
      <c r="O81" s="26">
        <f t="shared" si="2"/>
        <v>350</v>
      </c>
      <c r="P81" s="34">
        <f t="shared" si="3"/>
        <v>0.8</v>
      </c>
      <c r="Q81" s="40" t="str">
        <f>TRIM(IF(SAXS!AE224&lt;&gt;"","QUIEBRE: "&amp;SAXS!AE224&amp;" · ","")&amp;IF(SAXS!AC224&lt;&gt;"","CONCENTRADA: "&amp;SAXS!AC224&amp;" · ","")&amp;IF(SAXS!AD224&lt;&gt;"","SIN STOCK ANTES 06/11 · ","")&amp;IF(SAXS!AB224&lt;&gt;"","SKU DUPLICADO",""))</f>
        <v>CONCENTRADA: 1 mes = 88% de 4 meses ·</v>
      </c>
      <c r="R81" s="42"/>
    </row>
    <row r="82" ht="15.75" customHeight="1">
      <c r="A82" s="76" t="s">
        <v>2111</v>
      </c>
      <c r="B82" s="24">
        <v>658.0</v>
      </c>
      <c r="C82" s="24" t="str">
        <f>SAXS!A658</f>
        <v>2121249-0000</v>
      </c>
      <c r="D82" s="24" t="str">
        <f>SAXS!C658</f>
        <v>Jersey BR</v>
      </c>
      <c r="E82" s="24" t="str">
        <f>SAXS!D658</f>
        <v>BLANCO</v>
      </c>
      <c r="F82" s="26">
        <f>SAXS!E658</f>
        <v>0</v>
      </c>
      <c r="G82" s="26">
        <f>N(SAXS!F658)+SUM(SAXS!G658:H658)</f>
        <v>0</v>
      </c>
      <c r="H82" s="26">
        <f>SUM(SAXS!I658:M658)+IF(SAXS!$AD$3="SI",SUM(SAXS!N658),0)</f>
        <v>0</v>
      </c>
      <c r="I82" s="26">
        <f>SAXS!P658</f>
        <v>0</v>
      </c>
      <c r="J82" s="26">
        <f>SAXS!X658</f>
        <v>254.75</v>
      </c>
      <c r="K82" s="26">
        <f>SAXS!AF658</f>
        <v>291</v>
      </c>
      <c r="L82" s="26">
        <f t="array" ref="L82">IFERROR(AVERAGE(INDEX(Ventas!$C$2:$F$5000,MATCH(C82,Ventas!$A$2:$A$5000,0),0)),"")</f>
        <v>254.5</v>
      </c>
      <c r="M82" s="26">
        <f t="shared" si="1"/>
        <v>1164</v>
      </c>
      <c r="N82" s="32">
        <f>SAXS!AG658</f>
        <v>1164</v>
      </c>
      <c r="O82" s="26">
        <f t="shared" si="2"/>
        <v>1018</v>
      </c>
      <c r="P82" s="34">
        <f t="shared" si="3"/>
        <v>0</v>
      </c>
      <c r="Q82" s="40" t="str">
        <f>TRIM(IF(SAXS!AE658&lt;&gt;"","QUIEBRE: "&amp;SAXS!AE658&amp;" · ","")&amp;IF(SAXS!AC658&lt;&gt;"","CONCENTRADA: "&amp;SAXS!AC658&amp;" · ","")&amp;IF(SAXS!AD658&lt;&gt;"","SIN STOCK ANTES 06/11 · ","")&amp;IF(SAXS!AB658&lt;&gt;"","SKU DUPLICADO",""))</f>
        <v>QUIEBRE: SÍ — stock 0 y Sep cayó (prom Feb-Ago 291) · CONCENTRADA: 1 mes = 79% de 4 meses · SIN STOCK ANTES 06/11 ·</v>
      </c>
      <c r="R82" s="42"/>
    </row>
    <row r="83" ht="15.75" customHeight="1">
      <c r="A83" s="76" t="s">
        <v>2111</v>
      </c>
      <c r="B83" s="24">
        <v>61.0</v>
      </c>
      <c r="C83" s="24" t="str">
        <f>SAXS!A61</f>
        <v>285127-0198</v>
      </c>
      <c r="D83" s="24" t="str">
        <f>SAXS!C61</f>
        <v>NAPA</v>
      </c>
      <c r="E83" s="24" t="str">
        <f>SAXS!D61</f>
        <v>MANTECA</v>
      </c>
      <c r="F83" s="26">
        <f>SAXS!E61</f>
        <v>200</v>
      </c>
      <c r="G83" s="26">
        <f>N(SAXS!F61)+SUM(SAXS!G61:H61)</f>
        <v>0</v>
      </c>
      <c r="H83" s="26">
        <f>SUM(SAXS!I61:M61)+IF(SAXS!$AD$3="SI",SUM(SAXS!N61),0)</f>
        <v>0</v>
      </c>
      <c r="I83" s="26">
        <f>SAXS!P61</f>
        <v>200</v>
      </c>
      <c r="J83" s="26">
        <f>SAXS!X61</f>
        <v>270</v>
      </c>
      <c r="K83" s="26">
        <f>SAXS!AF61</f>
        <v>270</v>
      </c>
      <c r="L83" s="26">
        <f t="array" ref="L83">IFERROR(AVERAGE(INDEX(Ventas!$C$2:$F$5000,MATCH(C83,Ventas!$A$2:$A$5000,0),0)),"")</f>
        <v>96.25</v>
      </c>
      <c r="M83" s="26">
        <f t="shared" si="1"/>
        <v>1080</v>
      </c>
      <c r="N83" s="32">
        <f>SAXS!AG61</f>
        <v>880</v>
      </c>
      <c r="O83" s="26">
        <f t="shared" si="2"/>
        <v>185</v>
      </c>
      <c r="P83" s="34">
        <f t="shared" si="3"/>
        <v>0.7</v>
      </c>
      <c r="Q83" s="40" t="str">
        <f>TRIM(IF(SAXS!AE61&lt;&gt;"","QUIEBRE: "&amp;SAXS!AE61&amp;" · ","")&amp;IF(SAXS!AC61&lt;&gt;"","CONCENTRADA: "&amp;SAXS!AC61&amp;" · ","")&amp;IF(SAXS!AD61&lt;&gt;"","SIN STOCK ANTES 06/11 · ","")&amp;IF(SAXS!AB61&lt;&gt;"","SKU DUPLICADO",""))</f>
        <v>CONCENTRADA: 1 mes = 56% de 4 meses ·</v>
      </c>
      <c r="R83" s="42"/>
    </row>
    <row r="84" ht="15.75" customHeight="1">
      <c r="A84" s="76" t="s">
        <v>2111</v>
      </c>
      <c r="B84" s="24">
        <v>515.0</v>
      </c>
      <c r="C84" s="24" t="str">
        <f>SAXS!A515</f>
        <v>20741217-0000</v>
      </c>
      <c r="D84" s="24" t="str">
        <f>SAXS!C515</f>
        <v>FRISELINA 120 GR</v>
      </c>
      <c r="E84" s="24" t="str">
        <f>SAXS!D515</f>
        <v>BLANCO</v>
      </c>
      <c r="F84" s="26">
        <f>SAXS!E515</f>
        <v>0</v>
      </c>
      <c r="G84" s="26">
        <f>N(SAXS!F515)+SUM(SAXS!G515:H515)</f>
        <v>0</v>
      </c>
      <c r="H84" s="26">
        <f>SUM(SAXS!I515:M515)+IF(SAXS!$AD$3="SI",SUM(SAXS!N515),0)</f>
        <v>0</v>
      </c>
      <c r="I84" s="26">
        <f>SAXS!P515</f>
        <v>0</v>
      </c>
      <c r="J84" s="26">
        <f>SAXS!X515</f>
        <v>187.5</v>
      </c>
      <c r="K84" s="26">
        <f>SAXS!AF515</f>
        <v>187.5</v>
      </c>
      <c r="L84" s="26">
        <f t="array" ref="L84">IFERROR(AVERAGE(INDEX(Ventas!$C$2:$F$5000,MATCH(C84,Ventas!$A$2:$A$5000,0),0)),"")</f>
        <v>625</v>
      </c>
      <c r="M84" s="26">
        <f t="shared" si="1"/>
        <v>750</v>
      </c>
      <c r="N84" s="32">
        <f>SAXS!AG515</f>
        <v>750</v>
      </c>
      <c r="O84" s="26">
        <f t="shared" si="2"/>
        <v>2500</v>
      </c>
      <c r="P84" s="34">
        <f t="shared" si="3"/>
        <v>0</v>
      </c>
      <c r="Q84" s="40" t="str">
        <f>TRIM(IF(SAXS!AE515&lt;&gt;"","QUIEBRE: "&amp;SAXS!AE515&amp;" · ","")&amp;IF(SAXS!AC515&lt;&gt;"","CONCENTRADA: "&amp;SAXS!AC515&amp;" · ","")&amp;IF(SAXS!AD515&lt;&gt;"","SIN STOCK ANTES 06/11 · ","")&amp;IF(SAXS!AB515&lt;&gt;"","SKU DUPLICADO",""))</f>
        <v>CONCENTRADA: 1 mes = 67% de 4 meses · SIN STOCK ANTES 06/11 ·</v>
      </c>
      <c r="R84" s="42"/>
    </row>
    <row r="85" ht="15.75" customHeight="1">
      <c r="A85" s="76" t="s">
        <v>2111</v>
      </c>
      <c r="B85" s="24">
        <v>642.0</v>
      </c>
      <c r="C85" s="24" t="str">
        <f>SAXS!A642</f>
        <v>058923-9999</v>
      </c>
      <c r="D85" s="24" t="str">
        <f>SAXS!C642</f>
        <v>Tira Cartagena 4cm</v>
      </c>
      <c r="E85" s="24" t="str">
        <f>SAXS!D642</f>
        <v>negro </v>
      </c>
      <c r="F85" s="26">
        <f>SAXS!E642</f>
        <v>0</v>
      </c>
      <c r="G85" s="26">
        <f>N(SAXS!F642)+SUM(SAXS!G642:H642)</f>
        <v>0</v>
      </c>
      <c r="H85" s="26">
        <f>SUM(SAXS!I642:M642)+IF(SAXS!$AD$3="SI",SUM(SAXS!N642),0)</f>
        <v>0</v>
      </c>
      <c r="I85" s="26">
        <f>SAXS!P642</f>
        <v>0</v>
      </c>
      <c r="J85" s="26">
        <f>SAXS!X642</f>
        <v>173.375</v>
      </c>
      <c r="K85" s="26">
        <f>SAXS!AF642</f>
        <v>173.375</v>
      </c>
      <c r="L85" s="26">
        <f t="array" ref="L85">IFERROR(AVERAGE(INDEX(Ventas!$C$2:$F$5000,MATCH(C85,Ventas!$A$2:$A$5000,0),0)),"")</f>
        <v>0</v>
      </c>
      <c r="M85" s="26">
        <f t="shared" si="1"/>
        <v>694</v>
      </c>
      <c r="N85" s="32">
        <f>SAXS!AG642</f>
        <v>694</v>
      </c>
      <c r="O85" s="26">
        <f t="shared" si="2"/>
        <v>0</v>
      </c>
      <c r="P85" s="34">
        <f t="shared" si="3"/>
        <v>0</v>
      </c>
      <c r="Q85" s="40" t="str">
        <f>TRIM(IF(SAXS!AE642&lt;&gt;"","QUIEBRE: "&amp;SAXS!AE642&amp;" · ","")&amp;IF(SAXS!AC642&lt;&gt;"","CONCENTRADA: "&amp;SAXS!AC642&amp;" · ","")&amp;IF(SAXS!AD642&lt;&gt;"","SIN STOCK ANTES 06/11 · ","")&amp;IF(SAXS!AB642&lt;&gt;"","SKU DUPLICADO",""))</f>
        <v>CONCENTRADA: 1 mes = 88% de 4 meses · SIN STOCK ANTES 06/11 ·</v>
      </c>
      <c r="R85" s="42"/>
    </row>
    <row r="86" ht="15.75" customHeight="1">
      <c r="A86" s="76" t="s">
        <v>2111</v>
      </c>
      <c r="B86" s="24">
        <v>509.0</v>
      </c>
      <c r="C86" s="24" t="str">
        <f>SAXS!A509</f>
        <v>0291098-9999</v>
      </c>
      <c r="D86" s="24" t="str">
        <f>SAXS!C509</f>
        <v>TELA DE CAMBRE</v>
      </c>
      <c r="E86" s="24" t="str">
        <f>SAXS!D509</f>
        <v>TELA DE CAMBRE NEGRO</v>
      </c>
      <c r="F86" s="26">
        <f>SAXS!E509</f>
        <v>1650</v>
      </c>
      <c r="G86" s="26">
        <f>N(SAXS!F509)+SUM(SAXS!G509:H509)</f>
        <v>0</v>
      </c>
      <c r="H86" s="26">
        <f>SUM(SAXS!I509:M509)+IF(SAXS!$AD$3="SI",SUM(SAXS!N509),0)</f>
        <v>0</v>
      </c>
      <c r="I86" s="26">
        <f>SAXS!P509</f>
        <v>1650</v>
      </c>
      <c r="J86" s="26">
        <f>SAXS!X509</f>
        <v>575</v>
      </c>
      <c r="K86" s="26">
        <f>SAXS!AF509</f>
        <v>575</v>
      </c>
      <c r="L86" s="26">
        <f t="array" ref="L86">IFERROR(AVERAGE(INDEX(Ventas!$C$2:$F$5000,MATCH(C86,Ventas!$A$2:$A$5000,0),0)),"")</f>
        <v>1175</v>
      </c>
      <c r="M86" s="26">
        <f t="shared" si="1"/>
        <v>2300</v>
      </c>
      <c r="N86" s="32">
        <f>SAXS!AG509</f>
        <v>650</v>
      </c>
      <c r="O86" s="26">
        <f t="shared" si="2"/>
        <v>3050</v>
      </c>
      <c r="P86" s="34">
        <f t="shared" si="3"/>
        <v>2.9</v>
      </c>
      <c r="Q86" s="40" t="str">
        <f>TRIM(IF(SAXS!AE509&lt;&gt;"","QUIEBRE: "&amp;SAXS!AE509&amp;" · ","")&amp;IF(SAXS!AC509&lt;&gt;"","CONCENTRADA: "&amp;SAXS!AC509&amp;" · ","")&amp;IF(SAXS!AD509&lt;&gt;"","SIN STOCK ANTES 06/11 · ","")&amp;IF(SAXS!AB509&lt;&gt;"","SKU DUPLICADO",""))</f>
        <v>CONCENTRADA: 1 mes = 63% de 4 meses ·</v>
      </c>
      <c r="R86" s="42"/>
    </row>
    <row r="87" ht="15.75" customHeight="1">
      <c r="A87" s="76" t="s">
        <v>2111</v>
      </c>
      <c r="B87" s="24">
        <v>643.0</v>
      </c>
      <c r="C87" s="24" t="str">
        <f>SAXS!A643</f>
        <v>058923-0000</v>
      </c>
      <c r="D87" s="24" t="str">
        <f>SAXS!C643</f>
        <v>Tira Cartagena 4cm</v>
      </c>
      <c r="E87" s="24" t="str">
        <f>SAXS!D643</f>
        <v>blanco</v>
      </c>
      <c r="F87" s="26">
        <f>SAXS!E643</f>
        <v>0</v>
      </c>
      <c r="G87" s="26">
        <f>N(SAXS!F643)+SUM(SAXS!G643:H643)</f>
        <v>0</v>
      </c>
      <c r="H87" s="26">
        <f>SUM(SAXS!I643:M643)+IF(SAXS!$AD$3="SI",SUM(SAXS!N643),0)</f>
        <v>0</v>
      </c>
      <c r="I87" s="26">
        <f>SAXS!P643</f>
        <v>0</v>
      </c>
      <c r="J87" s="26">
        <f>SAXS!X643</f>
        <v>123.75</v>
      </c>
      <c r="K87" s="26">
        <f>SAXS!AF643</f>
        <v>123.75</v>
      </c>
      <c r="L87" s="26">
        <f t="array" ref="L87">IFERROR(AVERAGE(INDEX(Ventas!$C$2:$F$5000,MATCH(C87,Ventas!$A$2:$A$5000,0),0)),"")</f>
        <v>0</v>
      </c>
      <c r="M87" s="26">
        <f t="shared" si="1"/>
        <v>495</v>
      </c>
      <c r="N87" s="32">
        <f>SAXS!AG643</f>
        <v>495</v>
      </c>
      <c r="O87" s="26">
        <f t="shared" si="2"/>
        <v>0</v>
      </c>
      <c r="P87" s="34">
        <f t="shared" si="3"/>
        <v>0</v>
      </c>
      <c r="Q87" s="40" t="str">
        <f>TRIM(IF(SAXS!AE643&lt;&gt;"","QUIEBRE: "&amp;SAXS!AE643&amp;" · ","")&amp;IF(SAXS!AC643&lt;&gt;"","CONCENTRADA: "&amp;SAXS!AC643&amp;" · ","")&amp;IF(SAXS!AD643&lt;&gt;"","SIN STOCK ANTES 06/11 · ","")&amp;IF(SAXS!AB643&lt;&gt;"","SKU DUPLICADO",""))</f>
        <v>CONCENTRADA: 1 mes = 89% de 4 meses · SIN STOCK ANTES 06/11 ·</v>
      </c>
      <c r="R87" s="42"/>
    </row>
    <row r="88" ht="15.75" customHeight="1">
      <c r="A88" s="76" t="s">
        <v>2111</v>
      </c>
      <c r="B88" s="24">
        <v>195.0</v>
      </c>
      <c r="C88" s="24" t="str">
        <f>SAXS!A195</f>
        <v>511319-0297</v>
      </c>
      <c r="D88" s="24" t="str">
        <f>SAXS!C195</f>
        <v>MICROFIBRA 1,1MM</v>
      </c>
      <c r="E88" s="24" t="str">
        <f>SAXS!D195</f>
        <v>SUELA </v>
      </c>
      <c r="F88" s="26">
        <f>SAXS!E195</f>
        <v>0</v>
      </c>
      <c r="G88" s="26">
        <f>N(SAXS!F195)+SUM(SAXS!G195:H195)</f>
        <v>0</v>
      </c>
      <c r="H88" s="26">
        <f>SUM(SAXS!I195:M195)+IF(SAXS!$AD$3="SI",SUM(SAXS!N195),0)</f>
        <v>800</v>
      </c>
      <c r="I88" s="26">
        <f>SAXS!P195</f>
        <v>800</v>
      </c>
      <c r="J88" s="26">
        <f>SAXS!X195</f>
        <v>247.5</v>
      </c>
      <c r="K88" s="26">
        <f>SAXS!AF195</f>
        <v>323.2857143</v>
      </c>
      <c r="L88" s="26">
        <f t="array" ref="L88">IFERROR(AVERAGE(INDEX(Ventas!$C$2:$F$5000,MATCH(C88,Ventas!$A$2:$A$5000,0),0)),"")</f>
        <v>318.25</v>
      </c>
      <c r="M88" s="26">
        <f t="shared" si="1"/>
        <v>1293</v>
      </c>
      <c r="N88" s="32">
        <f>SAXS!AG195</f>
        <v>493</v>
      </c>
      <c r="O88" s="26">
        <f t="shared" si="2"/>
        <v>473</v>
      </c>
      <c r="P88" s="34">
        <f t="shared" si="3"/>
        <v>2.5</v>
      </c>
      <c r="Q88" s="40" t="str">
        <f>TRIM(IF(SAXS!AE195&lt;&gt;"","QUIEBRE: "&amp;SAXS!AE195&amp;" · ","")&amp;IF(SAXS!AC195&lt;&gt;"","CONCENTRADA: "&amp;SAXS!AC195&amp;" · ","")&amp;IF(SAXS!AD195&lt;&gt;"","SIN STOCK ANTES 06/11 · ","")&amp;IF(SAXS!AB195&lt;&gt;"","SKU DUPLICADO",""))</f>
        <v>QUIEBRE: SÍ — stock 0 y Sep cayó (prom Feb-Ago 323) · CONCENTRADA: 1 mes = 57% de 4 meses · SIN STOCK ANTES 06/11 ·</v>
      </c>
      <c r="R88" s="42"/>
    </row>
    <row r="89" ht="15.75" customHeight="1">
      <c r="A89" s="76" t="s">
        <v>2111</v>
      </c>
      <c r="B89" s="24">
        <v>104.0</v>
      </c>
      <c r="C89" s="24" t="str">
        <f>SAXS!A104</f>
        <v>037923-0007</v>
      </c>
      <c r="D89" s="24" t="str">
        <f>SAXS!C104</f>
        <v>KANSAS ( ZR30313 )</v>
      </c>
      <c r="E89" s="24" t="str">
        <f>SAXS!D104</f>
        <v>CAMEL </v>
      </c>
      <c r="F89" s="26">
        <f>SAXS!E104</f>
        <v>0</v>
      </c>
      <c r="G89" s="26">
        <f>N(SAXS!F104)+SUM(SAXS!G104:H104)</f>
        <v>0</v>
      </c>
      <c r="H89" s="26">
        <f>SUM(SAXS!I104:M104)+IF(SAXS!$AD$3="SI",SUM(SAXS!N104),0)</f>
        <v>0</v>
      </c>
      <c r="I89" s="26">
        <f>SAXS!P104</f>
        <v>0</v>
      </c>
      <c r="J89" s="26">
        <f>SAXS!X104</f>
        <v>120.4</v>
      </c>
      <c r="K89" s="26">
        <f>SAXS!AF104</f>
        <v>123.0857143</v>
      </c>
      <c r="L89" s="26">
        <f t="array" ref="L89">IFERROR(AVERAGE(INDEX(Ventas!$C$2:$F$5000,MATCH(C89,Ventas!$A$2:$A$5000,0),0)),"")</f>
        <v>95</v>
      </c>
      <c r="M89" s="26">
        <f t="shared" si="1"/>
        <v>492</v>
      </c>
      <c r="N89" s="32">
        <f>SAXS!AG104</f>
        <v>492</v>
      </c>
      <c r="O89" s="26">
        <f t="shared" si="2"/>
        <v>380</v>
      </c>
      <c r="P89" s="34">
        <f t="shared" si="3"/>
        <v>0</v>
      </c>
      <c r="Q89" s="40" t="str">
        <f>TRIM(IF(SAXS!AE104&lt;&gt;"","QUIEBRE: "&amp;SAXS!AE104&amp;" · ","")&amp;IF(SAXS!AC104&lt;&gt;"","CONCENTRADA: "&amp;SAXS!AC104&amp;" · ","")&amp;IF(SAXS!AD104&lt;&gt;"","SIN STOCK ANTES 06/11 · ","")&amp;IF(SAXS!AB104&lt;&gt;"","SKU DUPLICADO",""))</f>
        <v>QUIEBRE: SÍ — stock 0 y Sep cayó (prom Feb-Ago 123) · CONCENTRADA: 1 mes = 57% de 4 meses · SIN STOCK ANTES 06/11 ·</v>
      </c>
      <c r="R89" s="42"/>
    </row>
    <row r="90" ht="15.75" customHeight="1">
      <c r="A90" s="76" t="s">
        <v>2111</v>
      </c>
      <c r="B90" s="24">
        <v>220.0</v>
      </c>
      <c r="C90" s="24" t="str">
        <f>SAXS!A220</f>
        <v>130923-0000</v>
      </c>
      <c r="D90" s="24" t="str">
        <f>SAXS!C220</f>
        <v>FLOTTER  CHICO ( Tormes )</v>
      </c>
      <c r="E90" s="24" t="str">
        <f>SAXS!D220</f>
        <v>BLANCO</v>
      </c>
      <c r="F90" s="26">
        <f>SAXS!E220</f>
        <v>0</v>
      </c>
      <c r="G90" s="26">
        <f>N(SAXS!F220)+SUM(SAXS!G220:H220)</f>
        <v>0</v>
      </c>
      <c r="H90" s="26">
        <f>SUM(SAXS!I220:M220)+IF(SAXS!$AD$3="SI",SUM(SAXS!N220),0)</f>
        <v>0</v>
      </c>
      <c r="I90" s="26">
        <f>SAXS!P220</f>
        <v>0</v>
      </c>
      <c r="J90" s="26">
        <f>SAXS!X220</f>
        <v>100</v>
      </c>
      <c r="K90" s="26">
        <f>SAXS!AF220</f>
        <v>100</v>
      </c>
      <c r="L90" s="26">
        <f t="array" ref="L90">IFERROR(AVERAGE(INDEX(Ventas!$C$2:$F$5000,MATCH(C90,Ventas!$A$2:$A$5000,0),0)),"")</f>
        <v>12.5</v>
      </c>
      <c r="M90" s="26">
        <f t="shared" si="1"/>
        <v>400</v>
      </c>
      <c r="N90" s="32">
        <f>SAXS!AG220</f>
        <v>400</v>
      </c>
      <c r="O90" s="26">
        <f t="shared" si="2"/>
        <v>50</v>
      </c>
      <c r="P90" s="34">
        <f t="shared" si="3"/>
        <v>0</v>
      </c>
      <c r="Q90" s="40" t="str">
        <f>TRIM(IF(SAXS!AE220&lt;&gt;"","QUIEBRE: "&amp;SAXS!AE220&amp;" · ","")&amp;IF(SAXS!AC220&lt;&gt;"","CONCENTRADA: "&amp;SAXS!AC220&amp;" · ","")&amp;IF(SAXS!AD220&lt;&gt;"","SIN STOCK ANTES 06/11 · ","")&amp;IF(SAXS!AB220&lt;&gt;"","SKU DUPLICADO",""))</f>
        <v>QUIEBRE: SÍ — stock 0 y Sep cayó (prom Feb-Ago 64) · CONCENTRADA: 1 mes = 100% de 4 meses · SIN STOCK ANTES 06/11 ·</v>
      </c>
      <c r="R90" s="42"/>
    </row>
    <row r="91" ht="15.75" customHeight="1">
      <c r="A91" s="76" t="s">
        <v>2111</v>
      </c>
      <c r="B91" s="24">
        <v>478.0</v>
      </c>
      <c r="C91" s="24" t="str">
        <f>SAXS!A478</f>
        <v>4791249-0000</v>
      </c>
      <c r="D91" s="24" t="str">
        <f>SAXS!C478</f>
        <v>BETANZOS</v>
      </c>
      <c r="E91" s="24" t="str">
        <f>SAXS!D478</f>
        <v>BLANCO </v>
      </c>
      <c r="F91" s="26">
        <f>SAXS!E478</f>
        <v>0</v>
      </c>
      <c r="G91" s="26">
        <f>N(SAXS!F478)+SUM(SAXS!G478:H478)</f>
        <v>0</v>
      </c>
      <c r="H91" s="26">
        <f>SUM(SAXS!I478:M478)+IF(SAXS!$AD$3="SI",SUM(SAXS!N478),0)</f>
        <v>0</v>
      </c>
      <c r="I91" s="26">
        <f>SAXS!P478</f>
        <v>0</v>
      </c>
      <c r="J91" s="26">
        <f>SAXS!X478</f>
        <v>96.375</v>
      </c>
      <c r="K91" s="26">
        <f>SAXS!AF478</f>
        <v>96.375</v>
      </c>
      <c r="L91" s="26">
        <f t="array" ref="L91">IFERROR(AVERAGE(INDEX(Ventas!$C$2:$F$5000,MATCH(C91,Ventas!$A$2:$A$5000,0),0)),"")</f>
        <v>10</v>
      </c>
      <c r="M91" s="26">
        <f t="shared" si="1"/>
        <v>386</v>
      </c>
      <c r="N91" s="32">
        <f>SAXS!AG478</f>
        <v>386</v>
      </c>
      <c r="O91" s="26">
        <f t="shared" si="2"/>
        <v>40</v>
      </c>
      <c r="P91" s="34">
        <f t="shared" si="3"/>
        <v>0</v>
      </c>
      <c r="Q91" s="40" t="str">
        <f>TRIM(IF(SAXS!AE478&lt;&gt;"","QUIEBRE: "&amp;SAXS!AE478&amp;" · ","")&amp;IF(SAXS!AC478&lt;&gt;"","CONCENTRADA: "&amp;SAXS!AC478&amp;" · ","")&amp;IF(SAXS!AD478&lt;&gt;"","SIN STOCK ANTES 06/11 · ","")&amp;IF(SAXS!AB478&lt;&gt;"","SKU DUPLICADO",""))</f>
        <v>CONCENTRADA: 1 mes = 82% de 4 meses · SIN STOCK ANTES 06/11 ·</v>
      </c>
      <c r="R91" s="42"/>
    </row>
    <row r="92" ht="15.75" customHeight="1">
      <c r="A92" s="76" t="s">
        <v>2111</v>
      </c>
      <c r="B92" s="24">
        <v>631.0</v>
      </c>
      <c r="C92" s="24" t="str">
        <f>SAXS!A631</f>
        <v>047923-0030</v>
      </c>
      <c r="D92" s="24" t="str">
        <f>SAXS!C631</f>
        <v>Tira Londres 1cm</v>
      </c>
      <c r="E92" s="24" t="str">
        <f>SAXS!D631</f>
        <v>plata</v>
      </c>
      <c r="F92" s="26">
        <f>SAXS!E631</f>
        <v>100</v>
      </c>
      <c r="G92" s="26">
        <f>N(SAXS!F631)+SUM(SAXS!G631:H631)</f>
        <v>0</v>
      </c>
      <c r="H92" s="26">
        <f>SUM(SAXS!I631:M631)+IF(SAXS!$AD$3="SI",SUM(SAXS!N631),0)</f>
        <v>0</v>
      </c>
      <c r="I92" s="26">
        <f>SAXS!P631</f>
        <v>100</v>
      </c>
      <c r="J92" s="26">
        <f>SAXS!X631</f>
        <v>112.5</v>
      </c>
      <c r="K92" s="26">
        <f>SAXS!AF631</f>
        <v>112.5</v>
      </c>
      <c r="L92" s="26">
        <f t="array" ref="L92">IFERROR(AVERAGE(INDEX(Ventas!$C$2:$F$5000,MATCH(C92,Ventas!$A$2:$A$5000,0),0)),"")</f>
        <v>0</v>
      </c>
      <c r="M92" s="26">
        <f t="shared" si="1"/>
        <v>450</v>
      </c>
      <c r="N92" s="32">
        <f>SAXS!AG631</f>
        <v>350</v>
      </c>
      <c r="O92" s="26">
        <f t="shared" si="2"/>
        <v>-100</v>
      </c>
      <c r="P92" s="34">
        <f t="shared" si="3"/>
        <v>0.9</v>
      </c>
      <c r="Q92" s="40" t="str">
        <f>TRIM(IF(SAXS!AE631&lt;&gt;"","QUIEBRE: "&amp;SAXS!AE631&amp;" · ","")&amp;IF(SAXS!AC631&lt;&gt;"","CONCENTRADA: "&amp;SAXS!AC631&amp;" · ","")&amp;IF(SAXS!AD631&lt;&gt;"","SIN STOCK ANTES 06/11 · ","")&amp;IF(SAXS!AB631&lt;&gt;"","SKU DUPLICADO",""))</f>
        <v>CONCENTRADA: 1 mes = 78% de 4 meses ·</v>
      </c>
      <c r="R92" s="42"/>
    </row>
    <row r="93" ht="15.75" customHeight="1">
      <c r="A93" s="76" t="s">
        <v>2111</v>
      </c>
      <c r="B93" s="24">
        <v>615.0</v>
      </c>
      <c r="C93" s="24" t="str">
        <f>SAXS!A615</f>
        <v>042923-0088</v>
      </c>
      <c r="D93" s="24" t="str">
        <f>SAXS!C615</f>
        <v>Tira Toledo 4cm</v>
      </c>
      <c r="E93" s="24" t="str">
        <f>SAXS!D615</f>
        <v>plata/negro</v>
      </c>
      <c r="F93" s="26">
        <f>SAXS!E615</f>
        <v>280</v>
      </c>
      <c r="G93" s="26">
        <f>N(SAXS!F615)+SUM(SAXS!G615:H615)</f>
        <v>0</v>
      </c>
      <c r="H93" s="26">
        <f>SUM(SAXS!I615:M615)+IF(SAXS!$AD$3="SI",SUM(SAXS!N615),0)</f>
        <v>0</v>
      </c>
      <c r="I93" s="26">
        <f>SAXS!P615</f>
        <v>280</v>
      </c>
      <c r="J93" s="26">
        <f>SAXS!X615</f>
        <v>155</v>
      </c>
      <c r="K93" s="26">
        <f>SAXS!AF615</f>
        <v>155</v>
      </c>
      <c r="L93" s="26">
        <f t="array" ref="L93">IFERROR(AVERAGE(INDEX(Ventas!$C$2:$F$5000,MATCH(C93,Ventas!$A$2:$A$5000,0),0)),"")</f>
        <v>0</v>
      </c>
      <c r="M93" s="26">
        <f t="shared" si="1"/>
        <v>620</v>
      </c>
      <c r="N93" s="32">
        <f>SAXS!AG615</f>
        <v>340</v>
      </c>
      <c r="O93" s="26">
        <f t="shared" si="2"/>
        <v>-280</v>
      </c>
      <c r="P93" s="34">
        <f t="shared" si="3"/>
        <v>1.8</v>
      </c>
      <c r="Q93" s="40" t="str">
        <f>TRIM(IF(SAXS!AE615&lt;&gt;"","QUIEBRE: "&amp;SAXS!AE615&amp;" · ","")&amp;IF(SAXS!AC615&lt;&gt;"","CONCENTRADA: "&amp;SAXS!AC615&amp;" · ","")&amp;IF(SAXS!AD615&lt;&gt;"","SIN STOCK ANTES 06/11 · ","")&amp;IF(SAXS!AB615&lt;&gt;"","SKU DUPLICADO",""))</f>
        <v>CONCENTRADA: 1 mes = 58% de 4 meses ·</v>
      </c>
      <c r="R93" s="42"/>
    </row>
    <row r="94" ht="15.75" customHeight="1">
      <c r="A94" s="76" t="s">
        <v>2111</v>
      </c>
      <c r="B94" s="24">
        <v>350.0</v>
      </c>
      <c r="C94" s="24" t="str">
        <f>SAXS!A350</f>
        <v>004127-0003</v>
      </c>
      <c r="D94" s="24" t="str">
        <f>SAXS!C350</f>
        <v>CHAROL 0.8 MM</v>
      </c>
      <c r="E94" s="24" t="str">
        <f>SAXS!D350</f>
        <v>BEIGE</v>
      </c>
      <c r="F94" s="26">
        <f>SAXS!E350</f>
        <v>150</v>
      </c>
      <c r="G94" s="26">
        <f>N(SAXS!F350)+SUM(SAXS!G350:H350)</f>
        <v>0</v>
      </c>
      <c r="H94" s="26">
        <f>SUM(SAXS!I350:M350)+IF(SAXS!$AD$3="SI",SUM(SAXS!N350),0)</f>
        <v>0</v>
      </c>
      <c r="I94" s="26">
        <f>SAXS!P350</f>
        <v>150</v>
      </c>
      <c r="J94" s="26">
        <f>SAXS!X350</f>
        <v>113.5</v>
      </c>
      <c r="K94" s="26">
        <f>SAXS!AF350</f>
        <v>113.5</v>
      </c>
      <c r="L94" s="26">
        <f t="array" ref="L94">IFERROR(AVERAGE(INDEX(Ventas!$C$2:$F$5000,MATCH(C94,Ventas!$A$2:$A$5000,0),0)),"")</f>
        <v>0</v>
      </c>
      <c r="M94" s="26">
        <f t="shared" si="1"/>
        <v>454</v>
      </c>
      <c r="N94" s="32">
        <f>SAXS!AG350</f>
        <v>304</v>
      </c>
      <c r="O94" s="26">
        <f t="shared" si="2"/>
        <v>-150</v>
      </c>
      <c r="P94" s="34">
        <f t="shared" si="3"/>
        <v>1.3</v>
      </c>
      <c r="Q94" s="40" t="str">
        <f>TRIM(IF(SAXS!AE350&lt;&gt;"","QUIEBRE: "&amp;SAXS!AE350&amp;" · ","")&amp;IF(SAXS!AC350&lt;&gt;"","CONCENTRADA: "&amp;SAXS!AC350&amp;" · ","")&amp;IF(SAXS!AD350&lt;&gt;"","SIN STOCK ANTES 06/11 · ","")&amp;IF(SAXS!AB350&lt;&gt;"","SKU DUPLICADO",""))</f>
        <v>CONCENTRADA: 1 mes = 100% de 4 meses ·</v>
      </c>
      <c r="R94" s="42"/>
    </row>
    <row r="95" ht="15.75" customHeight="1">
      <c r="A95" s="76" t="s">
        <v>2111</v>
      </c>
      <c r="B95" s="24">
        <v>621.0</v>
      </c>
      <c r="C95" s="24" t="str">
        <f>SAXS!A621</f>
        <v>057923-0278</v>
      </c>
      <c r="D95" s="24" t="str">
        <f>SAXS!C621</f>
        <v>Tira Valencia 3.8cm</v>
      </c>
      <c r="E95" s="24" t="str">
        <f>SAXS!D621</f>
        <v>manteca/plata</v>
      </c>
      <c r="F95" s="26">
        <f>SAXS!E621</f>
        <v>0</v>
      </c>
      <c r="G95" s="26">
        <f>N(SAXS!F621)+SUM(SAXS!G621:H621)</f>
        <v>0</v>
      </c>
      <c r="H95" s="26">
        <f>SUM(SAXS!I621:M621)+IF(SAXS!$AD$3="SI",SUM(SAXS!N621),0)</f>
        <v>0</v>
      </c>
      <c r="I95" s="26">
        <f>SAXS!P621</f>
        <v>0</v>
      </c>
      <c r="J95" s="26">
        <f>SAXS!X621</f>
        <v>71.25</v>
      </c>
      <c r="K95" s="26">
        <f>SAXS!AF621</f>
        <v>71.25</v>
      </c>
      <c r="L95" s="26">
        <f t="array" ref="L95">IFERROR(AVERAGE(INDEX(Ventas!$C$2:$F$5000,MATCH(C95,Ventas!$A$2:$A$5000,0),0)),"")</f>
        <v>0</v>
      </c>
      <c r="M95" s="26">
        <f t="shared" si="1"/>
        <v>285</v>
      </c>
      <c r="N95" s="32">
        <f>SAXS!AG621</f>
        <v>285</v>
      </c>
      <c r="O95" s="26">
        <f t="shared" si="2"/>
        <v>0</v>
      </c>
      <c r="P95" s="34">
        <f t="shared" si="3"/>
        <v>0</v>
      </c>
      <c r="Q95" s="40" t="str">
        <f>TRIM(IF(SAXS!AE621&lt;&gt;"","QUIEBRE: "&amp;SAXS!AE621&amp;" · ","")&amp;IF(SAXS!AC621&lt;&gt;"","CONCENTRADA: "&amp;SAXS!AC621&amp;" · ","")&amp;IF(SAXS!AD621&lt;&gt;"","SIN STOCK ANTES 06/11 · ","")&amp;IF(SAXS!AB621&lt;&gt;"","SKU DUPLICADO",""))</f>
        <v>CONCENTRADA: 1 mes = 83% de 4 meses · SIN STOCK ANTES 06/11 ·</v>
      </c>
      <c r="R95" s="42"/>
    </row>
    <row r="96" ht="15.75" customHeight="1">
      <c r="A96" s="76" t="s">
        <v>2111</v>
      </c>
      <c r="B96" s="24">
        <v>115.0</v>
      </c>
      <c r="C96" s="24" t="str">
        <f>SAXS!A115</f>
        <v>235127-9999</v>
      </c>
      <c r="D96" s="24" t="str">
        <f>SAXS!C115</f>
        <v>BRUSH OFF</v>
      </c>
      <c r="E96" s="24" t="str">
        <f>SAXS!D115</f>
        <v>NEGRO</v>
      </c>
      <c r="F96" s="26">
        <f>SAXS!E115</f>
        <v>0</v>
      </c>
      <c r="G96" s="26">
        <f>N(SAXS!F115)+SUM(SAXS!G115:H115)</f>
        <v>0</v>
      </c>
      <c r="H96" s="26">
        <f>SUM(SAXS!I115:M115)+IF(SAXS!$AD$3="SI",SUM(SAXS!N115),0)</f>
        <v>0</v>
      </c>
      <c r="I96" s="26">
        <f>SAXS!P115</f>
        <v>0</v>
      </c>
      <c r="J96" s="26">
        <f>SAXS!X115</f>
        <v>50.25</v>
      </c>
      <c r="K96" s="26">
        <f>SAXS!AF115</f>
        <v>69.28571429</v>
      </c>
      <c r="L96" s="26">
        <f t="array" ref="L96">IFERROR(AVERAGE(INDEX(Ventas!$C$2:$F$5000,MATCH(C96,Ventas!$A$2:$A$5000,0),0)),"")</f>
        <v>71</v>
      </c>
      <c r="M96" s="26">
        <f t="shared" si="1"/>
        <v>277</v>
      </c>
      <c r="N96" s="32">
        <f>SAXS!AG115</f>
        <v>277</v>
      </c>
      <c r="O96" s="26">
        <f t="shared" si="2"/>
        <v>284</v>
      </c>
      <c r="P96" s="34">
        <f t="shared" si="3"/>
        <v>0</v>
      </c>
      <c r="Q96" s="40" t="str">
        <f>TRIM(IF(SAXS!AE115&lt;&gt;"","QUIEBRE: "&amp;SAXS!AE115&amp;" · ","")&amp;IF(SAXS!AC115&lt;&gt;"","CONCENTRADA: "&amp;SAXS!AC115&amp;" · ","")&amp;IF(SAXS!AD115&lt;&gt;"","SIN STOCK ANTES 06/11 · ","")&amp;IF(SAXS!AB115&lt;&gt;"","SKU DUPLICADO",""))</f>
        <v>QUIEBRE: SÍ — stock 0 y Sep cayó (prom Feb-Ago 69) · CONCENTRADA: 1 mes = 54% de 4 meses · SIN STOCK ANTES 06/11 ·</v>
      </c>
      <c r="R96" s="42"/>
    </row>
    <row r="97" ht="15.75" customHeight="1">
      <c r="A97" s="76" t="s">
        <v>2111</v>
      </c>
      <c r="B97" s="24">
        <v>378.0</v>
      </c>
      <c r="C97" s="24" t="str">
        <f>SAXS!A378</f>
        <v>033923-0203</v>
      </c>
      <c r="D97" s="24" t="str">
        <f>SAXS!C378</f>
        <v>NEOPRENE</v>
      </c>
      <c r="E97" s="24" t="str">
        <f>SAXS!D378</f>
        <v>GRIS/BEIGE</v>
      </c>
      <c r="F97" s="26">
        <f>SAXS!E378</f>
        <v>0</v>
      </c>
      <c r="G97" s="26">
        <f>N(SAXS!F378)+SUM(SAXS!G378:H378)</f>
        <v>0</v>
      </c>
      <c r="H97" s="26">
        <f>SUM(SAXS!I378:M378)+IF(SAXS!$AD$3="SI",SUM(SAXS!N378),0)</f>
        <v>0</v>
      </c>
      <c r="I97" s="26">
        <f>SAXS!P378</f>
        <v>0</v>
      </c>
      <c r="J97" s="26">
        <f>SAXS!X378</f>
        <v>42.75</v>
      </c>
      <c r="K97" s="26">
        <f>SAXS!AF378</f>
        <v>69.21428571</v>
      </c>
      <c r="L97" s="26">
        <f t="array" ref="L97">IFERROR(AVERAGE(INDEX(Ventas!$C$2:$F$5000,MATCH(C97,Ventas!$A$2:$A$5000,0),0)),"")</f>
        <v>78.375</v>
      </c>
      <c r="M97" s="26">
        <f t="shared" si="1"/>
        <v>277</v>
      </c>
      <c r="N97" s="32">
        <f>SAXS!AG378</f>
        <v>277</v>
      </c>
      <c r="O97" s="26">
        <f t="shared" si="2"/>
        <v>314</v>
      </c>
      <c r="P97" s="34">
        <f t="shared" si="3"/>
        <v>0</v>
      </c>
      <c r="Q97" s="40" t="str">
        <f>TRIM(IF(SAXS!AE378&lt;&gt;"","QUIEBRE: "&amp;SAXS!AE378&amp;" · ","")&amp;IF(SAXS!AC378&lt;&gt;"","CONCENTRADA: "&amp;SAXS!AC378&amp;" · ","")&amp;IF(SAXS!AD378&lt;&gt;"","SIN STOCK ANTES 06/11 · ","")&amp;IF(SAXS!AB378&lt;&gt;"","SKU DUPLICADO",""))</f>
        <v>QUIEBRE: SÍ — stock 0 y Sep cayó (prom Feb-Ago 69) · CONCENTRADA: 1 mes = 62% de 4 meses · SIN STOCK ANTES 06/11 ·</v>
      </c>
      <c r="R97" s="42"/>
    </row>
    <row r="98" ht="15.75" customHeight="1">
      <c r="A98" s="76" t="s">
        <v>2111</v>
      </c>
      <c r="B98" s="24">
        <v>26.0</v>
      </c>
      <c r="C98" s="24" t="str">
        <f>SAXS!A26</f>
        <v>581923-0047</v>
      </c>
      <c r="D98" s="24" t="str">
        <f>SAXS!C26</f>
        <v>BOGOTA</v>
      </c>
      <c r="E98" s="24" t="str">
        <f>SAXS!D26</f>
        <v>VISON</v>
      </c>
      <c r="F98" s="26">
        <f>SAXS!E26</f>
        <v>40</v>
      </c>
      <c r="G98" s="26">
        <f>N(SAXS!F26)+SUM(SAXS!G26:H26)</f>
        <v>0</v>
      </c>
      <c r="H98" s="26">
        <f>SUM(SAXS!I26:M26)+IF(SAXS!$AD$3="SI",SUM(SAXS!N26),0)</f>
        <v>0</v>
      </c>
      <c r="I98" s="26">
        <f>SAXS!P26</f>
        <v>40</v>
      </c>
      <c r="J98" s="26">
        <f>SAXS!X26</f>
        <v>66.5</v>
      </c>
      <c r="K98" s="26">
        <f>SAXS!AF26</f>
        <v>66.5</v>
      </c>
      <c r="L98" s="26">
        <f t="array" ref="L98">IFERROR(AVERAGE(INDEX(Ventas!$C$2:$F$5000,MATCH(C98,Ventas!$A$2:$A$5000,0),0)),"")</f>
        <v>80</v>
      </c>
      <c r="M98" s="26">
        <f t="shared" si="1"/>
        <v>266</v>
      </c>
      <c r="N98" s="32">
        <f>SAXS!AG26</f>
        <v>226</v>
      </c>
      <c r="O98" s="26">
        <f t="shared" si="2"/>
        <v>280</v>
      </c>
      <c r="P98" s="34">
        <f t="shared" si="3"/>
        <v>0.6</v>
      </c>
      <c r="Q98" s="40" t="str">
        <f>TRIM(IF(SAXS!AE26&lt;&gt;"","QUIEBRE: "&amp;SAXS!AE26&amp;" · ","")&amp;IF(SAXS!AC26&lt;&gt;"","CONCENTRADA: "&amp;SAXS!AC26&amp;" · ","")&amp;IF(SAXS!AD26&lt;&gt;"","SIN STOCK ANTES 06/11 · ","")&amp;IF(SAXS!AB26&lt;&gt;"","SKU DUPLICADO",""))</f>
        <v>CONCENTRADA: 1 mes = 100% de 4 meses ·</v>
      </c>
      <c r="R98" s="42"/>
    </row>
    <row r="99" ht="15.75" customHeight="1">
      <c r="A99" s="76" t="s">
        <v>2111</v>
      </c>
      <c r="B99" s="24">
        <v>566.0</v>
      </c>
      <c r="C99" s="24" t="str">
        <f>SAXS!A566</f>
        <v>2226000-0000</v>
      </c>
      <c r="D99" s="24" t="str">
        <f>SAXS!C566</f>
        <v>Velour c/respaldo</v>
      </c>
      <c r="E99" s="24" t="str">
        <f>SAXS!D566</f>
        <v>BLANCO</v>
      </c>
      <c r="F99" s="26">
        <f>SAXS!E566</f>
        <v>0</v>
      </c>
      <c r="G99" s="26">
        <f>N(SAXS!F566)+SUM(SAXS!G566:H566)</f>
        <v>0</v>
      </c>
      <c r="H99" s="26">
        <f>SUM(SAXS!I566:M566)+IF(SAXS!$AD$3="SI",SUM(SAXS!N566),0)</f>
        <v>0</v>
      </c>
      <c r="I99" s="26">
        <f>SAXS!P566</f>
        <v>0</v>
      </c>
      <c r="J99" s="26">
        <f>SAXS!X566</f>
        <v>0</v>
      </c>
      <c r="K99" s="26">
        <f>SAXS!AF566</f>
        <v>48.85714286</v>
      </c>
      <c r="L99" s="26">
        <f t="array" ref="L99">IFERROR(AVERAGE(INDEX(Ventas!$C$2:$F$5000,MATCH(C99,Ventas!$A$2:$A$5000,0),0)),"")</f>
        <v>85.5</v>
      </c>
      <c r="M99" s="26">
        <f t="shared" si="1"/>
        <v>195</v>
      </c>
      <c r="N99" s="32">
        <f>SAXS!AG566</f>
        <v>195</v>
      </c>
      <c r="O99" s="26">
        <f t="shared" si="2"/>
        <v>342</v>
      </c>
      <c r="P99" s="34">
        <f t="shared" si="3"/>
        <v>0</v>
      </c>
      <c r="Q99" s="40" t="str">
        <f>TRIM(IF(SAXS!AE566&lt;&gt;"","QUIEBRE: "&amp;SAXS!AE566&amp;" · ","")&amp;IF(SAXS!AC566&lt;&gt;"","CONCENTRADA: "&amp;SAXS!AC566&amp;" · ","")&amp;IF(SAXS!AD566&lt;&gt;"","SIN STOCK ANTES 06/11 · ","")&amp;IF(SAXS!AB566&lt;&gt;"","SKU DUPLICADO",""))</f>
        <v>QUIEBRE: SÍ — stock 0 y Sep cayó (prom Feb-Ago 49) ·</v>
      </c>
      <c r="R99" s="42"/>
    </row>
    <row r="100" ht="15.75" customHeight="1">
      <c r="A100" s="76" t="s">
        <v>2111</v>
      </c>
      <c r="B100" s="24">
        <v>136.0</v>
      </c>
      <c r="C100" s="24" t="str">
        <f>SAXS!A136</f>
        <v>007319-0253</v>
      </c>
      <c r="D100" s="24" t="str">
        <f>SAXS!C136</f>
        <v>ARNO</v>
      </c>
      <c r="E100" s="24" t="str">
        <f>SAXS!D136</f>
        <v>VERDE INGLES</v>
      </c>
      <c r="F100" s="26">
        <f>SAXS!E136</f>
        <v>0</v>
      </c>
      <c r="G100" s="26">
        <f>N(SAXS!F136)+SUM(SAXS!G136:H136)</f>
        <v>0</v>
      </c>
      <c r="H100" s="26">
        <f>SUM(SAXS!I136:M136)+IF(SAXS!$AD$3="SI",SUM(SAXS!N136),0)</f>
        <v>0</v>
      </c>
      <c r="I100" s="26">
        <f>SAXS!P136</f>
        <v>0</v>
      </c>
      <c r="J100" s="26">
        <f>SAXS!X136</f>
        <v>7.5</v>
      </c>
      <c r="K100" s="26">
        <f>SAXS!AF136</f>
        <v>47.14285714</v>
      </c>
      <c r="L100" s="26">
        <f t="array" ref="L100">IFERROR(AVERAGE(INDEX(Ventas!$C$2:$F$5000,MATCH(C100,Ventas!$A$2:$A$5000,0),0)),"")</f>
        <v>75</v>
      </c>
      <c r="M100" s="26">
        <f t="shared" si="1"/>
        <v>189</v>
      </c>
      <c r="N100" s="32">
        <f>SAXS!AG136</f>
        <v>189</v>
      </c>
      <c r="O100" s="26">
        <f t="shared" si="2"/>
        <v>300</v>
      </c>
      <c r="P100" s="34">
        <f t="shared" si="3"/>
        <v>0</v>
      </c>
      <c r="Q100" s="40" t="str">
        <f>TRIM(IF(SAXS!AE136&lt;&gt;"","QUIEBRE: "&amp;SAXS!AE136&amp;" · ","")&amp;IF(SAXS!AC136&lt;&gt;"","CONCENTRADA: "&amp;SAXS!AC136&amp;" · ","")&amp;IF(SAXS!AD136&lt;&gt;"","SIN STOCK ANTES 06/11 · ","")&amp;IF(SAXS!AB136&lt;&gt;"","SKU DUPLICADO",""))</f>
        <v>QUIEBRE: SÍ — stock 0 y Sep cayó (prom Feb-Ago 47) · SIN STOCK ANTES 06/11 ·</v>
      </c>
      <c r="R100" s="42"/>
    </row>
    <row r="101" ht="15.75" customHeight="1">
      <c r="A101" s="76" t="s">
        <v>2111</v>
      </c>
      <c r="B101" s="24">
        <v>134.0</v>
      </c>
      <c r="C101" s="24" t="str">
        <f>SAXS!A134</f>
        <v>007319-0250</v>
      </c>
      <c r="D101" s="24" t="str">
        <f>SAXS!C134</f>
        <v>ARNO</v>
      </c>
      <c r="E101" s="24" t="str">
        <f>SAXS!D134</f>
        <v>TOMATE</v>
      </c>
      <c r="F101" s="26">
        <f>SAXS!E134</f>
        <v>270</v>
      </c>
      <c r="G101" s="26">
        <f>N(SAXS!F134)+SUM(SAXS!G134:H134)</f>
        <v>0</v>
      </c>
      <c r="H101" s="26">
        <f>SUM(SAXS!I134:M134)+IF(SAXS!$AD$3="SI",SUM(SAXS!N134),0)</f>
        <v>0</v>
      </c>
      <c r="I101" s="26">
        <f>SAXS!P134</f>
        <v>270</v>
      </c>
      <c r="J101" s="26">
        <f>SAXS!X134</f>
        <v>112.125</v>
      </c>
      <c r="K101" s="26">
        <f>SAXS!AF134</f>
        <v>112.125</v>
      </c>
      <c r="L101" s="26">
        <f t="array" ref="L101">IFERROR(AVERAGE(INDEX(Ventas!$C$2:$F$5000,MATCH(C101,Ventas!$A$2:$A$5000,0),0)),"")</f>
        <v>45</v>
      </c>
      <c r="M101" s="26">
        <f t="shared" si="1"/>
        <v>449</v>
      </c>
      <c r="N101" s="32">
        <f>SAXS!AG134</f>
        <v>179</v>
      </c>
      <c r="O101" s="26">
        <f t="shared" si="2"/>
        <v>-90</v>
      </c>
      <c r="P101" s="34">
        <f t="shared" si="3"/>
        <v>2.4</v>
      </c>
      <c r="Q101" s="40" t="str">
        <f>TRIM(IF(SAXS!AE134&lt;&gt;"","QUIEBRE: "&amp;SAXS!AE134&amp;" · ","")&amp;IF(SAXS!AC134&lt;&gt;"","CONCENTRADA: "&amp;SAXS!AC134&amp;" · ","")&amp;IF(SAXS!AD134&lt;&gt;"","SIN STOCK ANTES 06/11 · ","")&amp;IF(SAXS!AB134&lt;&gt;"","SKU DUPLICADO",""))</f>
        <v>CONCENTRADA: 1 mes = 60% de 4 meses ·</v>
      </c>
      <c r="R101" s="42"/>
    </row>
    <row r="102" ht="15.75" customHeight="1">
      <c r="A102" s="76" t="s">
        <v>2111</v>
      </c>
      <c r="B102" s="24">
        <v>126.0</v>
      </c>
      <c r="C102" s="24" t="str">
        <f>SAXS!A126</f>
        <v>007319-0147</v>
      </c>
      <c r="D102" s="24" t="str">
        <f>SAXS!C126</f>
        <v>ARNO</v>
      </c>
      <c r="E102" s="24" t="str">
        <f>SAXS!D126</f>
        <v>MAIZ NO</v>
      </c>
      <c r="F102" s="26">
        <f>SAXS!E126</f>
        <v>60</v>
      </c>
      <c r="G102" s="26">
        <f>N(SAXS!F126)+SUM(SAXS!G126:H126)</f>
        <v>0</v>
      </c>
      <c r="H102" s="26">
        <f>SUM(SAXS!I126:M126)+IF(SAXS!$AD$3="SI",SUM(SAXS!N126),0)</f>
        <v>1000</v>
      </c>
      <c r="I102" s="26">
        <f>SAXS!P126</f>
        <v>1060</v>
      </c>
      <c r="J102" s="26">
        <f>SAXS!X126</f>
        <v>308.25</v>
      </c>
      <c r="K102" s="26">
        <f>SAXS!AF126</f>
        <v>308.25</v>
      </c>
      <c r="L102" s="26">
        <f t="array" ref="L102">IFERROR(AVERAGE(INDEX(Ventas!$C$2:$F$5000,MATCH(C102,Ventas!$A$2:$A$5000,0),0)),"")</f>
        <v>232.75</v>
      </c>
      <c r="M102" s="26">
        <f t="shared" si="1"/>
        <v>1233</v>
      </c>
      <c r="N102" s="32">
        <f>SAXS!AG126</f>
        <v>173</v>
      </c>
      <c r="O102" s="26">
        <f t="shared" si="2"/>
        <v>-129</v>
      </c>
      <c r="P102" s="34">
        <f t="shared" si="3"/>
        <v>3.4</v>
      </c>
      <c r="Q102" s="40" t="str">
        <f>TRIM(IF(SAXS!AE126&lt;&gt;"","QUIEBRE: "&amp;SAXS!AE126&amp;" · ","")&amp;IF(SAXS!AC126&lt;&gt;"","CONCENTRADA: "&amp;SAXS!AC126&amp;" · ","")&amp;IF(SAXS!AD126&lt;&gt;"","SIN STOCK ANTES 06/11 · ","")&amp;IF(SAXS!AB126&lt;&gt;"","SKU DUPLICADO",""))</f>
        <v>CONCENTRADA: 1 mes = 56% de 4 meses · SIN STOCK ANTES 06/11 ·</v>
      </c>
      <c r="R102" s="42"/>
    </row>
    <row r="103" ht="15.75" customHeight="1">
      <c r="A103" s="76" t="s">
        <v>2111</v>
      </c>
      <c r="B103" s="24">
        <v>345.0</v>
      </c>
      <c r="C103" s="24" t="str">
        <f>SAXS!A345</f>
        <v>384127-0021</v>
      </c>
      <c r="D103" s="24" t="str">
        <f>SAXS!C345</f>
        <v>CHAROL 1 MM</v>
      </c>
      <c r="E103" s="24" t="str">
        <f>SAXS!D345</f>
        <v>ROJO</v>
      </c>
      <c r="F103" s="26">
        <f>SAXS!E345</f>
        <v>0</v>
      </c>
      <c r="G103" s="26">
        <f>N(SAXS!F345)+SUM(SAXS!G345:H345)</f>
        <v>0</v>
      </c>
      <c r="H103" s="26">
        <f>SUM(SAXS!I345:M345)+IF(SAXS!$AD$3="SI",SUM(SAXS!N345),0)</f>
        <v>0</v>
      </c>
      <c r="I103" s="26">
        <f>SAXS!P345</f>
        <v>0</v>
      </c>
      <c r="J103" s="26">
        <f>SAXS!X345</f>
        <v>10</v>
      </c>
      <c r="K103" s="26">
        <f>SAXS!AF345</f>
        <v>34.28571429</v>
      </c>
      <c r="L103" s="26">
        <f t="array" ref="L103">IFERROR(AVERAGE(INDEX(Ventas!$C$2:$F$5000,MATCH(C103,Ventas!$A$2:$A$5000,0),0)),"")</f>
        <v>50</v>
      </c>
      <c r="M103" s="26">
        <f t="shared" si="1"/>
        <v>137</v>
      </c>
      <c r="N103" s="32">
        <f>SAXS!AG345</f>
        <v>137</v>
      </c>
      <c r="O103" s="26">
        <f t="shared" si="2"/>
        <v>200</v>
      </c>
      <c r="P103" s="34">
        <f t="shared" si="3"/>
        <v>0</v>
      </c>
      <c r="Q103" s="40" t="str">
        <f>TRIM(IF(SAXS!AE345&lt;&gt;"","QUIEBRE: "&amp;SAXS!AE345&amp;" · ","")&amp;IF(SAXS!AC345&lt;&gt;"","CONCENTRADA: "&amp;SAXS!AC345&amp;" · ","")&amp;IF(SAXS!AD345&lt;&gt;"","SIN STOCK ANTES 06/11 · ","")&amp;IF(SAXS!AB345&lt;&gt;"","SKU DUPLICADO",""))</f>
        <v>QUIEBRE: SÍ — stock 0 y Sep cayó (prom Feb-Ago 34) · SIN STOCK ANTES 06/11 ·</v>
      </c>
      <c r="R103" s="42"/>
    </row>
    <row r="104" ht="15.75" customHeight="1">
      <c r="A104" s="76" t="s">
        <v>2111</v>
      </c>
      <c r="B104" s="24">
        <v>380.0</v>
      </c>
      <c r="C104" s="24" t="str">
        <f>SAXS!A380</f>
        <v>033923-0159</v>
      </c>
      <c r="D104" s="24" t="str">
        <f>SAXS!C380</f>
        <v>NEOPRENE</v>
      </c>
      <c r="E104" s="24" t="str">
        <f>SAXS!D380</f>
        <v>NUDE</v>
      </c>
      <c r="F104" s="26">
        <f>SAXS!E380</f>
        <v>0</v>
      </c>
      <c r="G104" s="26">
        <f>N(SAXS!F380)+SUM(SAXS!G380:H380)</f>
        <v>0</v>
      </c>
      <c r="H104" s="26">
        <f>SUM(SAXS!I380:M380)+IF(SAXS!$AD$3="SI",SUM(SAXS!N380),0)</f>
        <v>0</v>
      </c>
      <c r="I104" s="26">
        <f>SAXS!P380</f>
        <v>0</v>
      </c>
      <c r="J104" s="26">
        <f>SAXS!X380</f>
        <v>0</v>
      </c>
      <c r="K104" s="26">
        <f>SAXS!AF380</f>
        <v>32.57142857</v>
      </c>
      <c r="L104" s="26">
        <f t="array" ref="L104">IFERROR(AVERAGE(INDEX(Ventas!$C$2:$F$5000,MATCH(C104,Ventas!$A$2:$A$5000,0),0)),"")</f>
        <v>57</v>
      </c>
      <c r="M104" s="26">
        <f t="shared" si="1"/>
        <v>130</v>
      </c>
      <c r="N104" s="32">
        <f>SAXS!AG380</f>
        <v>130</v>
      </c>
      <c r="O104" s="26">
        <f t="shared" si="2"/>
        <v>228</v>
      </c>
      <c r="P104" s="34">
        <f t="shared" si="3"/>
        <v>0</v>
      </c>
      <c r="Q104" s="40" t="str">
        <f>TRIM(IF(SAXS!AE380&lt;&gt;"","QUIEBRE: "&amp;SAXS!AE380&amp;" · ","")&amp;IF(SAXS!AC380&lt;&gt;"","CONCENTRADA: "&amp;SAXS!AC380&amp;" · ","")&amp;IF(SAXS!AD380&lt;&gt;"","SIN STOCK ANTES 06/11 · ","")&amp;IF(SAXS!AB380&lt;&gt;"","SKU DUPLICADO",""))</f>
        <v>QUIEBRE: SÍ — stock 0 y Sep cayó (prom Feb-Ago 33) ·</v>
      </c>
      <c r="R104" s="42"/>
    </row>
    <row r="105" ht="15.75" customHeight="1">
      <c r="A105" s="76" t="s">
        <v>2111</v>
      </c>
      <c r="B105" s="24">
        <v>33.0</v>
      </c>
      <c r="C105" s="24" t="str">
        <f>SAXS!A33</f>
        <v>5100923-0000</v>
      </c>
      <c r="D105" s="24" t="str">
        <f>SAXS!C33</f>
        <v>TOKIO EVA PIQUE 3.3mm</v>
      </c>
      <c r="E105" s="24" t="str">
        <f>SAXS!D33</f>
        <v>BLANCO</v>
      </c>
      <c r="F105" s="26">
        <f>SAXS!E33</f>
        <v>0</v>
      </c>
      <c r="G105" s="26">
        <f>N(SAXS!F33)+SUM(SAXS!G33:H33)</f>
        <v>0</v>
      </c>
      <c r="H105" s="26">
        <f>SUM(SAXS!I33:M33)+IF(SAXS!$AD$3="SI",SUM(SAXS!N33),0)</f>
        <v>0</v>
      </c>
      <c r="I105" s="26">
        <f>SAXS!P33</f>
        <v>0</v>
      </c>
      <c r="J105" s="26">
        <f>SAXS!X33</f>
        <v>30</v>
      </c>
      <c r="K105" s="26">
        <f>SAXS!AF33</f>
        <v>30</v>
      </c>
      <c r="L105" s="26">
        <f t="array" ref="L105">IFERROR(AVERAGE(INDEX(Ventas!$C$2:$F$5000,MATCH(C105,Ventas!$A$2:$A$5000,0),0)),"")</f>
        <v>20</v>
      </c>
      <c r="M105" s="26">
        <f t="shared" si="1"/>
        <v>120</v>
      </c>
      <c r="N105" s="32">
        <f>SAXS!AG33</f>
        <v>120</v>
      </c>
      <c r="O105" s="26">
        <f t="shared" si="2"/>
        <v>80</v>
      </c>
      <c r="P105" s="34">
        <f t="shared" si="3"/>
        <v>0</v>
      </c>
      <c r="Q105" s="40" t="str">
        <f>TRIM(IF(SAXS!AE33&lt;&gt;"","QUIEBRE: "&amp;SAXS!AE33&amp;" · ","")&amp;IF(SAXS!AC33&lt;&gt;"","CONCENTRADA: "&amp;SAXS!AC33&amp;" · ","")&amp;IF(SAXS!AD33&lt;&gt;"","SIN STOCK ANTES 06/11 · ","")&amp;IF(SAXS!AB33&lt;&gt;"","SKU DUPLICADO",""))</f>
        <v>SIN STOCK ANTES 06/11 ·</v>
      </c>
      <c r="R105" s="42"/>
    </row>
    <row r="106" ht="15.75" customHeight="1">
      <c r="A106" s="76" t="s">
        <v>2111</v>
      </c>
      <c r="B106" s="24">
        <v>65.0</v>
      </c>
      <c r="C106" s="24" t="str">
        <f>SAXS!A65</f>
        <v>285127-0009</v>
      </c>
      <c r="D106" s="24" t="str">
        <f>SAXS!C65</f>
        <v>NAPA</v>
      </c>
      <c r="E106" s="24" t="str">
        <f>SAXS!D65</f>
        <v>CELESTE</v>
      </c>
      <c r="F106" s="26">
        <f>SAXS!E65</f>
        <v>40</v>
      </c>
      <c r="G106" s="26">
        <f>N(SAXS!F65)+SUM(SAXS!G65:H65)</f>
        <v>0</v>
      </c>
      <c r="H106" s="26">
        <f>SUM(SAXS!I65:M65)+IF(SAXS!$AD$3="SI",SUM(SAXS!N65),0)</f>
        <v>0</v>
      </c>
      <c r="I106" s="26">
        <f>SAXS!P65</f>
        <v>40</v>
      </c>
      <c r="J106" s="26">
        <f>SAXS!X65</f>
        <v>40</v>
      </c>
      <c r="K106" s="26">
        <f>SAXS!AF65</f>
        <v>40</v>
      </c>
      <c r="L106" s="26">
        <f t="array" ref="L106">IFERROR(AVERAGE(INDEX(Ventas!$C$2:$F$5000,MATCH(C106,Ventas!$A$2:$A$5000,0),0)),"")</f>
        <v>40</v>
      </c>
      <c r="M106" s="26">
        <f t="shared" si="1"/>
        <v>160</v>
      </c>
      <c r="N106" s="32">
        <f>SAXS!AG65</f>
        <v>120</v>
      </c>
      <c r="O106" s="26">
        <f t="shared" si="2"/>
        <v>120</v>
      </c>
      <c r="P106" s="34">
        <f t="shared" si="3"/>
        <v>1</v>
      </c>
      <c r="Q106" s="40" t="str">
        <f>TRIM(IF(SAXS!AE65&lt;&gt;"","QUIEBRE: "&amp;SAXS!AE65&amp;" · ","")&amp;IF(SAXS!AC65&lt;&gt;"","CONCENTRADA: "&amp;SAXS!AC65&amp;" · ","")&amp;IF(SAXS!AD65&lt;&gt;"","SIN STOCK ANTES 06/11 · ","")&amp;IF(SAXS!AB65&lt;&gt;"","SKU DUPLICADO",""))</f>
        <v/>
      </c>
      <c r="R106" s="42"/>
    </row>
    <row r="107" ht="15.75" customHeight="1">
      <c r="A107" s="76" t="s">
        <v>2111</v>
      </c>
      <c r="B107" s="24">
        <v>165.0</v>
      </c>
      <c r="C107" s="24" t="str">
        <f>SAXS!A165</f>
        <v>2852744-0156</v>
      </c>
      <c r="D107" s="24" t="str">
        <f>SAXS!C165</f>
        <v>PRAGA</v>
      </c>
      <c r="E107" s="24" t="str">
        <f>SAXS!D165</f>
        <v>OLIVA</v>
      </c>
      <c r="F107" s="26">
        <f>SAXS!E165</f>
        <v>0</v>
      </c>
      <c r="G107" s="26">
        <f>N(SAXS!F165)+SUM(SAXS!G165:H165)</f>
        <v>0</v>
      </c>
      <c r="H107" s="26">
        <f>SUM(SAXS!I165:M165)+IF(SAXS!$AD$3="SI",SUM(SAXS!N165),0)</f>
        <v>0</v>
      </c>
      <c r="I107" s="26">
        <f>SAXS!P165</f>
        <v>0</v>
      </c>
      <c r="J107" s="26">
        <f>SAXS!X165</f>
        <v>0</v>
      </c>
      <c r="K107" s="26">
        <f>SAXS!AF165</f>
        <v>29.57142857</v>
      </c>
      <c r="L107" s="26">
        <f t="array" ref="L107">IFERROR(AVERAGE(INDEX(Ventas!$C$2:$F$5000,MATCH(C107,Ventas!$A$2:$A$5000,0),0)),"")</f>
        <v>51.75</v>
      </c>
      <c r="M107" s="26">
        <f t="shared" si="1"/>
        <v>118</v>
      </c>
      <c r="N107" s="32">
        <f>SAXS!AG165</f>
        <v>118</v>
      </c>
      <c r="O107" s="26">
        <f t="shared" si="2"/>
        <v>207</v>
      </c>
      <c r="P107" s="34">
        <f t="shared" si="3"/>
        <v>0</v>
      </c>
      <c r="Q107" s="40" t="str">
        <f>TRIM(IF(SAXS!AE165&lt;&gt;"","QUIEBRE: "&amp;SAXS!AE165&amp;" · ","")&amp;IF(SAXS!AC165&lt;&gt;"","CONCENTRADA: "&amp;SAXS!AC165&amp;" · ","")&amp;IF(SAXS!AD165&lt;&gt;"","SIN STOCK ANTES 06/11 · ","")&amp;IF(SAXS!AB165&lt;&gt;"","SKU DUPLICADO",""))</f>
        <v>QUIEBRE: SÍ — stock 0 y Sep cayó (prom Feb-Ago 30) ·</v>
      </c>
      <c r="R107" s="42"/>
    </row>
    <row r="108" ht="15.75" customHeight="1">
      <c r="A108" s="76" t="s">
        <v>2111</v>
      </c>
      <c r="B108" s="24">
        <v>162.0</v>
      </c>
      <c r="C108" s="24" t="str">
        <f>SAXS!A162</f>
        <v>2852744-0000</v>
      </c>
      <c r="D108" s="24" t="str">
        <f>SAXS!C162</f>
        <v>PRAGA</v>
      </c>
      <c r="E108" s="24" t="str">
        <f>SAXS!D162</f>
        <v>BLANCO</v>
      </c>
      <c r="F108" s="26">
        <f>SAXS!E162</f>
        <v>0</v>
      </c>
      <c r="G108" s="26">
        <f>N(SAXS!F162)+SUM(SAXS!G162:H162)</f>
        <v>0</v>
      </c>
      <c r="H108" s="26">
        <f>SUM(SAXS!I162:M162)+IF(SAXS!$AD$3="SI",SUM(SAXS!N162),0)</f>
        <v>0</v>
      </c>
      <c r="I108" s="26">
        <f>SAXS!P162</f>
        <v>0</v>
      </c>
      <c r="J108" s="26">
        <f>SAXS!X162</f>
        <v>0</v>
      </c>
      <c r="K108" s="26">
        <f>SAXS!AF162</f>
        <v>28.71428571</v>
      </c>
      <c r="L108" s="26">
        <f t="array" ref="L108">IFERROR(AVERAGE(INDEX(Ventas!$C$2:$F$5000,MATCH(C108,Ventas!$A$2:$A$5000,0),0)),"")</f>
        <v>50.25</v>
      </c>
      <c r="M108" s="26">
        <f t="shared" si="1"/>
        <v>115</v>
      </c>
      <c r="N108" s="32">
        <f>SAXS!AG162</f>
        <v>115</v>
      </c>
      <c r="O108" s="26">
        <f t="shared" si="2"/>
        <v>201</v>
      </c>
      <c r="P108" s="34">
        <f t="shared" si="3"/>
        <v>0</v>
      </c>
      <c r="Q108" s="40" t="str">
        <f>TRIM(IF(SAXS!AE162&lt;&gt;"","QUIEBRE: "&amp;SAXS!AE162&amp;" · ","")&amp;IF(SAXS!AC162&lt;&gt;"","CONCENTRADA: "&amp;SAXS!AC162&amp;" · ","")&amp;IF(SAXS!AD162&lt;&gt;"","SIN STOCK ANTES 06/11 · ","")&amp;IF(SAXS!AB162&lt;&gt;"","SKU DUPLICADO",""))</f>
        <v>QUIEBRE: SÍ — stock 0 y Sep cayó (prom Feb-Ago 29) ·</v>
      </c>
      <c r="R108" s="42"/>
    </row>
    <row r="109" ht="15.75" customHeight="1">
      <c r="A109" s="76" t="s">
        <v>2111</v>
      </c>
      <c r="B109" s="24">
        <v>247.0</v>
      </c>
      <c r="C109" s="24" t="str">
        <f>SAXS!A247</f>
        <v>133923-0039</v>
      </c>
      <c r="D109" s="24" t="str">
        <f>SAXS!C247</f>
        <v>FLOTTER MET</v>
      </c>
      <c r="E109" s="24" t="str">
        <f>SAXS!D247</f>
        <v>PELTRE</v>
      </c>
      <c r="F109" s="26">
        <f>SAXS!E247</f>
        <v>0</v>
      </c>
      <c r="G109" s="26">
        <f>N(SAXS!F247)+SUM(SAXS!G247:H247)</f>
        <v>0</v>
      </c>
      <c r="H109" s="26">
        <f>SUM(SAXS!I247:M247)+IF(SAXS!$AD$3="SI",SUM(SAXS!N247),0)</f>
        <v>0</v>
      </c>
      <c r="I109" s="26">
        <f>SAXS!P247</f>
        <v>0</v>
      </c>
      <c r="J109" s="26">
        <f>SAXS!X247</f>
        <v>20</v>
      </c>
      <c r="K109" s="26">
        <f>SAXS!AF247</f>
        <v>28.57142857</v>
      </c>
      <c r="L109" s="26">
        <f t="array" ref="L109">IFERROR(AVERAGE(INDEX(Ventas!$C$2:$F$5000,MATCH(C109,Ventas!$A$2:$A$5000,0),0)),"")</f>
        <v>30</v>
      </c>
      <c r="M109" s="26">
        <f t="shared" si="1"/>
        <v>114</v>
      </c>
      <c r="N109" s="32">
        <f>SAXS!AG247</f>
        <v>114</v>
      </c>
      <c r="O109" s="26">
        <f t="shared" si="2"/>
        <v>120</v>
      </c>
      <c r="P109" s="34">
        <f t="shared" si="3"/>
        <v>0</v>
      </c>
      <c r="Q109" s="40" t="str">
        <f>TRIM(IF(SAXS!AE247&lt;&gt;"","QUIEBRE: "&amp;SAXS!AE247&amp;" · ","")&amp;IF(SAXS!AC247&lt;&gt;"","CONCENTRADA: "&amp;SAXS!AC247&amp;" · ","")&amp;IF(SAXS!AD247&lt;&gt;"","SIN STOCK ANTES 06/11 · ","")&amp;IF(SAXS!AB247&lt;&gt;"","SKU DUPLICADO",""))</f>
        <v>QUIEBRE: SÍ — stock 0 y Sep cayó (prom Feb-Ago 29) · SIN STOCK ANTES 06/11 ·</v>
      </c>
      <c r="R109" s="42"/>
    </row>
    <row r="110" ht="15.75" customHeight="1">
      <c r="A110" s="76" t="s">
        <v>2111</v>
      </c>
      <c r="B110" s="24">
        <v>341.0</v>
      </c>
      <c r="C110" s="24" t="str">
        <f>SAXS!A341</f>
        <v>030923-0009</v>
      </c>
      <c r="D110" s="24" t="str">
        <f>SAXS!C341</f>
        <v>ENGOMADO</v>
      </c>
      <c r="E110" s="24" t="str">
        <f>SAXS!D341</f>
        <v>CELESTE</v>
      </c>
      <c r="F110" s="26">
        <f>SAXS!E341</f>
        <v>0</v>
      </c>
      <c r="G110" s="26">
        <f>N(SAXS!F341)+SUM(SAXS!G341:H341)</f>
        <v>0</v>
      </c>
      <c r="H110" s="26">
        <f>SUM(SAXS!I341:M341)+IF(SAXS!$AD$3="SI",SUM(SAXS!N341),0)</f>
        <v>0</v>
      </c>
      <c r="I110" s="26">
        <f>SAXS!P341</f>
        <v>0</v>
      </c>
      <c r="J110" s="26">
        <f>SAXS!X341</f>
        <v>25</v>
      </c>
      <c r="K110" s="26">
        <f>SAXS!AF341</f>
        <v>25</v>
      </c>
      <c r="L110" s="26">
        <f t="array" ref="L110">IFERROR(AVERAGE(INDEX(Ventas!$C$2:$F$5000,MATCH(C110,Ventas!$A$2:$A$5000,0),0)),"")</f>
        <v>16.75</v>
      </c>
      <c r="M110" s="26">
        <f t="shared" si="1"/>
        <v>100</v>
      </c>
      <c r="N110" s="32">
        <f>SAXS!AG341</f>
        <v>100</v>
      </c>
      <c r="O110" s="26">
        <f t="shared" si="2"/>
        <v>67</v>
      </c>
      <c r="P110" s="34">
        <f t="shared" si="3"/>
        <v>0</v>
      </c>
      <c r="Q110" s="40" t="str">
        <f>TRIM(IF(SAXS!AE341&lt;&gt;"","QUIEBRE: "&amp;SAXS!AE341&amp;" · ","")&amp;IF(SAXS!AC341&lt;&gt;"","CONCENTRADA: "&amp;SAXS!AC341&amp;" · ","")&amp;IF(SAXS!AD341&lt;&gt;"","SIN STOCK ANTES 06/11 · ","")&amp;IF(SAXS!AB341&lt;&gt;"","SKU DUPLICADO",""))</f>
        <v>QUIEBRE: SÍ — stock 0 y Sep cayó (prom Feb-Ago 24) · SIN STOCK ANTES 06/11 ·</v>
      </c>
      <c r="R110" s="42"/>
    </row>
    <row r="111" ht="15.75" customHeight="1">
      <c r="A111" s="76" t="s">
        <v>2111</v>
      </c>
      <c r="B111" s="24">
        <v>367.0</v>
      </c>
      <c r="C111" s="24" t="str">
        <f>SAXS!A367</f>
        <v>515319-9999</v>
      </c>
      <c r="D111" s="24" t="str">
        <f>SAXS!C367</f>
        <v>CHAROL CROCO</v>
      </c>
      <c r="E111" s="24" t="str">
        <f>SAXS!D367</f>
        <v>NEGRO</v>
      </c>
      <c r="F111" s="26">
        <f>SAXS!E367</f>
        <v>50</v>
      </c>
      <c r="G111" s="26">
        <f>N(SAXS!F367)+SUM(SAXS!G367:H367)</f>
        <v>0</v>
      </c>
      <c r="H111" s="26">
        <f>SUM(SAXS!I367:M367)+IF(SAXS!$AD$3="SI",SUM(SAXS!N367),0)</f>
        <v>0</v>
      </c>
      <c r="I111" s="26">
        <f>SAXS!P367</f>
        <v>50</v>
      </c>
      <c r="J111" s="26">
        <f>SAXS!X367</f>
        <v>37.5</v>
      </c>
      <c r="K111" s="26">
        <f>SAXS!AF367</f>
        <v>37.5</v>
      </c>
      <c r="L111" s="26">
        <f t="array" ref="L111">IFERROR(AVERAGE(INDEX(Ventas!$C$2:$F$5000,MATCH(C111,Ventas!$A$2:$A$5000,0),0)),"")</f>
        <v>87.25</v>
      </c>
      <c r="M111" s="26">
        <f t="shared" si="1"/>
        <v>150</v>
      </c>
      <c r="N111" s="32">
        <f>SAXS!AG367</f>
        <v>100</v>
      </c>
      <c r="O111" s="26">
        <f t="shared" si="2"/>
        <v>299</v>
      </c>
      <c r="P111" s="34">
        <f t="shared" si="3"/>
        <v>1.3</v>
      </c>
      <c r="Q111" s="40" t="str">
        <f>TRIM(IF(SAXS!AE367&lt;&gt;"","QUIEBRE: "&amp;SAXS!AE367&amp;" · ","")&amp;IF(SAXS!AC367&lt;&gt;"","CONCENTRADA: "&amp;SAXS!AC367&amp;" · ","")&amp;IF(SAXS!AD367&lt;&gt;"","SIN STOCK ANTES 06/11 · ","")&amp;IF(SAXS!AB367&lt;&gt;"","SKU DUPLICADO",""))</f>
        <v>CONCENTRADA: 1 mes = 100% de 4 meses ·</v>
      </c>
      <c r="R111" s="42"/>
    </row>
    <row r="112" ht="15.75" customHeight="1">
      <c r="A112" s="76" t="s">
        <v>2111</v>
      </c>
      <c r="B112" s="24">
        <v>419.0</v>
      </c>
      <c r="C112" s="24" t="str">
        <f>SAXS!A419</f>
        <v>001923-0003</v>
      </c>
      <c r="D112" s="24" t="str">
        <f>SAXS!C419</f>
        <v>LONA</v>
      </c>
      <c r="E112" s="24" t="str">
        <f>SAXS!D419</f>
        <v>BEIGE</v>
      </c>
      <c r="F112" s="26">
        <f>SAXS!E419</f>
        <v>0</v>
      </c>
      <c r="G112" s="26">
        <f>N(SAXS!F419)+SUM(SAXS!G419:H419)</f>
        <v>0</v>
      </c>
      <c r="H112" s="26">
        <f>SUM(SAXS!I419:M419)+IF(SAXS!$AD$3="SI",SUM(SAXS!N419),0)</f>
        <v>0</v>
      </c>
      <c r="I112" s="26">
        <f>SAXS!P419</f>
        <v>0</v>
      </c>
      <c r="J112" s="26">
        <f>SAXS!X419</f>
        <v>25</v>
      </c>
      <c r="K112" s="26">
        <f>SAXS!AF419</f>
        <v>25</v>
      </c>
      <c r="L112" s="26">
        <f t="array" ref="L112">IFERROR(AVERAGE(INDEX(Ventas!$C$2:$F$5000,MATCH(C112,Ventas!$A$2:$A$5000,0),0)),"")</f>
        <v>25</v>
      </c>
      <c r="M112" s="26">
        <f t="shared" si="1"/>
        <v>100</v>
      </c>
      <c r="N112" s="32">
        <f>SAXS!AG419</f>
        <v>100</v>
      </c>
      <c r="O112" s="26">
        <f t="shared" si="2"/>
        <v>100</v>
      </c>
      <c r="P112" s="34">
        <f t="shared" si="3"/>
        <v>0</v>
      </c>
      <c r="Q112" s="40" t="str">
        <f>TRIM(IF(SAXS!AE419&lt;&gt;"","QUIEBRE: "&amp;SAXS!AE419&amp;" · ","")&amp;IF(SAXS!AC419&lt;&gt;"","CONCENTRADA: "&amp;SAXS!AC419&amp;" · ","")&amp;IF(SAXS!AD419&lt;&gt;"","SIN STOCK ANTES 06/11 · ","")&amp;IF(SAXS!AB419&lt;&gt;"","SKU DUPLICADO",""))</f>
        <v>SIN STOCK ANTES 06/11 ·</v>
      </c>
      <c r="R112" s="42"/>
    </row>
    <row r="113" ht="15.75" customHeight="1">
      <c r="A113" s="76" t="s">
        <v>2111</v>
      </c>
      <c r="B113" s="24">
        <v>623.0</v>
      </c>
      <c r="C113" s="24" t="str">
        <f>SAXS!A623</f>
        <v>057923-0088</v>
      </c>
      <c r="D113" s="24" t="str">
        <f>SAXS!C623</f>
        <v>Tira Valencia 3.8cm</v>
      </c>
      <c r="E113" s="24" t="str">
        <f>SAXS!D623</f>
        <v>plata/negro</v>
      </c>
      <c r="F113" s="26">
        <f>SAXS!E623</f>
        <v>141</v>
      </c>
      <c r="G113" s="26">
        <f>N(SAXS!F623)+SUM(SAXS!G623:H623)</f>
        <v>0</v>
      </c>
      <c r="H113" s="26">
        <f>SUM(SAXS!I623:M623)+IF(SAXS!$AD$3="SI",SUM(SAXS!N623),0)</f>
        <v>0</v>
      </c>
      <c r="I113" s="26">
        <f>SAXS!P623</f>
        <v>141</v>
      </c>
      <c r="J113" s="26">
        <f>SAXS!X623</f>
        <v>59.375</v>
      </c>
      <c r="K113" s="26">
        <f>SAXS!AF623</f>
        <v>59.375</v>
      </c>
      <c r="L113" s="26">
        <f t="array" ref="L113">IFERROR(AVERAGE(INDEX(Ventas!$C$2:$F$5000,MATCH(C113,Ventas!$A$2:$A$5000,0),0)),"")</f>
        <v>0</v>
      </c>
      <c r="M113" s="26">
        <f t="shared" si="1"/>
        <v>238</v>
      </c>
      <c r="N113" s="32">
        <f>SAXS!AG623</f>
        <v>97</v>
      </c>
      <c r="O113" s="26">
        <f t="shared" si="2"/>
        <v>-141</v>
      </c>
      <c r="P113" s="34">
        <f t="shared" si="3"/>
        <v>2.4</v>
      </c>
      <c r="Q113" s="40" t="str">
        <f>TRIM(IF(SAXS!AE623&lt;&gt;"","QUIEBRE: "&amp;SAXS!AE623&amp;" · ","")&amp;IF(SAXS!AC623&lt;&gt;"","CONCENTRADA: "&amp;SAXS!AC623&amp;" · ","")&amp;IF(SAXS!AD623&lt;&gt;"","SIN STOCK ANTES 06/11 · ","")&amp;IF(SAXS!AB623&lt;&gt;"","SKU DUPLICADO",""))</f>
        <v>CONCENTRADA: 1 mes = 80% de 4 meses ·</v>
      </c>
      <c r="R113" s="42"/>
    </row>
    <row r="114" ht="15.75" customHeight="1">
      <c r="A114" s="76" t="s">
        <v>2111</v>
      </c>
      <c r="B114" s="24">
        <v>434.0</v>
      </c>
      <c r="C114" s="24" t="str">
        <f>SAXS!A434</f>
        <v>588923-9999</v>
      </c>
      <c r="D114" s="24" t="str">
        <f>SAXS!C434</f>
        <v>ARMANI </v>
      </c>
      <c r="E114" s="24" t="str">
        <f>SAXS!D434</f>
        <v>NEGRO</v>
      </c>
      <c r="F114" s="26">
        <f>SAXS!E434</f>
        <v>130</v>
      </c>
      <c r="G114" s="26">
        <f>N(SAXS!F434)+SUM(SAXS!G434:H434)</f>
        <v>0</v>
      </c>
      <c r="H114" s="26">
        <f>SUM(SAXS!I434:M434)+IF(SAXS!$AD$3="SI",SUM(SAXS!N434),0)</f>
        <v>0</v>
      </c>
      <c r="I114" s="26">
        <f>SAXS!P434</f>
        <v>130</v>
      </c>
      <c r="J114" s="26">
        <f>SAXS!X434</f>
        <v>55.85</v>
      </c>
      <c r="K114" s="26">
        <f>SAXS!AF434</f>
        <v>55.85</v>
      </c>
      <c r="L114" s="26">
        <f t="array" ref="L114">IFERROR(AVERAGE(INDEX(Ventas!$C$2:$F$5000,MATCH(C114,Ventas!$A$2:$A$5000,0),0)),"")</f>
        <v>62.5</v>
      </c>
      <c r="M114" s="26">
        <f t="shared" si="1"/>
        <v>223</v>
      </c>
      <c r="N114" s="32">
        <f>SAXS!AG434</f>
        <v>93</v>
      </c>
      <c r="O114" s="26">
        <f t="shared" si="2"/>
        <v>120</v>
      </c>
      <c r="P114" s="34">
        <f t="shared" si="3"/>
        <v>2.3</v>
      </c>
      <c r="Q114" s="40" t="str">
        <f>TRIM(IF(SAXS!AE434&lt;&gt;"","QUIEBRE: "&amp;SAXS!AE434&amp;" · ","")&amp;IF(SAXS!AC434&lt;&gt;"","CONCENTRADA: "&amp;SAXS!AC434&amp;" · ","")&amp;IF(SAXS!AD434&lt;&gt;"","SIN STOCK ANTES 06/11 · ","")&amp;IF(SAXS!AB434&lt;&gt;"","SKU DUPLICADO",""))</f>
        <v>CONCENTRADA: 1 mes = 100% de 4 meses ·</v>
      </c>
      <c r="R114" s="42"/>
    </row>
    <row r="115" ht="15.75" customHeight="1">
      <c r="A115" s="76" t="s">
        <v>2111</v>
      </c>
      <c r="B115" s="24">
        <v>164.0</v>
      </c>
      <c r="C115" s="24" t="str">
        <f>SAXS!A164</f>
        <v>2852744-0193</v>
      </c>
      <c r="D115" s="24" t="str">
        <f>SAXS!C164</f>
        <v>PRAGA</v>
      </c>
      <c r="E115" s="24" t="str">
        <f>SAXS!D164</f>
        <v>VERDE BENETTON </v>
      </c>
      <c r="F115" s="26">
        <f>SAXS!E164</f>
        <v>0</v>
      </c>
      <c r="G115" s="26">
        <f>N(SAXS!F164)+SUM(SAXS!G164:H164)</f>
        <v>0</v>
      </c>
      <c r="H115" s="26">
        <f>SUM(SAXS!I164:M164)+IF(SAXS!$AD$3="SI",SUM(SAXS!N164),0)</f>
        <v>0</v>
      </c>
      <c r="I115" s="26">
        <f>SAXS!P164</f>
        <v>0</v>
      </c>
      <c r="J115" s="26">
        <f>SAXS!X164</f>
        <v>22.75</v>
      </c>
      <c r="K115" s="26">
        <f>SAXS!AF164</f>
        <v>22.75</v>
      </c>
      <c r="L115" s="26">
        <f t="array" ref="L115">IFERROR(AVERAGE(INDEX(Ventas!$C$2:$F$5000,MATCH(C115,Ventas!$A$2:$A$5000,0),0)),"")</f>
        <v>6.25</v>
      </c>
      <c r="M115" s="26">
        <f t="shared" si="1"/>
        <v>91</v>
      </c>
      <c r="N115" s="32">
        <f>SAXS!AG164</f>
        <v>91</v>
      </c>
      <c r="O115" s="26">
        <f t="shared" si="2"/>
        <v>25</v>
      </c>
      <c r="P115" s="34">
        <f t="shared" si="3"/>
        <v>0</v>
      </c>
      <c r="Q115" s="40" t="str">
        <f>TRIM(IF(SAXS!AE164&lt;&gt;"","QUIEBRE: "&amp;SAXS!AE164&amp;" · ","")&amp;IF(SAXS!AC164&lt;&gt;"","CONCENTRADA: "&amp;SAXS!AC164&amp;" · ","")&amp;IF(SAXS!AD164&lt;&gt;"","SIN STOCK ANTES 06/11 · ","")&amp;IF(SAXS!AB164&lt;&gt;"","SKU DUPLICADO",""))</f>
        <v>CONCENTRADA: 1 mes = 55% de 4 meses · SIN STOCK ANTES 06/11 ·</v>
      </c>
      <c r="R115" s="42"/>
    </row>
    <row r="116" ht="15.75" customHeight="1">
      <c r="A116" s="76" t="s">
        <v>2111</v>
      </c>
      <c r="B116" s="24">
        <v>248.0</v>
      </c>
      <c r="C116" s="24" t="str">
        <f>SAXS!A248</f>
        <v>133923-0165</v>
      </c>
      <c r="D116" s="24" t="str">
        <f>SAXS!C248</f>
        <v>FLOTTER MET</v>
      </c>
      <c r="E116" s="24" t="str">
        <f>SAXS!D248</f>
        <v>PERLA</v>
      </c>
      <c r="F116" s="26">
        <f>SAXS!E248</f>
        <v>0</v>
      </c>
      <c r="G116" s="26">
        <f>N(SAXS!F248)+SUM(SAXS!G248:H248)</f>
        <v>0</v>
      </c>
      <c r="H116" s="26">
        <f>SUM(SAXS!I248:M248)+IF(SAXS!$AD$3="SI",SUM(SAXS!N248),0)</f>
        <v>0</v>
      </c>
      <c r="I116" s="26">
        <f>SAXS!P248</f>
        <v>0</v>
      </c>
      <c r="J116" s="26">
        <f>SAXS!X248</f>
        <v>20</v>
      </c>
      <c r="K116" s="26">
        <f>SAXS!AF248</f>
        <v>22.85714286</v>
      </c>
      <c r="L116" s="26">
        <f t="array" ref="L116">IFERROR(AVERAGE(INDEX(Ventas!$C$2:$F$5000,MATCH(C116,Ventas!$A$2:$A$5000,0),0)),"")</f>
        <v>20</v>
      </c>
      <c r="M116" s="26">
        <f t="shared" si="1"/>
        <v>91</v>
      </c>
      <c r="N116" s="32">
        <f>SAXS!AG248</f>
        <v>91</v>
      </c>
      <c r="O116" s="26">
        <f t="shared" si="2"/>
        <v>80</v>
      </c>
      <c r="P116" s="34">
        <f t="shared" si="3"/>
        <v>0</v>
      </c>
      <c r="Q116" s="40" t="str">
        <f>TRIM(IF(SAXS!AE248&lt;&gt;"","QUIEBRE: "&amp;SAXS!AE248&amp;" · ","")&amp;IF(SAXS!AC248&lt;&gt;"","CONCENTRADA: "&amp;SAXS!AC248&amp;" · ","")&amp;IF(SAXS!AD248&lt;&gt;"","SIN STOCK ANTES 06/11 · ","")&amp;IF(SAXS!AB248&lt;&gt;"","SKU DUPLICADO",""))</f>
        <v>QUIEBRE: SÍ — stock 0 y Sep cayó (prom Feb-Ago 23) · CONCENTRADA: 1 mes = 88% de 4 meses · SIN STOCK ANTES 06/11 ·</v>
      </c>
      <c r="R116" s="42"/>
    </row>
    <row r="117" ht="15.75" customHeight="1">
      <c r="A117" s="76" t="s">
        <v>2111</v>
      </c>
      <c r="B117" s="24">
        <v>244.0</v>
      </c>
      <c r="C117" s="24" t="str">
        <f>SAXS!A244</f>
        <v>2831018-0030</v>
      </c>
      <c r="D117" s="24" t="str">
        <f>SAXS!C244</f>
        <v>NAPA MET</v>
      </c>
      <c r="E117" s="24" t="str">
        <f>SAXS!D244</f>
        <v>TORNASOL PLATA</v>
      </c>
      <c r="F117" s="26">
        <f>SAXS!E244</f>
        <v>0</v>
      </c>
      <c r="G117" s="26">
        <f>N(SAXS!F244)+SUM(SAXS!G244:H244)</f>
        <v>0</v>
      </c>
      <c r="H117" s="26">
        <f>SUM(SAXS!I244:M244)+IF(SAXS!$AD$3="SI",SUM(SAXS!N244),0)</f>
        <v>0</v>
      </c>
      <c r="I117" s="26">
        <f>SAXS!P244</f>
        <v>0</v>
      </c>
      <c r="J117" s="26">
        <f>SAXS!X244</f>
        <v>0</v>
      </c>
      <c r="K117" s="26">
        <f>SAXS!AF244</f>
        <v>21.42857143</v>
      </c>
      <c r="L117" s="26">
        <f t="array" ref="L117">IFERROR(AVERAGE(INDEX(Ventas!$C$2:$F$5000,MATCH(C117,Ventas!$A$2:$A$5000,0),0)),"")</f>
        <v>37.5</v>
      </c>
      <c r="M117" s="26">
        <f t="shared" si="1"/>
        <v>86</v>
      </c>
      <c r="N117" s="32">
        <f>SAXS!AG244</f>
        <v>86</v>
      </c>
      <c r="O117" s="26">
        <f t="shared" si="2"/>
        <v>150</v>
      </c>
      <c r="P117" s="34">
        <f t="shared" si="3"/>
        <v>0</v>
      </c>
      <c r="Q117" s="40" t="str">
        <f>TRIM(IF(SAXS!AE244&lt;&gt;"","QUIEBRE: "&amp;SAXS!AE244&amp;" · ","")&amp;IF(SAXS!AC244&lt;&gt;"","CONCENTRADA: "&amp;SAXS!AC244&amp;" · ","")&amp;IF(SAXS!AD244&lt;&gt;"","SIN STOCK ANTES 06/11 · ","")&amp;IF(SAXS!AB244&lt;&gt;"","SKU DUPLICADO",""))</f>
        <v>QUIEBRE: SÍ — stock 0 y Sep cayó (prom Feb-Ago 21) ·</v>
      </c>
      <c r="R117" s="42"/>
    </row>
    <row r="118" ht="15.75" customHeight="1">
      <c r="A118" s="76" t="s">
        <v>2111</v>
      </c>
      <c r="B118" s="24">
        <v>376.0</v>
      </c>
      <c r="C118" s="24" t="str">
        <f>SAXS!A376</f>
        <v>033923-0181</v>
      </c>
      <c r="D118" s="24" t="str">
        <f>SAXS!C376</f>
        <v>NEOPRENE</v>
      </c>
      <c r="E118" s="24" t="str">
        <f>SAXS!D376</f>
        <v>BLANCO/NEGRO</v>
      </c>
      <c r="F118" s="26">
        <f>SAXS!E376</f>
        <v>0</v>
      </c>
      <c r="G118" s="26">
        <f>N(SAXS!F376)+SUM(SAXS!G376:H376)</f>
        <v>0</v>
      </c>
      <c r="H118" s="26">
        <f>SUM(SAXS!I376:M376)+IF(SAXS!$AD$3="SI",SUM(SAXS!N376),0)</f>
        <v>0</v>
      </c>
      <c r="I118" s="26">
        <f>SAXS!P376</f>
        <v>0</v>
      </c>
      <c r="J118" s="26">
        <f>SAXS!X376</f>
        <v>0</v>
      </c>
      <c r="K118" s="26">
        <f>SAXS!AF376</f>
        <v>20.35714286</v>
      </c>
      <c r="L118" s="26">
        <f t="array" ref="L118">IFERROR(AVERAGE(INDEX(Ventas!$C$2:$F$5000,MATCH(C118,Ventas!$A$2:$A$5000,0),0)),"")</f>
        <v>35.625</v>
      </c>
      <c r="M118" s="26">
        <f t="shared" si="1"/>
        <v>81</v>
      </c>
      <c r="N118" s="32">
        <f>SAXS!AG376</f>
        <v>81</v>
      </c>
      <c r="O118" s="26">
        <f t="shared" si="2"/>
        <v>143</v>
      </c>
      <c r="P118" s="34">
        <f t="shared" si="3"/>
        <v>0</v>
      </c>
      <c r="Q118" s="40" t="str">
        <f>TRIM(IF(SAXS!AE376&lt;&gt;"","QUIEBRE: "&amp;SAXS!AE376&amp;" · ","")&amp;IF(SAXS!AC376&lt;&gt;"","CONCENTRADA: "&amp;SAXS!AC376&amp;" · ","")&amp;IF(SAXS!AD376&lt;&gt;"","SIN STOCK ANTES 06/11 · ","")&amp;IF(SAXS!AB376&lt;&gt;"","SKU DUPLICADO",""))</f>
        <v>QUIEBRE: SÍ — stock 0 y Sep cayó (prom Feb-Ago 20) ·</v>
      </c>
      <c r="R118" s="42"/>
    </row>
    <row r="119" ht="15.75" customHeight="1">
      <c r="A119" s="76" t="s">
        <v>2111</v>
      </c>
      <c r="B119" s="24">
        <v>208.0</v>
      </c>
      <c r="C119" s="24" t="str">
        <f>SAXS!A208</f>
        <v>132127-0188</v>
      </c>
      <c r="D119" s="24" t="str">
        <f>SAXS!C208</f>
        <v>FLOTTER</v>
      </c>
      <c r="E119" s="24" t="str">
        <f>SAXS!D208</f>
        <v>CHICLE</v>
      </c>
      <c r="F119" s="26">
        <f>SAXS!E208</f>
        <v>0</v>
      </c>
      <c r="G119" s="26">
        <f>N(SAXS!F208)+SUM(SAXS!G208:H208)</f>
        <v>0</v>
      </c>
      <c r="H119" s="26">
        <f>SUM(SAXS!I208:M208)+IF(SAXS!$AD$3="SI",SUM(SAXS!N208),0)</f>
        <v>0</v>
      </c>
      <c r="I119" s="26">
        <f>SAXS!P208</f>
        <v>0</v>
      </c>
      <c r="J119" s="26">
        <f>SAXS!X208</f>
        <v>19.5</v>
      </c>
      <c r="K119" s="26">
        <f>SAXS!AF208</f>
        <v>19.5</v>
      </c>
      <c r="L119" s="26">
        <f t="array" ref="L119">IFERROR(AVERAGE(INDEX(Ventas!$C$2:$F$5000,MATCH(C119,Ventas!$A$2:$A$5000,0),0)),"")</f>
        <v>0</v>
      </c>
      <c r="M119" s="26">
        <f t="shared" si="1"/>
        <v>78</v>
      </c>
      <c r="N119" s="32">
        <f>SAXS!AG208</f>
        <v>78</v>
      </c>
      <c r="O119" s="26">
        <f t="shared" si="2"/>
        <v>0</v>
      </c>
      <c r="P119" s="34">
        <f t="shared" si="3"/>
        <v>0</v>
      </c>
      <c r="Q119" s="40" t="str">
        <f>TRIM(IF(SAXS!AE208&lt;&gt;"","QUIEBRE: "&amp;SAXS!AE208&amp;" · ","")&amp;IF(SAXS!AC208&lt;&gt;"","CONCENTRADA: "&amp;SAXS!AC208&amp;" · ","")&amp;IF(SAXS!AD208&lt;&gt;"","SIN STOCK ANTES 06/11 · ","")&amp;IF(SAXS!AB208&lt;&gt;"","SKU DUPLICADO",""))</f>
        <v>CONCENTRADA: 1 mes = 51% de 4 meses · SIN STOCK ANTES 06/11 ·</v>
      </c>
      <c r="R119" s="42"/>
    </row>
    <row r="120" ht="15.75" customHeight="1">
      <c r="A120" s="76" t="s">
        <v>2111</v>
      </c>
      <c r="B120" s="24">
        <v>97.0</v>
      </c>
      <c r="C120" s="24" t="str">
        <f>SAXS!A97</f>
        <v>027923-0256</v>
      </c>
      <c r="D120" s="24" t="str">
        <f>SAXS!C97</f>
        <v>TEXA</v>
      </c>
      <c r="E120" s="24" t="str">
        <f>SAXS!D97</f>
        <v>PRINT SUELA</v>
      </c>
      <c r="F120" s="26">
        <f>SAXS!E97</f>
        <v>50</v>
      </c>
      <c r="G120" s="26">
        <f>N(SAXS!F97)+SUM(SAXS!G97:H97)</f>
        <v>0</v>
      </c>
      <c r="H120" s="26">
        <f>SUM(SAXS!I97:M97)+IF(SAXS!$AD$3="SI",SUM(SAXS!N97),0)</f>
        <v>0</v>
      </c>
      <c r="I120" s="26">
        <f>SAXS!P97</f>
        <v>50</v>
      </c>
      <c r="J120" s="26">
        <f>SAXS!X97</f>
        <v>25</v>
      </c>
      <c r="K120" s="26">
        <f>SAXS!AF97</f>
        <v>25</v>
      </c>
      <c r="L120" s="26">
        <f t="array" ref="L120">IFERROR(AVERAGE(INDEX(Ventas!$C$2:$F$5000,MATCH(C120,Ventas!$A$2:$A$5000,0),0)),"")</f>
        <v>41.625</v>
      </c>
      <c r="M120" s="26">
        <f t="shared" si="1"/>
        <v>100</v>
      </c>
      <c r="N120" s="32">
        <f>SAXS!AG97</f>
        <v>50</v>
      </c>
      <c r="O120" s="26">
        <f t="shared" si="2"/>
        <v>117</v>
      </c>
      <c r="P120" s="34">
        <f t="shared" si="3"/>
        <v>2</v>
      </c>
      <c r="Q120" s="40" t="str">
        <f>TRIM(IF(SAXS!AE97&lt;&gt;"","QUIEBRE: "&amp;SAXS!AE97&amp;" · ","")&amp;IF(SAXS!AC97&lt;&gt;"","CONCENTRADA: "&amp;SAXS!AC97&amp;" · ","")&amp;IF(SAXS!AD97&lt;&gt;"","SIN STOCK ANTES 06/11 · ","")&amp;IF(SAXS!AB97&lt;&gt;"","SKU DUPLICADO",""))</f>
        <v/>
      </c>
      <c r="R120" s="42"/>
    </row>
    <row r="121" ht="15.75" customHeight="1">
      <c r="A121" s="76" t="s">
        <v>2111</v>
      </c>
      <c r="B121" s="24">
        <v>649.0</v>
      </c>
      <c r="C121" s="24" t="str">
        <f>SAXS!A649</f>
        <v>01627923-0030-0001</v>
      </c>
      <c r="D121" s="24" t="str">
        <f>SAXS!C649</f>
        <v/>
      </c>
      <c r="E121" s="24" t="str">
        <f>SAXS!D649</f>
        <v>KRONOS PLATA (ADORNO B)</v>
      </c>
      <c r="F121" s="26">
        <f>SAXS!E649</f>
        <v>10</v>
      </c>
      <c r="G121" s="26">
        <f>N(SAXS!F649)+SUM(SAXS!G649:H649)</f>
        <v>0</v>
      </c>
      <c r="H121" s="26">
        <f>SUM(SAXS!I649:M649)+IF(SAXS!$AD$3="SI",SUM(SAXS!N649),0)</f>
        <v>0</v>
      </c>
      <c r="I121" s="26">
        <f>SAXS!P649</f>
        <v>10</v>
      </c>
      <c r="J121" s="26">
        <f>SAXS!X649</f>
        <v>15</v>
      </c>
      <c r="K121" s="26">
        <f>SAXS!AF649</f>
        <v>15</v>
      </c>
      <c r="L121" s="26">
        <f t="array" ref="L121">IFERROR(AVERAGE(INDEX(Ventas!$C$2:$F$5000,MATCH(C121,Ventas!$A$2:$A$5000,0),0)),"")</f>
        <v>0</v>
      </c>
      <c r="M121" s="26">
        <f t="shared" si="1"/>
        <v>60</v>
      </c>
      <c r="N121" s="32">
        <f>SAXS!AG649</f>
        <v>50</v>
      </c>
      <c r="O121" s="26">
        <f t="shared" si="2"/>
        <v>-10</v>
      </c>
      <c r="P121" s="34">
        <f t="shared" si="3"/>
        <v>0.7</v>
      </c>
      <c r="Q121" s="40" t="str">
        <f>TRIM(IF(SAXS!AE649&lt;&gt;"","QUIEBRE: "&amp;SAXS!AE649&amp;" · ","")&amp;IF(SAXS!AC649&lt;&gt;"","CONCENTRADA: "&amp;SAXS!AC649&amp;" · ","")&amp;IF(SAXS!AD649&lt;&gt;"","SIN STOCK ANTES 06/11 · ","")&amp;IF(SAXS!AB649&lt;&gt;"","SKU DUPLICADO",""))</f>
        <v>CONCENTRADA: 1 mes = 100% de 4 meses ·</v>
      </c>
      <c r="R121" s="42"/>
    </row>
    <row r="122" ht="15.75" customHeight="1">
      <c r="A122" s="76" t="s">
        <v>2111</v>
      </c>
      <c r="B122" s="24">
        <v>385.0</v>
      </c>
      <c r="C122" s="24" t="str">
        <f>SAXS!A385</f>
        <v>1019923-0008</v>
      </c>
      <c r="D122" s="24" t="str">
        <f>SAXS!C385</f>
        <v>LYCRA DOBLE</v>
      </c>
      <c r="E122" s="24" t="str">
        <f>SAXS!D385</f>
        <v>CORAL</v>
      </c>
      <c r="F122" s="26">
        <f>SAXS!E385</f>
        <v>0</v>
      </c>
      <c r="G122" s="26">
        <f>N(SAXS!F385)+SUM(SAXS!G385:H385)</f>
        <v>0</v>
      </c>
      <c r="H122" s="26">
        <f>SUM(SAXS!I385:M385)+IF(SAXS!$AD$3="SI",SUM(SAXS!N385),0)</f>
        <v>0</v>
      </c>
      <c r="I122" s="26">
        <f>SAXS!P385</f>
        <v>0</v>
      </c>
      <c r="J122" s="26">
        <f>SAXS!X385</f>
        <v>12.25</v>
      </c>
      <c r="K122" s="26">
        <f>SAXS!AF385</f>
        <v>12.25</v>
      </c>
      <c r="L122" s="26">
        <f t="array" ref="L122">IFERROR(AVERAGE(INDEX(Ventas!$C$2:$F$5000,MATCH(C122,Ventas!$A$2:$A$5000,0),0)),"")</f>
        <v>0</v>
      </c>
      <c r="M122" s="26">
        <f t="shared" si="1"/>
        <v>49</v>
      </c>
      <c r="N122" s="32">
        <f>SAXS!AG385</f>
        <v>49</v>
      </c>
      <c r="O122" s="26">
        <f t="shared" si="2"/>
        <v>0</v>
      </c>
      <c r="P122" s="34">
        <f t="shared" si="3"/>
        <v>0</v>
      </c>
      <c r="Q122" s="40" t="str">
        <f>TRIM(IF(SAXS!AE385&lt;&gt;"","QUIEBRE: "&amp;SAXS!AE385&amp;" · ","")&amp;IF(SAXS!AC385&lt;&gt;"","CONCENTRADA: "&amp;SAXS!AC385&amp;" · ","")&amp;IF(SAXS!AD385&lt;&gt;"","SIN STOCK ANTES 06/11 · ","")&amp;IF(SAXS!AB385&lt;&gt;"","SKU DUPLICADO",""))</f>
        <v>QUIEBRE: SÍ — stock 0 y Sep cayó (prom Feb-Ago 7) · CONCENTRADA: 1 mes = 100% de 4 meses · SIN STOCK ANTES 06/11 ·</v>
      </c>
      <c r="R122" s="42"/>
    </row>
    <row r="123" ht="15.75" customHeight="1">
      <c r="A123" s="76" t="s">
        <v>2111</v>
      </c>
      <c r="B123" s="24">
        <v>357.0</v>
      </c>
      <c r="C123" s="24" t="str">
        <f>SAXS!A357</f>
        <v>004127-0014</v>
      </c>
      <c r="D123" s="24" t="str">
        <f>SAXS!C357</f>
        <v>CHAROL 0.8 MM</v>
      </c>
      <c r="E123" s="24" t="str">
        <f>SAXS!D357</f>
        <v>LILA</v>
      </c>
      <c r="F123" s="26">
        <f>SAXS!E357</f>
        <v>150</v>
      </c>
      <c r="G123" s="26">
        <f>N(SAXS!F357)+SUM(SAXS!G357:H357)</f>
        <v>0</v>
      </c>
      <c r="H123" s="26">
        <f>SUM(SAXS!I357:M357)+IF(SAXS!$AD$3="SI",SUM(SAXS!N357),0)</f>
        <v>0</v>
      </c>
      <c r="I123" s="26">
        <f>SAXS!P357</f>
        <v>150</v>
      </c>
      <c r="J123" s="26">
        <f>SAXS!X357</f>
        <v>49.5</v>
      </c>
      <c r="K123" s="26">
        <f>SAXS!AF357</f>
        <v>49.5</v>
      </c>
      <c r="L123" s="26">
        <f t="array" ref="L123">IFERROR(AVERAGE(INDEX(Ventas!$C$2:$F$5000,MATCH(C123,Ventas!$A$2:$A$5000,0),0)),"")</f>
        <v>12.5</v>
      </c>
      <c r="M123" s="26">
        <f t="shared" si="1"/>
        <v>198</v>
      </c>
      <c r="N123" s="32">
        <f>SAXS!AG357</f>
        <v>48</v>
      </c>
      <c r="O123" s="26">
        <f t="shared" si="2"/>
        <v>-100</v>
      </c>
      <c r="P123" s="34">
        <f t="shared" si="3"/>
        <v>3</v>
      </c>
      <c r="Q123" s="40" t="str">
        <f>TRIM(IF(SAXS!AE357&lt;&gt;"","QUIEBRE: "&amp;SAXS!AE357&amp;" · ","")&amp;IF(SAXS!AC357&lt;&gt;"","CONCENTRADA: "&amp;SAXS!AC357&amp;" · ","")&amp;IF(SAXS!AD357&lt;&gt;"","SIN STOCK ANTES 06/11 · ","")&amp;IF(SAXS!AB357&lt;&gt;"","SKU DUPLICADO",""))</f>
        <v/>
      </c>
      <c r="R123" s="42"/>
    </row>
    <row r="124" ht="15.75" customHeight="1">
      <c r="A124" s="76" t="s">
        <v>2111</v>
      </c>
      <c r="B124" s="24">
        <v>423.0</v>
      </c>
      <c r="C124" s="24" t="str">
        <f>SAXS!A423</f>
        <v>397744-0014</v>
      </c>
      <c r="D124" s="24" t="str">
        <f>SAXS!C423</f>
        <v>MONACO</v>
      </c>
      <c r="E124" s="24" t="str">
        <f>SAXS!D423</f>
        <v>LILA</v>
      </c>
      <c r="F124" s="26">
        <f>SAXS!E423</f>
        <v>0</v>
      </c>
      <c r="G124" s="26">
        <f>N(SAXS!F423)+SUM(SAXS!G423:H423)</f>
        <v>0</v>
      </c>
      <c r="H124" s="26">
        <f>SUM(SAXS!I423:M423)+IF(SAXS!$AD$3="SI",SUM(SAXS!N423),0)</f>
        <v>0</v>
      </c>
      <c r="I124" s="26">
        <f>SAXS!P423</f>
        <v>0</v>
      </c>
      <c r="J124" s="26">
        <f>SAXS!X423</f>
        <v>0</v>
      </c>
      <c r="K124" s="26">
        <f>SAXS!AF423</f>
        <v>12</v>
      </c>
      <c r="L124" s="26">
        <f t="array" ref="L124">IFERROR(AVERAGE(INDEX(Ventas!$C$2:$F$5000,MATCH(C124,Ventas!$A$2:$A$5000,0),0)),"")</f>
        <v>21</v>
      </c>
      <c r="M124" s="26">
        <f t="shared" si="1"/>
        <v>48</v>
      </c>
      <c r="N124" s="32">
        <f>SAXS!AG423</f>
        <v>48</v>
      </c>
      <c r="O124" s="26">
        <f t="shared" si="2"/>
        <v>84</v>
      </c>
      <c r="P124" s="34">
        <f t="shared" si="3"/>
        <v>0</v>
      </c>
      <c r="Q124" s="40" t="str">
        <f>TRIM(IF(SAXS!AE423&lt;&gt;"","QUIEBRE: "&amp;SAXS!AE423&amp;" · ","")&amp;IF(SAXS!AC423&lt;&gt;"","CONCENTRADA: "&amp;SAXS!AC423&amp;" · ","")&amp;IF(SAXS!AD423&lt;&gt;"","SIN STOCK ANTES 06/11 · ","")&amp;IF(SAXS!AB423&lt;&gt;"","SKU DUPLICADO",""))</f>
        <v>QUIEBRE: SÍ — stock 0 y Sep cayó (prom Feb-Ago 12) ·</v>
      </c>
      <c r="R124" s="42"/>
    </row>
    <row r="125" ht="15.75" customHeight="1">
      <c r="A125" s="76" t="s">
        <v>2111</v>
      </c>
      <c r="B125" s="24">
        <v>174.0</v>
      </c>
      <c r="C125" s="24" t="str">
        <f>SAXS!A174</f>
        <v>2852744-0004</v>
      </c>
      <c r="D125" s="24" t="str">
        <f>SAXS!C174</f>
        <v>PRAGA</v>
      </c>
      <c r="E125" s="24" t="str">
        <f>SAXS!D174</f>
        <v>BORDO</v>
      </c>
      <c r="F125" s="26">
        <f>SAXS!E174</f>
        <v>0</v>
      </c>
      <c r="G125" s="26">
        <f>N(SAXS!F174)+SUM(SAXS!G174:H174)</f>
        <v>0</v>
      </c>
      <c r="H125" s="26">
        <f>SUM(SAXS!I174:M174)+IF(SAXS!$AD$3="SI",SUM(SAXS!N174),0)</f>
        <v>0</v>
      </c>
      <c r="I125" s="26">
        <f>SAXS!P174</f>
        <v>0</v>
      </c>
      <c r="J125" s="26">
        <f>SAXS!X174</f>
        <v>0</v>
      </c>
      <c r="K125" s="26">
        <f>SAXS!AF174</f>
        <v>11.14285714</v>
      </c>
      <c r="L125" s="26">
        <f t="array" ref="L125">IFERROR(AVERAGE(INDEX(Ventas!$C$2:$F$5000,MATCH(C125,Ventas!$A$2:$A$5000,0),0)),"")</f>
        <v>19.5</v>
      </c>
      <c r="M125" s="26">
        <f t="shared" si="1"/>
        <v>45</v>
      </c>
      <c r="N125" s="32">
        <f>SAXS!AG174</f>
        <v>45</v>
      </c>
      <c r="O125" s="26">
        <f t="shared" si="2"/>
        <v>78</v>
      </c>
      <c r="P125" s="34">
        <f t="shared" si="3"/>
        <v>0</v>
      </c>
      <c r="Q125" s="40" t="str">
        <f>TRIM(IF(SAXS!AE174&lt;&gt;"","QUIEBRE: "&amp;SAXS!AE174&amp;" · ","")&amp;IF(SAXS!AC174&lt;&gt;"","CONCENTRADA: "&amp;SAXS!AC174&amp;" · ","")&amp;IF(SAXS!AD174&lt;&gt;"","SIN STOCK ANTES 06/11 · ","")&amp;IF(SAXS!AB174&lt;&gt;"","SKU DUPLICADO",""))</f>
        <v>QUIEBRE: SÍ — stock 0 y Sep cayó (prom Feb-Ago 11) ·</v>
      </c>
      <c r="R125" s="42"/>
    </row>
    <row r="126" ht="15.75" customHeight="1">
      <c r="A126" s="76" t="s">
        <v>2111</v>
      </c>
      <c r="B126" s="24">
        <v>175.0</v>
      </c>
      <c r="C126" s="24" t="str">
        <f>SAXS!A175</f>
        <v>2852744-0033</v>
      </c>
      <c r="D126" s="24" t="str">
        <f>SAXS!C175</f>
        <v>PRAGA</v>
      </c>
      <c r="E126" s="24" t="str">
        <f>SAXS!D175</f>
        <v>VERDE(SONORA)</v>
      </c>
      <c r="F126" s="26">
        <f>SAXS!E175</f>
        <v>0</v>
      </c>
      <c r="G126" s="26">
        <f>N(SAXS!F175)+SUM(SAXS!G175:H175)</f>
        <v>0</v>
      </c>
      <c r="H126" s="26">
        <f>SUM(SAXS!I175:M175)+IF(SAXS!$AD$3="SI",SUM(SAXS!N175),0)</f>
        <v>0</v>
      </c>
      <c r="I126" s="26">
        <f>SAXS!P175</f>
        <v>0</v>
      </c>
      <c r="J126" s="26">
        <f>SAXS!X175</f>
        <v>0</v>
      </c>
      <c r="K126" s="26">
        <f>SAXS!AF175</f>
        <v>10.31428571</v>
      </c>
      <c r="L126" s="26">
        <f t="array" ref="L126">IFERROR(AVERAGE(INDEX(Ventas!$C$2:$F$5000,MATCH(C126,Ventas!$A$2:$A$5000,0),0)),"")</f>
        <v>18.05</v>
      </c>
      <c r="M126" s="26">
        <f t="shared" si="1"/>
        <v>41</v>
      </c>
      <c r="N126" s="32">
        <f>SAXS!AG175</f>
        <v>41</v>
      </c>
      <c r="O126" s="26">
        <f t="shared" si="2"/>
        <v>72</v>
      </c>
      <c r="P126" s="34">
        <f t="shared" si="3"/>
        <v>0</v>
      </c>
      <c r="Q126" s="40" t="str">
        <f>TRIM(IF(SAXS!AE175&lt;&gt;"","QUIEBRE: "&amp;SAXS!AE175&amp;" · ","")&amp;IF(SAXS!AC175&lt;&gt;"","CONCENTRADA: "&amp;SAXS!AC175&amp;" · ","")&amp;IF(SAXS!AD175&lt;&gt;"","SIN STOCK ANTES 06/11 · ","")&amp;IF(SAXS!AB175&lt;&gt;"","SKU DUPLICADO",""))</f>
        <v>QUIEBRE: SÍ — stock 0 y Sep cayó (prom Feb-Ago 10) ·</v>
      </c>
      <c r="R126" s="42"/>
    </row>
    <row r="127" ht="15.75" customHeight="1">
      <c r="A127" s="76" t="s">
        <v>2111</v>
      </c>
      <c r="B127" s="24">
        <v>246.0</v>
      </c>
      <c r="C127" s="24" t="str">
        <f>SAXS!A246</f>
        <v>133923-0149</v>
      </c>
      <c r="D127" s="24" t="str">
        <f>SAXS!C246</f>
        <v>FLOTTER MET</v>
      </c>
      <c r="E127" s="24" t="str">
        <f>SAXS!D246</f>
        <v>ROSE GOLD</v>
      </c>
      <c r="F127" s="26">
        <f>SAXS!E246</f>
        <v>80</v>
      </c>
      <c r="G127" s="26">
        <f>N(SAXS!F246)+SUM(SAXS!G246:H246)</f>
        <v>0</v>
      </c>
      <c r="H127" s="26">
        <f>SUM(SAXS!I246:M246)+IF(SAXS!$AD$3="SI",SUM(SAXS!N246),0)</f>
        <v>0</v>
      </c>
      <c r="I127" s="26">
        <f>SAXS!P246</f>
        <v>80</v>
      </c>
      <c r="J127" s="26">
        <f>SAXS!X246</f>
        <v>30</v>
      </c>
      <c r="K127" s="26">
        <f>SAXS!AF246</f>
        <v>30</v>
      </c>
      <c r="L127" s="26">
        <f t="array" ref="L127">IFERROR(AVERAGE(INDEX(Ventas!$C$2:$F$5000,MATCH(C127,Ventas!$A$2:$A$5000,0),0)),"")</f>
        <v>60</v>
      </c>
      <c r="M127" s="26">
        <f t="shared" si="1"/>
        <v>120</v>
      </c>
      <c r="N127" s="32">
        <f>SAXS!AG246</f>
        <v>40</v>
      </c>
      <c r="O127" s="26">
        <f t="shared" si="2"/>
        <v>160</v>
      </c>
      <c r="P127" s="34">
        <f t="shared" si="3"/>
        <v>2.7</v>
      </c>
      <c r="Q127" s="40" t="str">
        <f>TRIM(IF(SAXS!AE246&lt;&gt;"","QUIEBRE: "&amp;SAXS!AE246&amp;" · ","")&amp;IF(SAXS!AC246&lt;&gt;"","CONCENTRADA: "&amp;SAXS!AC246&amp;" · ","")&amp;IF(SAXS!AD246&lt;&gt;"","SIN STOCK ANTES 06/11 · ","")&amp;IF(SAXS!AB246&lt;&gt;"","SKU DUPLICADO",""))</f>
        <v>CONCENTRADA: 1 mes = 67% de 4 meses ·</v>
      </c>
      <c r="R127" s="42"/>
    </row>
    <row r="128" ht="15.75" customHeight="1">
      <c r="A128" s="76" t="s">
        <v>2111</v>
      </c>
      <c r="B128" s="24">
        <v>365.0</v>
      </c>
      <c r="C128" s="24" t="str">
        <f>SAXS!A365</f>
        <v>545923-0039</v>
      </c>
      <c r="D128" s="24" t="str">
        <f>SAXS!C365</f>
        <v>TORONTO</v>
      </c>
      <c r="E128" s="24" t="str">
        <f>SAXS!D365</f>
        <v>PELTRE</v>
      </c>
      <c r="F128" s="26">
        <f>SAXS!E365</f>
        <v>79</v>
      </c>
      <c r="G128" s="26">
        <f>N(SAXS!F365)+SUM(SAXS!G365:H365)</f>
        <v>0</v>
      </c>
      <c r="H128" s="26">
        <f>SUM(SAXS!I365:M365)+IF(SAXS!$AD$3="SI",SUM(SAXS!N365),0)</f>
        <v>0</v>
      </c>
      <c r="I128" s="26">
        <f>SAXS!P365</f>
        <v>79</v>
      </c>
      <c r="J128" s="26">
        <f>SAXS!X365</f>
        <v>29.5</v>
      </c>
      <c r="K128" s="26">
        <f>SAXS!AF365</f>
        <v>29.5</v>
      </c>
      <c r="L128" s="26">
        <f t="array" ref="L128">IFERROR(AVERAGE(INDEX(Ventas!$C$2:$F$5000,MATCH(C128,Ventas!$A$2:$A$5000,0),0)),"")</f>
        <v>31.75</v>
      </c>
      <c r="M128" s="26">
        <f t="shared" si="1"/>
        <v>118</v>
      </c>
      <c r="N128" s="32">
        <f>SAXS!AG365</f>
        <v>39</v>
      </c>
      <c r="O128" s="26">
        <f t="shared" si="2"/>
        <v>48</v>
      </c>
      <c r="P128" s="34">
        <f t="shared" si="3"/>
        <v>2.7</v>
      </c>
      <c r="Q128" s="40" t="str">
        <f>TRIM(IF(SAXS!AE365&lt;&gt;"","QUIEBRE: "&amp;SAXS!AE365&amp;" · ","")&amp;IF(SAXS!AC365&lt;&gt;"","CONCENTRADA: "&amp;SAXS!AC365&amp;" · ","")&amp;IF(SAXS!AD365&lt;&gt;"","SIN STOCK ANTES 06/11 · ","")&amp;IF(SAXS!AB365&lt;&gt;"","SKU DUPLICADO",""))</f>
        <v>CONCENTRADA: 1 mes = 58% de 4 meses ·</v>
      </c>
      <c r="R128" s="42"/>
    </row>
    <row r="129" ht="15.75" customHeight="1">
      <c r="A129" s="76" t="s">
        <v>2111</v>
      </c>
      <c r="B129" s="24">
        <v>171.0</v>
      </c>
      <c r="C129" s="24" t="str">
        <f>SAXS!A171</f>
        <v>2852744-0045</v>
      </c>
      <c r="D129" s="24" t="str">
        <f>SAXS!C171</f>
        <v>PRAGA</v>
      </c>
      <c r="E129" s="24" t="str">
        <f>SAXS!D171</f>
        <v>GRIS</v>
      </c>
      <c r="F129" s="26">
        <f>SAXS!E171</f>
        <v>0</v>
      </c>
      <c r="G129" s="26">
        <f>N(SAXS!F171)+SUM(SAXS!G171:H171)</f>
        <v>0</v>
      </c>
      <c r="H129" s="26">
        <f>SUM(SAXS!I171:M171)+IF(SAXS!$AD$3="SI",SUM(SAXS!N171),0)</f>
        <v>0</v>
      </c>
      <c r="I129" s="26">
        <f>SAXS!P171</f>
        <v>0</v>
      </c>
      <c r="J129" s="26">
        <f>SAXS!X171</f>
        <v>0</v>
      </c>
      <c r="K129" s="26">
        <f>SAXS!AF171</f>
        <v>9.142857143</v>
      </c>
      <c r="L129" s="26">
        <f t="array" ref="L129">IFERROR(AVERAGE(INDEX(Ventas!$C$2:$F$5000,MATCH(C129,Ventas!$A$2:$A$5000,0),0)),"")</f>
        <v>16</v>
      </c>
      <c r="M129" s="26">
        <f t="shared" si="1"/>
        <v>37</v>
      </c>
      <c r="N129" s="32">
        <f>SAXS!AG171</f>
        <v>37</v>
      </c>
      <c r="O129" s="26">
        <f t="shared" si="2"/>
        <v>64</v>
      </c>
      <c r="P129" s="34">
        <f t="shared" si="3"/>
        <v>0</v>
      </c>
      <c r="Q129" s="40" t="str">
        <f>TRIM(IF(SAXS!AE171&lt;&gt;"","QUIEBRE: "&amp;SAXS!AE171&amp;" · ","")&amp;IF(SAXS!AC171&lt;&gt;"","CONCENTRADA: "&amp;SAXS!AC171&amp;" · ","")&amp;IF(SAXS!AD171&lt;&gt;"","SIN STOCK ANTES 06/11 · ","")&amp;IF(SAXS!AB171&lt;&gt;"","SKU DUPLICADO",""))</f>
        <v>QUIEBRE: SÍ — stock 0 y Sep cayó (prom Feb-Ago 9) ·</v>
      </c>
      <c r="R129" s="42"/>
    </row>
    <row r="130" ht="15.75" customHeight="1">
      <c r="A130" s="76" t="s">
        <v>2111</v>
      </c>
      <c r="B130" s="24">
        <v>650.0</v>
      </c>
      <c r="C130" s="24" t="str">
        <f>SAXS!A650</f>
        <v>01627923-0039-0001</v>
      </c>
      <c r="D130" s="24" t="str">
        <f>SAXS!C650</f>
        <v/>
      </c>
      <c r="E130" s="24" t="str">
        <f>SAXS!D650</f>
        <v>KRONOS PELTRE ( ADORNO B)</v>
      </c>
      <c r="F130" s="26">
        <f>SAXS!E650</f>
        <v>10</v>
      </c>
      <c r="G130" s="26">
        <f>N(SAXS!F650)+SUM(SAXS!G650:H650)</f>
        <v>0</v>
      </c>
      <c r="H130" s="26">
        <f>SUM(SAXS!I650:M650)+IF(SAXS!$AD$3="SI",SUM(SAXS!N650),0)</f>
        <v>0</v>
      </c>
      <c r="I130" s="26">
        <f>SAXS!P650</f>
        <v>10</v>
      </c>
      <c r="J130" s="26">
        <f>SAXS!X650</f>
        <v>10</v>
      </c>
      <c r="K130" s="26">
        <f>SAXS!AF650</f>
        <v>10</v>
      </c>
      <c r="L130" s="26">
        <f t="array" ref="L130">IFERROR(AVERAGE(INDEX(Ventas!$C$2:$F$5000,MATCH(C130,Ventas!$A$2:$A$5000,0),0)),"")</f>
        <v>0</v>
      </c>
      <c r="M130" s="26">
        <f t="shared" si="1"/>
        <v>40</v>
      </c>
      <c r="N130" s="32">
        <f>SAXS!AG650</f>
        <v>30</v>
      </c>
      <c r="O130" s="26">
        <f t="shared" si="2"/>
        <v>-10</v>
      </c>
      <c r="P130" s="34">
        <f t="shared" si="3"/>
        <v>1</v>
      </c>
      <c r="Q130" s="40" t="str">
        <f>TRIM(IF(SAXS!AE650&lt;&gt;"","QUIEBRE: "&amp;SAXS!AE650&amp;" · ","")&amp;IF(SAXS!AC650&lt;&gt;"","CONCENTRADA: "&amp;SAXS!AC650&amp;" · ","")&amp;IF(SAXS!AD650&lt;&gt;"","SIN STOCK ANTES 06/11 · ","")&amp;IF(SAXS!AB650&lt;&gt;"","SKU DUPLICADO",""))</f>
        <v>CONCENTRADA: 1 mes = 100% de 4 meses ·</v>
      </c>
      <c r="R130" s="42"/>
    </row>
    <row r="131" ht="15.75" customHeight="1">
      <c r="A131" s="76" t="s">
        <v>2111</v>
      </c>
      <c r="B131" s="24">
        <v>384.0</v>
      </c>
      <c r="C131" s="24" t="str">
        <f>SAXS!A384</f>
        <v>1019923-0004</v>
      </c>
      <c r="D131" s="24" t="str">
        <f>SAXS!C384</f>
        <v>LYCRA DOBLE</v>
      </c>
      <c r="E131" s="24" t="str">
        <f>SAXS!D384</f>
        <v>BORDO</v>
      </c>
      <c r="F131" s="26">
        <f>SAXS!E384</f>
        <v>0</v>
      </c>
      <c r="G131" s="26">
        <f>N(SAXS!F384)+SUM(SAXS!G384:H384)</f>
        <v>0</v>
      </c>
      <c r="H131" s="26">
        <f>SUM(SAXS!I384:M384)+IF(SAXS!$AD$3="SI",SUM(SAXS!N384),0)</f>
        <v>0</v>
      </c>
      <c r="I131" s="26">
        <f>SAXS!P384</f>
        <v>0</v>
      </c>
      <c r="J131" s="26">
        <f>SAXS!X384</f>
        <v>0</v>
      </c>
      <c r="K131" s="26">
        <f>SAXS!AF384</f>
        <v>7.142857143</v>
      </c>
      <c r="L131" s="26">
        <f t="array" ref="L131">IFERROR(AVERAGE(INDEX(Ventas!$C$2:$F$5000,MATCH(C131,Ventas!$A$2:$A$5000,0),0)),"")</f>
        <v>12.5</v>
      </c>
      <c r="M131" s="26">
        <f t="shared" si="1"/>
        <v>29</v>
      </c>
      <c r="N131" s="32">
        <f>SAXS!AG384</f>
        <v>29</v>
      </c>
      <c r="O131" s="26">
        <f t="shared" si="2"/>
        <v>50</v>
      </c>
      <c r="P131" s="34">
        <f t="shared" si="3"/>
        <v>0</v>
      </c>
      <c r="Q131" s="40" t="str">
        <f>TRIM(IF(SAXS!AE384&lt;&gt;"","QUIEBRE: "&amp;SAXS!AE384&amp;" · ","")&amp;IF(SAXS!AC384&lt;&gt;"","CONCENTRADA: "&amp;SAXS!AC384&amp;" · ","")&amp;IF(SAXS!AD384&lt;&gt;"","SIN STOCK ANTES 06/11 · ","")&amp;IF(SAXS!AB384&lt;&gt;"","SKU DUPLICADO",""))</f>
        <v>QUIEBRE: SÍ — stock 0 y Sep cayó (prom Feb-Ago 7) ·</v>
      </c>
      <c r="R131" s="42"/>
    </row>
    <row r="132" ht="15.75" customHeight="1">
      <c r="A132" s="76" t="s">
        <v>2111</v>
      </c>
      <c r="B132" s="24">
        <v>463.0</v>
      </c>
      <c r="C132" s="24" t="str">
        <f>SAXS!A463</f>
        <v>544923-0003</v>
      </c>
      <c r="D132" s="24" t="str">
        <f>SAXS!C463</f>
        <v>MONTREAL</v>
      </c>
      <c r="E132" s="24" t="str">
        <f>SAXS!D463</f>
        <v>BEIGE</v>
      </c>
      <c r="F132" s="26">
        <f>SAXS!E463</f>
        <v>0</v>
      </c>
      <c r="G132" s="26">
        <f>N(SAXS!F463)+SUM(SAXS!G463:H463)</f>
        <v>0</v>
      </c>
      <c r="H132" s="26">
        <f>SUM(SAXS!I463:M463)+IF(SAXS!$AD$3="SI",SUM(SAXS!N463),0)</f>
        <v>0</v>
      </c>
      <c r="I132" s="26">
        <f>SAXS!P463</f>
        <v>0</v>
      </c>
      <c r="J132" s="26">
        <f>SAXS!X463</f>
        <v>0</v>
      </c>
      <c r="K132" s="26">
        <f>SAXS!AF463</f>
        <v>7.142857143</v>
      </c>
      <c r="L132" s="26">
        <f t="array" ref="L132">IFERROR(AVERAGE(INDEX(Ventas!$C$2:$F$5000,MATCH(C132,Ventas!$A$2:$A$5000,0),0)),"")</f>
        <v>12.5</v>
      </c>
      <c r="M132" s="26">
        <f t="shared" si="1"/>
        <v>29</v>
      </c>
      <c r="N132" s="32">
        <f>SAXS!AG463</f>
        <v>29</v>
      </c>
      <c r="O132" s="26">
        <f t="shared" si="2"/>
        <v>50</v>
      </c>
      <c r="P132" s="34">
        <f t="shared" si="3"/>
        <v>0</v>
      </c>
      <c r="Q132" s="40" t="str">
        <f>TRIM(IF(SAXS!AE463&lt;&gt;"","QUIEBRE: "&amp;SAXS!AE463&amp;" · ","")&amp;IF(SAXS!AC463&lt;&gt;"","CONCENTRADA: "&amp;SAXS!AC463&amp;" · ","")&amp;IF(SAXS!AD463&lt;&gt;"","SIN STOCK ANTES 06/11 · ","")&amp;IF(SAXS!AB463&lt;&gt;"","SKU DUPLICADO",""))</f>
        <v>QUIEBRE: SÍ — stock 0 y Sep cayó (prom Feb-Ago 7) ·</v>
      </c>
      <c r="R132" s="42"/>
    </row>
    <row r="133" ht="15.75" customHeight="1">
      <c r="A133" s="76" t="s">
        <v>2111</v>
      </c>
      <c r="B133" s="24">
        <v>167.0</v>
      </c>
      <c r="C133" s="24" t="str">
        <f>SAXS!A167</f>
        <v>2852744-0019</v>
      </c>
      <c r="D133" s="24" t="str">
        <f>SAXS!C167</f>
        <v>PRAGA</v>
      </c>
      <c r="E133" s="24" t="str">
        <f>SAXS!D167</f>
        <v>NARANJA </v>
      </c>
      <c r="F133" s="26">
        <f>SAXS!E167</f>
        <v>50</v>
      </c>
      <c r="G133" s="26">
        <f>N(SAXS!F167)+SUM(SAXS!G167:H167)</f>
        <v>0</v>
      </c>
      <c r="H133" s="26">
        <f>SUM(SAXS!I167:M167)+IF(SAXS!$AD$3="SI",SUM(SAXS!N167),0)</f>
        <v>0</v>
      </c>
      <c r="I133" s="26">
        <f>SAXS!P167</f>
        <v>50</v>
      </c>
      <c r="J133" s="26">
        <f>SAXS!X167</f>
        <v>18.75</v>
      </c>
      <c r="K133" s="26">
        <f>SAXS!AF167</f>
        <v>18.75</v>
      </c>
      <c r="L133" s="26">
        <f t="array" ref="L133">IFERROR(AVERAGE(INDEX(Ventas!$C$2:$F$5000,MATCH(C133,Ventas!$A$2:$A$5000,0),0)),"")</f>
        <v>6.25</v>
      </c>
      <c r="M133" s="26">
        <f t="shared" si="1"/>
        <v>75</v>
      </c>
      <c r="N133" s="32">
        <f>SAXS!AG167</f>
        <v>25</v>
      </c>
      <c r="O133" s="26">
        <f t="shared" si="2"/>
        <v>-25</v>
      </c>
      <c r="P133" s="34">
        <f t="shared" si="3"/>
        <v>2.7</v>
      </c>
      <c r="Q133" s="40" t="str">
        <f>TRIM(IF(SAXS!AE167&lt;&gt;"","QUIEBRE: "&amp;SAXS!AE167&amp;" · ","")&amp;IF(SAXS!AC167&lt;&gt;"","CONCENTRADA: "&amp;SAXS!AC167&amp;" · ","")&amp;IF(SAXS!AD167&lt;&gt;"","SIN STOCK ANTES 06/11 · ","")&amp;IF(SAXS!AB167&lt;&gt;"","SKU DUPLICADO",""))</f>
        <v>CONCENTRADA: 1 mes = 100% de 4 meses ·</v>
      </c>
      <c r="R133" s="42"/>
    </row>
    <row r="134" ht="15.75" customHeight="1">
      <c r="A134" s="76" t="s">
        <v>2111</v>
      </c>
      <c r="B134" s="24">
        <v>148.0</v>
      </c>
      <c r="C134" s="24" t="str">
        <f>SAXS!A148</f>
        <v>4062022-0002</v>
      </c>
      <c r="D134" s="24" t="str">
        <f>SAXS!C148</f>
        <v>COSTURADO</v>
      </c>
      <c r="E134" s="24" t="str">
        <f>SAXS!D148</f>
        <v>AZUL </v>
      </c>
      <c r="F134" s="26">
        <f>SAXS!E148</f>
        <v>44</v>
      </c>
      <c r="G134" s="26">
        <f>N(SAXS!F148)+SUM(SAXS!G148:H148)</f>
        <v>0</v>
      </c>
      <c r="H134" s="26">
        <f>SUM(SAXS!I148:M148)+IF(SAXS!$AD$3="SI",SUM(SAXS!N148),0)</f>
        <v>0</v>
      </c>
      <c r="I134" s="26">
        <f>SAXS!P148</f>
        <v>44</v>
      </c>
      <c r="J134" s="26">
        <f>SAXS!X148</f>
        <v>17</v>
      </c>
      <c r="K134" s="26">
        <f>SAXS!AF148</f>
        <v>17</v>
      </c>
      <c r="L134" s="26">
        <f t="array" ref="L134">IFERROR(AVERAGE(INDEX(Ventas!$C$2:$F$5000,MATCH(C134,Ventas!$A$2:$A$5000,0),0)),"")</f>
        <v>12.5</v>
      </c>
      <c r="M134" s="26">
        <f t="shared" si="1"/>
        <v>68</v>
      </c>
      <c r="N134" s="32">
        <f>SAXS!AG148</f>
        <v>24</v>
      </c>
      <c r="O134" s="26">
        <f t="shared" si="2"/>
        <v>6</v>
      </c>
      <c r="P134" s="34">
        <f t="shared" si="3"/>
        <v>2.6</v>
      </c>
      <c r="Q134" s="40" t="str">
        <f>TRIM(IF(SAXS!AE148&lt;&gt;"","QUIEBRE: "&amp;SAXS!AE148&amp;" · ","")&amp;IF(SAXS!AC148&lt;&gt;"","CONCENTRADA: "&amp;SAXS!AC148&amp;" · ","")&amp;IF(SAXS!AD148&lt;&gt;"","SIN STOCK ANTES 06/11 · ","")&amp;IF(SAXS!AB148&lt;&gt;"","SKU DUPLICADO",""))</f>
        <v>CONCENTRADA: 1 mes = 100% de 4 meses ·</v>
      </c>
      <c r="R134" s="42"/>
    </row>
    <row r="135" ht="15.75" customHeight="1">
      <c r="A135" s="76" t="s">
        <v>2111</v>
      </c>
      <c r="B135" s="24">
        <v>206.0</v>
      </c>
      <c r="C135" s="24" t="str">
        <f>SAXS!A206</f>
        <v>132127-0204</v>
      </c>
      <c r="D135" s="24" t="str">
        <f>SAXS!C206</f>
        <v>FLOTTER</v>
      </c>
      <c r="E135" s="24" t="str">
        <f>SAXS!D206</f>
        <v>LIMA</v>
      </c>
      <c r="F135" s="26">
        <f>SAXS!E206</f>
        <v>0</v>
      </c>
      <c r="G135" s="26">
        <f>N(SAXS!F206)+SUM(SAXS!G206:H206)</f>
        <v>0</v>
      </c>
      <c r="H135" s="26">
        <f>SUM(SAXS!I206:M206)+IF(SAXS!$AD$3="SI",SUM(SAXS!N206),0)</f>
        <v>0</v>
      </c>
      <c r="I135" s="26">
        <f>SAXS!P206</f>
        <v>0</v>
      </c>
      <c r="J135" s="26">
        <f>SAXS!X206</f>
        <v>0</v>
      </c>
      <c r="K135" s="26">
        <f>SAXS!AF206</f>
        <v>5.285714286</v>
      </c>
      <c r="L135" s="26">
        <f t="array" ref="L135">IFERROR(AVERAGE(INDEX(Ventas!$C$2:$F$5000,MATCH(C135,Ventas!$A$2:$A$5000,0),0)),"")</f>
        <v>9.25</v>
      </c>
      <c r="M135" s="26">
        <f t="shared" si="1"/>
        <v>21</v>
      </c>
      <c r="N135" s="32">
        <f>SAXS!AG206</f>
        <v>21</v>
      </c>
      <c r="O135" s="26">
        <f t="shared" si="2"/>
        <v>37</v>
      </c>
      <c r="P135" s="34">
        <f t="shared" si="3"/>
        <v>0</v>
      </c>
      <c r="Q135" s="40" t="str">
        <f>TRIM(IF(SAXS!AE206&lt;&gt;"","QUIEBRE: "&amp;SAXS!AE206&amp;" · ","")&amp;IF(SAXS!AC206&lt;&gt;"","CONCENTRADA: "&amp;SAXS!AC206&amp;" · ","")&amp;IF(SAXS!AD206&lt;&gt;"","SIN STOCK ANTES 06/11 · ","")&amp;IF(SAXS!AB206&lt;&gt;"","SKU DUPLICADO",""))</f>
        <v>QUIEBRE: SÍ — stock 0 y Sep cayó (prom Feb-Ago 5) ·</v>
      </c>
      <c r="R135" s="42"/>
    </row>
    <row r="136" ht="15.75" customHeight="1">
      <c r="A136" s="76" t="s">
        <v>2111</v>
      </c>
      <c r="B136" s="24">
        <v>522.0</v>
      </c>
      <c r="C136" s="24" t="str">
        <f>SAXS!A522</f>
        <v>0021126-0003</v>
      </c>
      <c r="D136" s="24" t="str">
        <f>SAXS!C522</f>
        <v>EVA C/PIQUE 2MM</v>
      </c>
      <c r="E136" s="24" t="str">
        <f>SAXS!D522</f>
        <v>BEIGE</v>
      </c>
      <c r="F136" s="26">
        <f>SAXS!E522</f>
        <v>0</v>
      </c>
      <c r="G136" s="26">
        <f>N(SAXS!F522)+SUM(SAXS!G522:H522)</f>
        <v>0</v>
      </c>
      <c r="H136" s="26">
        <f>SUM(SAXS!I522:M522)+IF(SAXS!$AD$3="SI",SUM(SAXS!N522),0)</f>
        <v>0</v>
      </c>
      <c r="I136" s="26">
        <f>SAXS!P522</f>
        <v>0</v>
      </c>
      <c r="J136" s="26">
        <f>SAXS!X522</f>
        <v>0</v>
      </c>
      <c r="K136" s="26">
        <f>SAXS!AF522</f>
        <v>4.285714286</v>
      </c>
      <c r="L136" s="26">
        <f t="array" ref="L136">IFERROR(AVERAGE(INDEX(Ventas!$C$2:$F$5000,MATCH(C136,Ventas!$A$2:$A$5000,0),0)),"")</f>
        <v>7.5</v>
      </c>
      <c r="M136" s="26">
        <f t="shared" si="1"/>
        <v>17</v>
      </c>
      <c r="N136" s="32">
        <f>SAXS!AG522</f>
        <v>17</v>
      </c>
      <c r="O136" s="26">
        <f t="shared" si="2"/>
        <v>30</v>
      </c>
      <c r="P136" s="34">
        <f t="shared" si="3"/>
        <v>0</v>
      </c>
      <c r="Q136" s="40" t="str">
        <f>TRIM(IF(SAXS!AE522&lt;&gt;"","QUIEBRE: "&amp;SAXS!AE522&amp;" · ","")&amp;IF(SAXS!AC522&lt;&gt;"","CONCENTRADA: "&amp;SAXS!AC522&amp;" · ","")&amp;IF(SAXS!AD522&lt;&gt;"","SIN STOCK ANTES 06/11 · ","")&amp;IF(SAXS!AB522&lt;&gt;"","SKU DUPLICADO",""))</f>
        <v>QUIEBRE: SÍ — stock 0 y Sep cayó (prom Feb-Ago 4) ·</v>
      </c>
      <c r="R136" s="42"/>
    </row>
    <row r="137" ht="15.75" customHeight="1">
      <c r="A137" s="76" t="s">
        <v>2111</v>
      </c>
      <c r="B137" s="24">
        <v>377.0</v>
      </c>
      <c r="C137" s="24" t="str">
        <f>SAXS!A377</f>
        <v>033923-0033</v>
      </c>
      <c r="D137" s="24" t="str">
        <f>SAXS!C377</f>
        <v>NEOPRENE</v>
      </c>
      <c r="E137" s="24" t="str">
        <f>SAXS!D377</f>
        <v>VERDE </v>
      </c>
      <c r="F137" s="26">
        <f>SAXS!E377</f>
        <v>0</v>
      </c>
      <c r="G137" s="26">
        <f>N(SAXS!F377)+SUM(SAXS!G377:H377)</f>
        <v>0</v>
      </c>
      <c r="H137" s="26">
        <f>SUM(SAXS!I377:M377)+IF(SAXS!$AD$3="SI",SUM(SAXS!N377),0)</f>
        <v>0</v>
      </c>
      <c r="I137" s="26">
        <f>SAXS!P377</f>
        <v>0</v>
      </c>
      <c r="J137" s="26">
        <f>SAXS!X377</f>
        <v>0</v>
      </c>
      <c r="K137" s="26">
        <f>SAXS!AF377</f>
        <v>4.071428571</v>
      </c>
      <c r="L137" s="26">
        <f t="array" ref="L137">IFERROR(AVERAGE(INDEX(Ventas!$C$2:$F$5000,MATCH(C137,Ventas!$A$2:$A$5000,0),0)),"")</f>
        <v>7.125</v>
      </c>
      <c r="M137" s="26">
        <f t="shared" si="1"/>
        <v>16</v>
      </c>
      <c r="N137" s="32">
        <f>SAXS!AG377</f>
        <v>16</v>
      </c>
      <c r="O137" s="26">
        <f t="shared" si="2"/>
        <v>29</v>
      </c>
      <c r="P137" s="34">
        <f t="shared" si="3"/>
        <v>0</v>
      </c>
      <c r="Q137" s="40" t="str">
        <f>TRIM(IF(SAXS!AE377&lt;&gt;"","QUIEBRE: "&amp;SAXS!AE377&amp;" · ","")&amp;IF(SAXS!AC377&lt;&gt;"","CONCENTRADA: "&amp;SAXS!AC377&amp;" · ","")&amp;IF(SAXS!AD377&lt;&gt;"","SIN STOCK ANTES 06/11 · ","")&amp;IF(SAXS!AB377&lt;&gt;"","SKU DUPLICADO",""))</f>
        <v>QUIEBRE: SÍ — stock 0 y Sep cayó (prom Feb-Ago 4) ·</v>
      </c>
      <c r="R137" s="42"/>
    </row>
    <row r="138" ht="15.75" customHeight="1">
      <c r="A138" s="76" t="s">
        <v>2111</v>
      </c>
      <c r="B138" s="24">
        <v>648.0</v>
      </c>
      <c r="C138" s="24" t="str">
        <f>SAXS!A648</f>
        <v>01626923-0039-0001</v>
      </c>
      <c r="D138" s="24" t="str">
        <f>SAXS!C648</f>
        <v/>
      </c>
      <c r="E138" s="24" t="str">
        <f>SAXS!D648</f>
        <v>HELIOS PELTRE (ADORNO A )</v>
      </c>
      <c r="F138" s="26">
        <f>SAXS!E648</f>
        <v>10</v>
      </c>
      <c r="G138" s="26">
        <f>N(SAXS!F648)+SUM(SAXS!G648:H648)</f>
        <v>0</v>
      </c>
      <c r="H138" s="26">
        <f>SUM(SAXS!I648:M648)+IF(SAXS!$AD$3="SI",SUM(SAXS!N648),0)</f>
        <v>0</v>
      </c>
      <c r="I138" s="26">
        <f>SAXS!P648</f>
        <v>10</v>
      </c>
      <c r="J138" s="26">
        <f>SAXS!X648</f>
        <v>5</v>
      </c>
      <c r="K138" s="26">
        <f>SAXS!AF648</f>
        <v>5</v>
      </c>
      <c r="L138" s="26">
        <f t="array" ref="L138">IFERROR(AVERAGE(INDEX(Ventas!$C$2:$F$5000,MATCH(C138,Ventas!$A$2:$A$5000,0),0)),"")</f>
        <v>0</v>
      </c>
      <c r="M138" s="26">
        <f t="shared" si="1"/>
        <v>20</v>
      </c>
      <c r="N138" s="32">
        <f>SAXS!AG648</f>
        <v>10</v>
      </c>
      <c r="O138" s="26">
        <f t="shared" si="2"/>
        <v>-10</v>
      </c>
      <c r="P138" s="34">
        <f t="shared" si="3"/>
        <v>2</v>
      </c>
      <c r="Q138" s="40" t="str">
        <f>TRIM(IF(SAXS!AE648&lt;&gt;"","QUIEBRE: "&amp;SAXS!AE648&amp;" · ","")&amp;IF(SAXS!AC648&lt;&gt;"","CONCENTRADA: "&amp;SAXS!AC648&amp;" · ","")&amp;IF(SAXS!AD648&lt;&gt;"","SIN STOCK ANTES 06/11 · ","")&amp;IF(SAXS!AB648&lt;&gt;"","SKU DUPLICADO",""))</f>
        <v>CONCENTRADA: 1 mes = 100% de 4 meses ·</v>
      </c>
      <c r="R138" s="42"/>
    </row>
    <row r="139" ht="15.75" customHeight="1">
      <c r="D139" s="81" t="s">
        <v>17</v>
      </c>
      <c r="N139" s="82">
        <f>SUM(N15:N138)</f>
        <v>88751</v>
      </c>
      <c r="Q139" s="81" t="str">
        <f>"A: "&amp;TEXT(SUMIF(A15:A138,"A",N15:N138),"#,##0")&amp;" m · B: "&amp;TEXT(SUMIF(A15:A138,"B",N15:N138),"#,##0")&amp;" m · C: "&amp;TEXT(SUMIF(A15:A138,"C",N15:N138),"#,##0")&amp;" m"</f>
        <v>A: 59,121 m · B: 6,976 m · C: 22,654 m</v>
      </c>
    </row>
    <row r="140" ht="15.75" customHeight="1"/>
    <row r="141" ht="15.75" customHeight="1"/>
    <row r="142" ht="15.75" customHeight="1">
      <c r="A142" s="20" t="s">
        <v>3632</v>
      </c>
    </row>
    <row r="143" ht="42.0" customHeight="1">
      <c r="A143" s="21" t="s">
        <v>51</v>
      </c>
      <c r="B143" s="21" t="s">
        <v>52</v>
      </c>
      <c r="C143" s="21" t="s">
        <v>1</v>
      </c>
      <c r="D143" s="21" t="s">
        <v>55</v>
      </c>
      <c r="E143" s="21" t="s">
        <v>56</v>
      </c>
      <c r="F143" s="21" t="s">
        <v>57</v>
      </c>
      <c r="G143" s="21" t="s">
        <v>58</v>
      </c>
      <c r="H143" s="21" t="s">
        <v>59</v>
      </c>
      <c r="I143" s="21" t="s">
        <v>60</v>
      </c>
      <c r="J143" s="21" t="s">
        <v>61</v>
      </c>
      <c r="K143" s="21" t="s">
        <v>63</v>
      </c>
      <c r="L143" s="21" t="s">
        <v>65</v>
      </c>
      <c r="M143" s="21" t="s">
        <v>66</v>
      </c>
      <c r="N143" s="21" t="s">
        <v>67</v>
      </c>
      <c r="O143" s="21" t="s">
        <v>68</v>
      </c>
      <c r="P143" s="21" t="s">
        <v>69</v>
      </c>
      <c r="Q143" s="21" t="s">
        <v>3634</v>
      </c>
      <c r="R143" s="21" t="s">
        <v>71</v>
      </c>
    </row>
    <row r="144" ht="15.75" customHeight="1">
      <c r="A144" s="24"/>
      <c r="B144" s="24">
        <v>485.0</v>
      </c>
      <c r="C144" s="24" t="str">
        <f>SAXS!A485</f>
        <v>118127-9999</v>
      </c>
      <c r="D144" s="24" t="str">
        <f>SAXS!C485</f>
        <v>PECARI SOFT</v>
      </c>
      <c r="E144" s="24" t="str">
        <f>SAXS!D485</f>
        <v>NEGRO</v>
      </c>
      <c r="F144" s="26">
        <f>SAXS!E485</f>
        <v>0</v>
      </c>
      <c r="G144" s="26">
        <f>N(SAXS!F485)+SUM(SAXS!G485:H485)</f>
        <v>14367</v>
      </c>
      <c r="H144" s="26">
        <f>SUM(SAXS!I485:M485)+IF(SAXS!$AD$3="SI",SUM(SAXS!N485),0)</f>
        <v>18500</v>
      </c>
      <c r="I144" s="26">
        <f>SAXS!P485</f>
        <v>32867</v>
      </c>
      <c r="J144" s="26">
        <f>SAXS!X485</f>
        <v>2934.75</v>
      </c>
      <c r="K144" s="26">
        <f>SAXS!AF485</f>
        <v>3512.857143</v>
      </c>
      <c r="L144" s="26">
        <f t="array" ref="L144">IFERROR(AVERAGE(INDEX(Ventas!$C$2:$F$5000,MATCH(C144,Ventas!$A$2:$A$5000,0),0)),"")</f>
        <v>3300.25</v>
      </c>
      <c r="M144" s="26">
        <f t="shared" ref="M144:M186" si="4">ROUND(K144*4,0)</f>
        <v>14051</v>
      </c>
      <c r="N144" s="26">
        <f>SAXS!AG485</f>
        <v>-18816</v>
      </c>
      <c r="O144" s="26">
        <f t="shared" ref="O144:O186" si="5">IF(L144="","",ROUND(L144*4,0)-I144)</f>
        <v>-19666</v>
      </c>
      <c r="P144" s="34">
        <f t="shared" ref="P144:P186" si="6">IF(OR(K144="",K144=0),"",ROUND(I144/K144,1))</f>
        <v>9.4</v>
      </c>
      <c r="Q144" s="32">
        <f t="shared" ref="Q144:Q186" si="7">MAX(0,MIN(-N144,H144))</f>
        <v>18500</v>
      </c>
      <c r="R144" s="40" t="str">
        <f>TRIM(IF(SAXS!AE485&lt;&gt;"","QUIEBRE: "&amp;SAXS!AE485&amp;" · ","")&amp;IF(SAXS!AC485&lt;&gt;"","CONCENTRADA: "&amp;SAXS!AC485&amp;" · ","")&amp;IF(SAXS!AD485&lt;&gt;"","SIN STOCK ANTES 06/11 · ","")&amp;IF(SAXS!AB485&lt;&gt;"","SKU DUPLICADO",""))</f>
        <v>QUIEBRE: SÍ — stock 0 y Sep cayó (prom Feb-Ago 3,513) ·</v>
      </c>
    </row>
    <row r="145" ht="15.75" customHeight="1">
      <c r="A145" s="24"/>
      <c r="B145" s="24">
        <v>491.0</v>
      </c>
      <c r="C145" s="24" t="str">
        <f>SAXS!A491</f>
        <v>018127-9999</v>
      </c>
      <c r="D145" s="24" t="str">
        <f>SAXS!C491</f>
        <v>PIG</v>
      </c>
      <c r="E145" s="24" t="str">
        <f>SAXS!D491</f>
        <v>NEGRO</v>
      </c>
      <c r="F145" s="26">
        <f>SAXS!E491</f>
        <v>350</v>
      </c>
      <c r="G145" s="26">
        <f>N(SAXS!F491)+SUM(SAXS!G491:H491)</f>
        <v>4069</v>
      </c>
      <c r="H145" s="26">
        <f>SUM(SAXS!I491:M491)+IF(SAXS!$AD$3="SI",SUM(SAXS!N491),0)</f>
        <v>18500</v>
      </c>
      <c r="I145" s="26">
        <f>SAXS!P491</f>
        <v>22919</v>
      </c>
      <c r="J145" s="26">
        <f>SAXS!X491</f>
        <v>2977</v>
      </c>
      <c r="K145" s="26">
        <f>SAXS!AF491</f>
        <v>2977</v>
      </c>
      <c r="L145" s="26">
        <f t="array" ref="L145">IFERROR(AVERAGE(INDEX(Ventas!$C$2:$F$5000,MATCH(C145,Ventas!$A$2:$A$5000,0),0)),"")</f>
        <v>1313.5</v>
      </c>
      <c r="M145" s="26">
        <f t="shared" si="4"/>
        <v>11908</v>
      </c>
      <c r="N145" s="26">
        <f>SAXS!AG491</f>
        <v>-11011</v>
      </c>
      <c r="O145" s="26">
        <f t="shared" si="5"/>
        <v>-17665</v>
      </c>
      <c r="P145" s="34">
        <f t="shared" si="6"/>
        <v>7.7</v>
      </c>
      <c r="Q145" s="32">
        <f t="shared" si="7"/>
        <v>11011</v>
      </c>
      <c r="R145" s="40" t="str">
        <f>TRIM(IF(SAXS!AE491&lt;&gt;"","QUIEBRE: "&amp;SAXS!AE491&amp;" · ","")&amp;IF(SAXS!AC491&lt;&gt;"","CONCENTRADA: "&amp;SAXS!AC491&amp;" · ","")&amp;IF(SAXS!AD491&lt;&gt;"","SIN STOCK ANTES 06/11 · ","")&amp;IF(SAXS!AB491&lt;&gt;"","SKU DUPLICADO",""))</f>
        <v/>
      </c>
    </row>
    <row r="146" ht="15.75" customHeight="1">
      <c r="A146" s="24"/>
      <c r="B146" s="24">
        <v>472.0</v>
      </c>
      <c r="C146" s="24" t="str">
        <f>SAXS!A472</f>
        <v>003999-0010</v>
      </c>
      <c r="D146" s="24" t="str">
        <f>SAXS!C472</f>
        <v>BARI</v>
      </c>
      <c r="E146" s="24" t="str">
        <f>SAXS!D472</f>
        <v>CHOCOLATE</v>
      </c>
      <c r="F146" s="26">
        <f>SAXS!E472</f>
        <v>0</v>
      </c>
      <c r="G146" s="26">
        <f>N(SAXS!F472)+SUM(SAXS!G472:H472)</f>
        <v>3621</v>
      </c>
      <c r="H146" s="26">
        <f>SUM(SAXS!I472:M472)+IF(SAXS!$AD$3="SI",SUM(SAXS!N472),0)</f>
        <v>8985</v>
      </c>
      <c r="I146" s="26">
        <f>SAXS!P472</f>
        <v>12606</v>
      </c>
      <c r="J146" s="26">
        <f>SAXS!X472</f>
        <v>637.5</v>
      </c>
      <c r="K146" s="26">
        <f>SAXS!AF472</f>
        <v>821.7142857</v>
      </c>
      <c r="L146" s="26">
        <f t="array" ref="L146">IFERROR(AVERAGE(INDEX(Ventas!$C$2:$F$5000,MATCH(C146,Ventas!$A$2:$A$5000,0),0)),"")</f>
        <v>800.5</v>
      </c>
      <c r="M146" s="26">
        <f t="shared" si="4"/>
        <v>3287</v>
      </c>
      <c r="N146" s="26">
        <f>SAXS!AG472</f>
        <v>-9319</v>
      </c>
      <c r="O146" s="26">
        <f t="shared" si="5"/>
        <v>-9404</v>
      </c>
      <c r="P146" s="34">
        <f t="shared" si="6"/>
        <v>15.3</v>
      </c>
      <c r="Q146" s="32">
        <f t="shared" si="7"/>
        <v>8985</v>
      </c>
      <c r="R146" s="40" t="str">
        <f>TRIM(IF(SAXS!AE472&lt;&gt;"","QUIEBRE: "&amp;SAXS!AE472&amp;" · ","")&amp;IF(SAXS!AC472&lt;&gt;"","CONCENTRADA: "&amp;SAXS!AC472&amp;" · ","")&amp;IF(SAXS!AD472&lt;&gt;"","SIN STOCK ANTES 06/11 · ","")&amp;IF(SAXS!AB472&lt;&gt;"","SKU DUPLICADO",""))</f>
        <v>QUIEBRE: SÍ — stock 0 y Sep cayó (prom Feb-Ago 822) ·</v>
      </c>
    </row>
    <row r="147" ht="15.75" customHeight="1">
      <c r="A147" s="24"/>
      <c r="B147" s="24">
        <v>490.0</v>
      </c>
      <c r="C147" s="24" t="str">
        <f>SAXS!A490</f>
        <v>118127-0010</v>
      </c>
      <c r="D147" s="24" t="str">
        <f>SAXS!C490</f>
        <v>PECARI SOFT</v>
      </c>
      <c r="E147" s="24" t="str">
        <f>SAXS!D490</f>
        <v>CHOCOLATE</v>
      </c>
      <c r="F147" s="26">
        <f>SAXS!E490</f>
        <v>0</v>
      </c>
      <c r="G147" s="26">
        <f>N(SAXS!F490)+SUM(SAXS!G490:H490)</f>
        <v>4941</v>
      </c>
      <c r="H147" s="26">
        <f>SUM(SAXS!I490:M490)+IF(SAXS!$AD$3="SI",SUM(SAXS!N490),0)</f>
        <v>7500</v>
      </c>
      <c r="I147" s="26">
        <f>SAXS!P490</f>
        <v>12441</v>
      </c>
      <c r="J147" s="26">
        <f>SAXS!X490</f>
        <v>566</v>
      </c>
      <c r="K147" s="26">
        <f>SAXS!AF490</f>
        <v>816.8571429</v>
      </c>
      <c r="L147" s="26">
        <f t="array" ref="L147">IFERROR(AVERAGE(INDEX(Ventas!$C$2:$F$5000,MATCH(C147,Ventas!$A$2:$A$5000,0),0)),"")</f>
        <v>863.5</v>
      </c>
      <c r="M147" s="26">
        <f t="shared" si="4"/>
        <v>3267</v>
      </c>
      <c r="N147" s="26">
        <f>SAXS!AG490</f>
        <v>-9174</v>
      </c>
      <c r="O147" s="26">
        <f t="shared" si="5"/>
        <v>-8987</v>
      </c>
      <c r="P147" s="34">
        <f t="shared" si="6"/>
        <v>15.2</v>
      </c>
      <c r="Q147" s="32">
        <f t="shared" si="7"/>
        <v>7500</v>
      </c>
      <c r="R147" s="40" t="str">
        <f>TRIM(IF(SAXS!AE490&lt;&gt;"","QUIEBRE: "&amp;SAXS!AE490&amp;" · ","")&amp;IF(SAXS!AC490&lt;&gt;"","CONCENTRADA: "&amp;SAXS!AC490&amp;" · ","")&amp;IF(SAXS!AD490&lt;&gt;"","SIN STOCK ANTES 06/11 · ","")&amp;IF(SAXS!AB490&lt;&gt;"","SKU DUPLICADO",""))</f>
        <v>QUIEBRE: SÍ — stock 0 y Sep cayó (prom Feb-Ago 817) ·</v>
      </c>
    </row>
    <row r="148" ht="15.75" customHeight="1">
      <c r="A148" s="24"/>
      <c r="B148" s="24">
        <v>23.0</v>
      </c>
      <c r="C148" s="24" t="str">
        <f>SAXS!A23</f>
        <v>581923-9999</v>
      </c>
      <c r="D148" s="24" t="str">
        <f>SAXS!C23</f>
        <v>BOGOTA</v>
      </c>
      <c r="E148" s="24" t="str">
        <f>SAXS!D23</f>
        <v>NEGRO ( Base Tejida )</v>
      </c>
      <c r="F148" s="26">
        <f>SAXS!E23</f>
        <v>0</v>
      </c>
      <c r="G148" s="26">
        <f>N(SAXS!F23)+SUM(SAXS!G23:H23)</f>
        <v>1880</v>
      </c>
      <c r="H148" s="26">
        <f>SUM(SAXS!I23:M23)+IF(SAXS!$AD$3="SI",SUM(SAXS!N23),0)</f>
        <v>16082</v>
      </c>
      <c r="I148" s="26">
        <f>SAXS!P23</f>
        <v>17962</v>
      </c>
      <c r="J148" s="26">
        <f>SAXS!X23</f>
        <v>2645.5</v>
      </c>
      <c r="K148" s="26">
        <f>SAXS!AF23</f>
        <v>2645.5</v>
      </c>
      <c r="L148" s="26">
        <f t="array" ref="L148">IFERROR(AVERAGE(INDEX(Ventas!$C$2:$F$5000,MATCH(C148,Ventas!$A$2:$A$5000,0),0)),"")</f>
        <v>2492.25</v>
      </c>
      <c r="M148" s="26">
        <f t="shared" si="4"/>
        <v>10582</v>
      </c>
      <c r="N148" s="26">
        <f>SAXS!AG23</f>
        <v>-7380</v>
      </c>
      <c r="O148" s="26">
        <f t="shared" si="5"/>
        <v>-7993</v>
      </c>
      <c r="P148" s="34">
        <f t="shared" si="6"/>
        <v>6.8</v>
      </c>
      <c r="Q148" s="32">
        <f t="shared" si="7"/>
        <v>7380</v>
      </c>
      <c r="R148" s="40" t="str">
        <f>TRIM(IF(SAXS!AE23&lt;&gt;"","QUIEBRE: "&amp;SAXS!AE23&amp;" · ","")&amp;IF(SAXS!AC23&lt;&gt;"","CONCENTRADA: "&amp;SAXS!AC23&amp;" · ","")&amp;IF(SAXS!AD23&lt;&gt;"","SIN STOCK ANTES 06/11 · ","")&amp;IF(SAXS!AB23&lt;&gt;"","SKU DUPLICADO",""))</f>
        <v>SIN STOCK ANTES 06/11 ·</v>
      </c>
    </row>
    <row r="149" ht="15.75" customHeight="1">
      <c r="A149" s="24"/>
      <c r="B149" s="24">
        <v>488.0</v>
      </c>
      <c r="C149" s="24" t="str">
        <f>SAXS!A488</f>
        <v>118127-0049</v>
      </c>
      <c r="D149" s="24" t="str">
        <f>SAXS!C488</f>
        <v>PECARI SOFT</v>
      </c>
      <c r="E149" s="24" t="str">
        <f>SAXS!D488</f>
        <v>MADERA</v>
      </c>
      <c r="F149" s="26">
        <f>SAXS!E488</f>
        <v>0</v>
      </c>
      <c r="G149" s="26">
        <f>N(SAXS!F488)+SUM(SAXS!G488:H488)</f>
        <v>4061</v>
      </c>
      <c r="H149" s="26">
        <f>SUM(SAXS!I488:M488)+IF(SAXS!$AD$3="SI",SUM(SAXS!N488),0)</f>
        <v>7000</v>
      </c>
      <c r="I149" s="26">
        <f>SAXS!P488</f>
        <v>11061</v>
      </c>
      <c r="J149" s="26">
        <f>SAXS!X488</f>
        <v>833.5</v>
      </c>
      <c r="K149" s="26">
        <f>SAXS!AF488</f>
        <v>1197.714286</v>
      </c>
      <c r="L149" s="26">
        <f t="array" ref="L149">IFERROR(AVERAGE(INDEX(Ventas!$C$2:$F$5000,MATCH(C149,Ventas!$A$2:$A$5000,0),0)),"")</f>
        <v>1275</v>
      </c>
      <c r="M149" s="26">
        <f t="shared" si="4"/>
        <v>4791</v>
      </c>
      <c r="N149" s="26">
        <f>SAXS!AG488</f>
        <v>-6270</v>
      </c>
      <c r="O149" s="26">
        <f t="shared" si="5"/>
        <v>-5961</v>
      </c>
      <c r="P149" s="34">
        <f t="shared" si="6"/>
        <v>9.2</v>
      </c>
      <c r="Q149" s="32">
        <f t="shared" si="7"/>
        <v>6270</v>
      </c>
      <c r="R149" s="40" t="str">
        <f>TRIM(IF(SAXS!AE488&lt;&gt;"","QUIEBRE: "&amp;SAXS!AE488&amp;" · ","")&amp;IF(SAXS!AC488&lt;&gt;"","CONCENTRADA: "&amp;SAXS!AC488&amp;" · ","")&amp;IF(SAXS!AD488&lt;&gt;"","SIN STOCK ANTES 06/11 · ","")&amp;IF(SAXS!AB488&lt;&gt;"","SKU DUPLICADO",""))</f>
        <v>QUIEBRE: SÍ — stock 0 y Sep cayó (prom Feb-Ago 1,198) ·</v>
      </c>
    </row>
    <row r="150" ht="15.75" customHeight="1">
      <c r="A150" s="24"/>
      <c r="B150" s="24">
        <v>466.0</v>
      </c>
      <c r="C150" s="24" t="str">
        <f>SAXS!A466</f>
        <v>003999-9999</v>
      </c>
      <c r="D150" s="24" t="str">
        <f>SAXS!C466</f>
        <v>BARI</v>
      </c>
      <c r="E150" s="24" t="str">
        <f>SAXS!D466</f>
        <v>NEGRO</v>
      </c>
      <c r="F150" s="26">
        <f>SAXS!E466</f>
        <v>300</v>
      </c>
      <c r="G150" s="26">
        <f>N(SAXS!F466)+SUM(SAXS!G466:H466)</f>
        <v>6142</v>
      </c>
      <c r="H150" s="26">
        <f>SUM(SAXS!I466:M466)+IF(SAXS!$AD$3="SI",SUM(SAXS!N466),0)</f>
        <v>24000</v>
      </c>
      <c r="I150" s="26">
        <f>SAXS!P466</f>
        <v>30442</v>
      </c>
      <c r="J150" s="26">
        <f>SAXS!X466</f>
        <v>6128</v>
      </c>
      <c r="K150" s="26">
        <f>SAXS!AF466</f>
        <v>6128</v>
      </c>
      <c r="L150" s="26">
        <f t="array" ref="L150">IFERROR(AVERAGE(INDEX(Ventas!$C$2:$F$5000,MATCH(C150,Ventas!$A$2:$A$5000,0),0)),"")</f>
        <v>6347.5</v>
      </c>
      <c r="M150" s="26">
        <f t="shared" si="4"/>
        <v>24512</v>
      </c>
      <c r="N150" s="26">
        <f>SAXS!AG466</f>
        <v>-5930</v>
      </c>
      <c r="O150" s="26">
        <f t="shared" si="5"/>
        <v>-5052</v>
      </c>
      <c r="P150" s="34">
        <f t="shared" si="6"/>
        <v>5</v>
      </c>
      <c r="Q150" s="32">
        <f t="shared" si="7"/>
        <v>5930</v>
      </c>
      <c r="R150" s="40" t="str">
        <f>TRIM(IF(SAXS!AE466&lt;&gt;"","QUIEBRE: "&amp;SAXS!AE466&amp;" · ","")&amp;IF(SAXS!AC466&lt;&gt;"","CONCENTRADA: "&amp;SAXS!AC466&amp;" · ","")&amp;IF(SAXS!AD466&lt;&gt;"","SIN STOCK ANTES 06/11 · ","")&amp;IF(SAXS!AB466&lt;&gt;"","SKU DUPLICADO",""))</f>
        <v/>
      </c>
    </row>
    <row r="151" ht="15.75" customHeight="1">
      <c r="A151" s="24"/>
      <c r="B151" s="24">
        <v>118.0</v>
      </c>
      <c r="C151" s="24" t="str">
        <f>SAXS!A118</f>
        <v>007319-9999</v>
      </c>
      <c r="D151" s="24" t="str">
        <f>SAXS!C118</f>
        <v>ARNO</v>
      </c>
      <c r="E151" s="24" t="str">
        <f>SAXS!D118</f>
        <v>NEGRO</v>
      </c>
      <c r="F151" s="26">
        <f>SAXS!E118</f>
        <v>5965</v>
      </c>
      <c r="G151" s="26">
        <f>N(SAXS!F118)+SUM(SAXS!G118:H118)</f>
        <v>8096</v>
      </c>
      <c r="H151" s="26">
        <f>SUM(SAXS!I118:M118)+IF(SAXS!$AD$3="SI",SUM(SAXS!N118),0)</f>
        <v>5000</v>
      </c>
      <c r="I151" s="26">
        <f>SAXS!P118</f>
        <v>19061</v>
      </c>
      <c r="J151" s="26">
        <f>SAXS!X118</f>
        <v>3296.25</v>
      </c>
      <c r="K151" s="26">
        <f>SAXS!AF118</f>
        <v>3296.25</v>
      </c>
      <c r="L151" s="26">
        <f t="array" ref="L151">IFERROR(AVERAGE(INDEX(Ventas!$C$2:$F$5000,MATCH(C151,Ventas!$A$2:$A$5000,0),0)),"")</f>
        <v>2557.875</v>
      </c>
      <c r="M151" s="26">
        <f t="shared" si="4"/>
        <v>13185</v>
      </c>
      <c r="N151" s="26">
        <f>SAXS!AG118</f>
        <v>-5876</v>
      </c>
      <c r="O151" s="26">
        <f t="shared" si="5"/>
        <v>-8829</v>
      </c>
      <c r="P151" s="34">
        <f t="shared" si="6"/>
        <v>5.8</v>
      </c>
      <c r="Q151" s="32">
        <f t="shared" si="7"/>
        <v>5000</v>
      </c>
      <c r="R151" s="40" t="str">
        <f>TRIM(IF(SAXS!AE118&lt;&gt;"","QUIEBRE: "&amp;SAXS!AE118&amp;" · ","")&amp;IF(SAXS!AC118&lt;&gt;"","CONCENTRADA: "&amp;SAXS!AC118&amp;" · ","")&amp;IF(SAXS!AD118&lt;&gt;"","SIN STOCK ANTES 06/11 · ","")&amp;IF(SAXS!AB118&lt;&gt;"","SKU DUPLICADO",""))</f>
        <v/>
      </c>
    </row>
    <row r="152" ht="15.75" customHeight="1">
      <c r="A152" s="24"/>
      <c r="B152" s="24">
        <v>492.0</v>
      </c>
      <c r="C152" s="24" t="str">
        <f>SAXS!A492</f>
        <v>018127-0049</v>
      </c>
      <c r="D152" s="24" t="str">
        <f>SAXS!C492</f>
        <v>PIG</v>
      </c>
      <c r="E152" s="24" t="str">
        <f>SAXS!D492</f>
        <v>MADERA</v>
      </c>
      <c r="F152" s="26">
        <f>SAXS!E492</f>
        <v>0</v>
      </c>
      <c r="G152" s="26">
        <f>N(SAXS!F492)+SUM(SAXS!G492:H492)</f>
        <v>1792</v>
      </c>
      <c r="H152" s="26">
        <f>SUM(SAXS!I492:M492)+IF(SAXS!$AD$3="SI",SUM(SAXS!N492),0)</f>
        <v>4000</v>
      </c>
      <c r="I152" s="26">
        <f>SAXS!P492</f>
        <v>5792</v>
      </c>
      <c r="J152" s="26">
        <f>SAXS!X492</f>
        <v>75</v>
      </c>
      <c r="K152" s="26">
        <f>SAXS!AF492</f>
        <v>245.8571429</v>
      </c>
      <c r="L152" s="26">
        <f t="array" ref="L152">IFERROR(AVERAGE(INDEX(Ventas!$C$2:$F$5000,MATCH(C152,Ventas!$A$2:$A$5000,0),0)),"")</f>
        <v>355.25</v>
      </c>
      <c r="M152" s="26">
        <f t="shared" si="4"/>
        <v>983</v>
      </c>
      <c r="N152" s="26">
        <f>SAXS!AG492</f>
        <v>-4809</v>
      </c>
      <c r="O152" s="26">
        <f t="shared" si="5"/>
        <v>-4371</v>
      </c>
      <c r="P152" s="34">
        <f t="shared" si="6"/>
        <v>23.6</v>
      </c>
      <c r="Q152" s="32">
        <f t="shared" si="7"/>
        <v>4000</v>
      </c>
      <c r="R152" s="40" t="str">
        <f>TRIM(IF(SAXS!AE492&lt;&gt;"","QUIEBRE: "&amp;SAXS!AE492&amp;" · ","")&amp;IF(SAXS!AC492&lt;&gt;"","CONCENTRADA: "&amp;SAXS!AC492&amp;" · ","")&amp;IF(SAXS!AD492&lt;&gt;"","SIN STOCK ANTES 06/11 · ","")&amp;IF(SAXS!AB492&lt;&gt;"","SKU DUPLICADO",""))</f>
        <v>QUIEBRE: SÍ — stock 0 y Sep cayó (prom Feb-Ago 246) ·</v>
      </c>
    </row>
    <row r="153" ht="15.75" customHeight="1">
      <c r="A153" s="24"/>
      <c r="B153" s="24">
        <v>482.0</v>
      </c>
      <c r="C153" s="24" t="str">
        <f>SAXS!A482</f>
        <v>590923-9999</v>
      </c>
      <c r="D153" s="24" t="str">
        <f>SAXS!C482</f>
        <v>VENECIA</v>
      </c>
      <c r="E153" s="24" t="str">
        <f>SAXS!D482</f>
        <v>NEGRO 9</v>
      </c>
      <c r="F153" s="26">
        <f>SAXS!E482</f>
        <v>0</v>
      </c>
      <c r="G153" s="26">
        <f>N(SAXS!F482)+SUM(SAXS!G482:H482)</f>
        <v>4157</v>
      </c>
      <c r="H153" s="26">
        <f>SUM(SAXS!I482:M482)+IF(SAXS!$AD$3="SI",SUM(SAXS!N482),0)</f>
        <v>4000</v>
      </c>
      <c r="I153" s="26">
        <f>SAXS!P482</f>
        <v>8157</v>
      </c>
      <c r="J153" s="26">
        <f>SAXS!X482</f>
        <v>162.5</v>
      </c>
      <c r="K153" s="26">
        <f>SAXS!AF482</f>
        <v>580.1428571</v>
      </c>
      <c r="L153" s="26">
        <f t="array" ref="L153">IFERROR(AVERAGE(INDEX(Ventas!$C$2:$F$5000,MATCH(C153,Ventas!$A$2:$A$5000,0),0)),"")</f>
        <v>852.75</v>
      </c>
      <c r="M153" s="26">
        <f t="shared" si="4"/>
        <v>2321</v>
      </c>
      <c r="N153" s="26">
        <f>SAXS!AG482</f>
        <v>-5836</v>
      </c>
      <c r="O153" s="26">
        <f t="shared" si="5"/>
        <v>-4746</v>
      </c>
      <c r="P153" s="34">
        <f t="shared" si="6"/>
        <v>14.1</v>
      </c>
      <c r="Q153" s="32">
        <f t="shared" si="7"/>
        <v>4000</v>
      </c>
      <c r="R153" s="40" t="str">
        <f>TRIM(IF(SAXS!AE482&lt;&gt;"","QUIEBRE: "&amp;SAXS!AE482&amp;" · ","")&amp;IF(SAXS!AC482&lt;&gt;"","CONCENTRADA: "&amp;SAXS!AC482&amp;" · ","")&amp;IF(SAXS!AD482&lt;&gt;"","SIN STOCK ANTES 06/11 · ","")&amp;IF(SAXS!AB482&lt;&gt;"","SKU DUPLICADO",""))</f>
        <v>QUIEBRE: SÍ — stock 0 y Sep cayó (prom Feb-Ago 580) ·</v>
      </c>
    </row>
    <row r="154" ht="15.75" customHeight="1">
      <c r="A154" s="24"/>
      <c r="B154" s="24">
        <v>467.0</v>
      </c>
      <c r="C154" s="24" t="str">
        <f>SAXS!A467</f>
        <v>003999-0159</v>
      </c>
      <c r="D154" s="24" t="str">
        <f>SAXS!C467</f>
        <v>BARI</v>
      </c>
      <c r="E154" s="24" t="str">
        <f>SAXS!D467</f>
        <v>NUDE</v>
      </c>
      <c r="F154" s="26">
        <f>SAXS!E467</f>
        <v>0</v>
      </c>
      <c r="G154" s="26">
        <f>N(SAXS!F467)+SUM(SAXS!G467:H467)</f>
        <v>2159</v>
      </c>
      <c r="H154" s="26">
        <f>SUM(SAXS!I467:M467)+IF(SAXS!$AD$3="SI",SUM(SAXS!N467),0)</f>
        <v>3985</v>
      </c>
      <c r="I154" s="26">
        <f>SAXS!P467</f>
        <v>6144</v>
      </c>
      <c r="J154" s="26">
        <f>SAXS!X467</f>
        <v>568</v>
      </c>
      <c r="K154" s="26">
        <f>SAXS!AF467</f>
        <v>568</v>
      </c>
      <c r="L154" s="26">
        <f t="array" ref="L154">IFERROR(AVERAGE(INDEX(Ventas!$C$2:$F$5000,MATCH(C154,Ventas!$A$2:$A$5000,0),0)),"")</f>
        <v>175</v>
      </c>
      <c r="M154" s="26">
        <f t="shared" si="4"/>
        <v>2272</v>
      </c>
      <c r="N154" s="26">
        <f>SAXS!AG467</f>
        <v>-3872</v>
      </c>
      <c r="O154" s="26">
        <f t="shared" si="5"/>
        <v>-5444</v>
      </c>
      <c r="P154" s="34">
        <f t="shared" si="6"/>
        <v>10.8</v>
      </c>
      <c r="Q154" s="32">
        <f t="shared" si="7"/>
        <v>3872</v>
      </c>
      <c r="R154" s="40" t="str">
        <f>TRIM(IF(SAXS!AE467&lt;&gt;"","QUIEBRE: "&amp;SAXS!AE467&amp;" · ","")&amp;IF(SAXS!AC467&lt;&gt;"","CONCENTRADA: "&amp;SAXS!AC467&amp;" · ","")&amp;IF(SAXS!AD467&lt;&gt;"","SIN STOCK ANTES 06/11 · ","")&amp;IF(SAXS!AB467&lt;&gt;"","SKU DUPLICADO",""))</f>
        <v>QUIEBRE: SÍ — stock 0 y Sep cayó (prom Feb-Ago 410) ·</v>
      </c>
    </row>
    <row r="155" ht="15.75" customHeight="1">
      <c r="A155" s="24"/>
      <c r="B155" s="24">
        <v>45.0</v>
      </c>
      <c r="C155" s="24" t="str">
        <f>SAXS!A45</f>
        <v>394923-9999</v>
      </c>
      <c r="D155" s="24" t="str">
        <f>SAXS!C45</f>
        <v>TOKIO</v>
      </c>
      <c r="E155" s="24" t="str">
        <f>SAXS!D45</f>
        <v>NEGRO</v>
      </c>
      <c r="F155" s="26">
        <f>SAXS!E45</f>
        <v>8860</v>
      </c>
      <c r="G155" s="26">
        <f>N(SAXS!F45)+SUM(SAXS!G45:H45)</f>
        <v>0</v>
      </c>
      <c r="H155" s="26">
        <f>SUM(SAXS!I45:M45)+IF(SAXS!$AD$3="SI",SUM(SAXS!N45),0)</f>
        <v>4000</v>
      </c>
      <c r="I155" s="26">
        <f>SAXS!P45</f>
        <v>12860</v>
      </c>
      <c r="J155" s="26">
        <f>SAXS!X45</f>
        <v>2305.75</v>
      </c>
      <c r="K155" s="26">
        <f>SAXS!AF45</f>
        <v>2305.75</v>
      </c>
      <c r="L155" s="26">
        <f t="array" ref="L155">IFERROR(AVERAGE(INDEX(Ventas!$C$2:$F$5000,MATCH(C155,Ventas!$A$2:$A$5000,0),0)),"")</f>
        <v>1549.75</v>
      </c>
      <c r="M155" s="26">
        <f t="shared" si="4"/>
        <v>9223</v>
      </c>
      <c r="N155" s="26">
        <f>SAXS!AG45</f>
        <v>-3637</v>
      </c>
      <c r="O155" s="26">
        <f t="shared" si="5"/>
        <v>-6661</v>
      </c>
      <c r="P155" s="34">
        <f t="shared" si="6"/>
        <v>5.6</v>
      </c>
      <c r="Q155" s="32">
        <f t="shared" si="7"/>
        <v>3637</v>
      </c>
      <c r="R155" s="40" t="str">
        <f>TRIM(IF(SAXS!AE45&lt;&gt;"","QUIEBRE: "&amp;SAXS!AE45&amp;" · ","")&amp;IF(SAXS!AC45&lt;&gt;"","CONCENTRADA: "&amp;SAXS!AC45&amp;" · ","")&amp;IF(SAXS!AD45&lt;&gt;"","SIN STOCK ANTES 06/11 · ","")&amp;IF(SAXS!AB45&lt;&gt;"","SKU DUPLICADO",""))</f>
        <v/>
      </c>
    </row>
    <row r="156" ht="15.75" customHeight="1">
      <c r="A156" s="24"/>
      <c r="B156" s="24">
        <v>8.0</v>
      </c>
      <c r="C156" s="24" t="str">
        <f>SAXS!A8</f>
        <v>4931098-9999</v>
      </c>
      <c r="D156" s="24" t="str">
        <f>SAXS!C8</f>
        <v>CALI</v>
      </c>
      <c r="E156" s="24" t="str">
        <f>SAXS!D8</f>
        <v>NEGRO </v>
      </c>
      <c r="F156" s="26">
        <f>SAXS!E8</f>
        <v>10430</v>
      </c>
      <c r="G156" s="26">
        <f>N(SAXS!F8)+SUM(SAXS!G8:H8)</f>
        <v>0</v>
      </c>
      <c r="H156" s="26">
        <f>SUM(SAXS!I8:M8)+IF(SAXS!$AD$3="SI",SUM(SAXS!N8),0)</f>
        <v>14000</v>
      </c>
      <c r="I156" s="26">
        <f>SAXS!P8</f>
        <v>24430</v>
      </c>
      <c r="J156" s="26">
        <f>SAXS!X8</f>
        <v>5201.75</v>
      </c>
      <c r="K156" s="26">
        <f>SAXS!AF8</f>
        <v>5201.75</v>
      </c>
      <c r="L156" s="26">
        <f t="array" ref="L156">IFERROR(AVERAGE(INDEX(Ventas!$C$2:$F$5000,MATCH(C156,Ventas!$A$2:$A$5000,0),0)),"")</f>
        <v>5776.25</v>
      </c>
      <c r="M156" s="26">
        <f t="shared" si="4"/>
        <v>20807</v>
      </c>
      <c r="N156" s="26">
        <f>SAXS!AG8</f>
        <v>-3623</v>
      </c>
      <c r="O156" s="26">
        <f t="shared" si="5"/>
        <v>-1325</v>
      </c>
      <c r="P156" s="34">
        <f t="shared" si="6"/>
        <v>4.7</v>
      </c>
      <c r="Q156" s="32">
        <f t="shared" si="7"/>
        <v>3623</v>
      </c>
      <c r="R156" s="40" t="str">
        <f>TRIM(IF(SAXS!AE8&lt;&gt;"","QUIEBRE: "&amp;SAXS!AE8&amp;" · ","")&amp;IF(SAXS!AC8&lt;&gt;"","CONCENTRADA: "&amp;SAXS!AC8&amp;" · ","")&amp;IF(SAXS!AD8&lt;&gt;"","SIN STOCK ANTES 06/11 · ","")&amp;IF(SAXS!AB8&lt;&gt;"","SKU DUPLICADO",""))</f>
        <v/>
      </c>
    </row>
    <row r="157" ht="15.75" customHeight="1">
      <c r="A157" s="24"/>
      <c r="B157" s="24">
        <v>139.0</v>
      </c>
      <c r="C157" s="24" t="str">
        <f>SAXS!A139</f>
        <v>007319-0010</v>
      </c>
      <c r="D157" s="24" t="str">
        <f>SAXS!C139</f>
        <v>ARNO</v>
      </c>
      <c r="E157" s="24" t="str">
        <f>SAXS!D139</f>
        <v>CHOCOLATE</v>
      </c>
      <c r="F157" s="26">
        <f>SAXS!E139</f>
        <v>0</v>
      </c>
      <c r="G157" s="26">
        <f>N(SAXS!F139)+SUM(SAXS!G139:H139)</f>
        <v>7959.5</v>
      </c>
      <c r="H157" s="26">
        <f>SUM(SAXS!I139:M139)+IF(SAXS!$AD$3="SI",SUM(SAXS!N139),0)</f>
        <v>9000</v>
      </c>
      <c r="I157" s="26">
        <f>SAXS!P139</f>
        <v>16959.5</v>
      </c>
      <c r="J157" s="26">
        <f>SAXS!X139</f>
        <v>3118.75</v>
      </c>
      <c r="K157" s="26">
        <f>SAXS!AF139</f>
        <v>3351.928571</v>
      </c>
      <c r="L157" s="26">
        <f t="array" ref="L157">IFERROR(AVERAGE(INDEX(Ventas!$C$2:$F$5000,MATCH(C157,Ventas!$A$2:$A$5000,0),0)),"")</f>
        <v>2829.625</v>
      </c>
      <c r="M157" s="26">
        <f t="shared" si="4"/>
        <v>13408</v>
      </c>
      <c r="N157" s="26">
        <f>SAXS!AG139</f>
        <v>-3551.5</v>
      </c>
      <c r="O157" s="26">
        <f t="shared" si="5"/>
        <v>-5640.5</v>
      </c>
      <c r="P157" s="34">
        <f t="shared" si="6"/>
        <v>5.1</v>
      </c>
      <c r="Q157" s="32">
        <f t="shared" si="7"/>
        <v>3551.5</v>
      </c>
      <c r="R157" s="40" t="str">
        <f>TRIM(IF(SAXS!AE139&lt;&gt;"","QUIEBRE: "&amp;SAXS!AE139&amp;" · ","")&amp;IF(SAXS!AC139&lt;&gt;"","CONCENTRADA: "&amp;SAXS!AC139&amp;" · ","")&amp;IF(SAXS!AD139&lt;&gt;"","SIN STOCK ANTES 06/11 · ","")&amp;IF(SAXS!AB139&lt;&gt;"","SKU DUPLICADO",""))</f>
        <v>QUIEBRE: SÍ — stock 0 y Sep cayó (prom Feb-Ago 3,352) · SIN STOCK ANTES 06/11 ·</v>
      </c>
    </row>
    <row r="158" ht="15.75" customHeight="1">
      <c r="A158" s="24"/>
      <c r="B158" s="24">
        <v>192.0</v>
      </c>
      <c r="C158" s="24" t="str">
        <f>SAXS!A192</f>
        <v>507923-0010</v>
      </c>
      <c r="D158" s="24" t="str">
        <f>SAXS!C192</f>
        <v>MICROFIBRA 0,8MM</v>
      </c>
      <c r="E158" s="24" t="str">
        <f>SAXS!D192</f>
        <v>CHOCOLATE</v>
      </c>
      <c r="F158" s="26">
        <f>SAXS!E192</f>
        <v>5540</v>
      </c>
      <c r="G158" s="26">
        <f>N(SAXS!F192)+SUM(SAXS!G192:H192)</f>
        <v>0</v>
      </c>
      <c r="H158" s="26">
        <f>SUM(SAXS!I192:M192)+IF(SAXS!$AD$3="SI",SUM(SAXS!N192),0)</f>
        <v>3500</v>
      </c>
      <c r="I158" s="26">
        <f>SAXS!P192</f>
        <v>9040</v>
      </c>
      <c r="J158" s="26">
        <f>SAXS!X192</f>
        <v>891.875</v>
      </c>
      <c r="K158" s="26">
        <f>SAXS!AF192</f>
        <v>891.875</v>
      </c>
      <c r="L158" s="26">
        <f t="array" ref="L158">IFERROR(AVERAGE(INDEX(Ventas!$C$2:$F$5000,MATCH(C158,Ventas!$A$2:$A$5000,0),0)),"")</f>
        <v>476.25</v>
      </c>
      <c r="M158" s="26">
        <f t="shared" si="4"/>
        <v>3568</v>
      </c>
      <c r="N158" s="26">
        <f>SAXS!AG192</f>
        <v>-5472</v>
      </c>
      <c r="O158" s="26">
        <f t="shared" si="5"/>
        <v>-7135</v>
      </c>
      <c r="P158" s="34">
        <f t="shared" si="6"/>
        <v>10.1</v>
      </c>
      <c r="Q158" s="32">
        <f t="shared" si="7"/>
        <v>3500</v>
      </c>
      <c r="R158" s="40" t="str">
        <f>TRIM(IF(SAXS!AE192&lt;&gt;"","QUIEBRE: "&amp;SAXS!AE192&amp;" · ","")&amp;IF(SAXS!AC192&lt;&gt;"","CONCENTRADA: "&amp;SAXS!AC192&amp;" · ","")&amp;IF(SAXS!AD192&lt;&gt;"","SIN STOCK ANTES 06/11 · ","")&amp;IF(SAXS!AB192&lt;&gt;"","SKU DUPLICADO",""))</f>
        <v/>
      </c>
    </row>
    <row r="159" ht="15.75" customHeight="1">
      <c r="A159" s="24"/>
      <c r="B159" s="24">
        <v>120.0</v>
      </c>
      <c r="C159" s="24" t="str">
        <f>SAXS!A120</f>
        <v>007319-0003</v>
      </c>
      <c r="D159" s="24" t="str">
        <f>SAXS!C120</f>
        <v>ARNO</v>
      </c>
      <c r="E159" s="24" t="str">
        <f>SAXS!D120</f>
        <v>BEIGE OK</v>
      </c>
      <c r="F159" s="26">
        <f>SAXS!E120</f>
        <v>0</v>
      </c>
      <c r="G159" s="26">
        <f>N(SAXS!F120)+SUM(SAXS!G120:H120)</f>
        <v>3408.5</v>
      </c>
      <c r="H159" s="26">
        <f>SUM(SAXS!I120:M120)+IF(SAXS!$AD$3="SI",SUM(SAXS!N120),0)</f>
        <v>2500</v>
      </c>
      <c r="I159" s="26">
        <f>SAXS!P120</f>
        <v>5908.5</v>
      </c>
      <c r="J159" s="26">
        <f>SAXS!X120</f>
        <v>766.5</v>
      </c>
      <c r="K159" s="26">
        <f>SAXS!AF120</f>
        <v>766.5</v>
      </c>
      <c r="L159" s="26">
        <f t="array" ref="L159">IFERROR(AVERAGE(INDEX(Ventas!$C$2:$F$5000,MATCH(C159,Ventas!$A$2:$A$5000,0),0)),"")</f>
        <v>382.75</v>
      </c>
      <c r="M159" s="26">
        <f t="shared" si="4"/>
        <v>3066</v>
      </c>
      <c r="N159" s="26">
        <f>SAXS!AG120</f>
        <v>-2842.5</v>
      </c>
      <c r="O159" s="26">
        <f t="shared" si="5"/>
        <v>-4377.5</v>
      </c>
      <c r="P159" s="34">
        <f t="shared" si="6"/>
        <v>7.7</v>
      </c>
      <c r="Q159" s="32">
        <f t="shared" si="7"/>
        <v>2500</v>
      </c>
      <c r="R159" s="40" t="str">
        <f>TRIM(IF(SAXS!AE120&lt;&gt;"","QUIEBRE: "&amp;SAXS!AE120&amp;" · ","")&amp;IF(SAXS!AC120&lt;&gt;"","CONCENTRADA: "&amp;SAXS!AC120&amp;" · ","")&amp;IF(SAXS!AD120&lt;&gt;"","SIN STOCK ANTES 06/11 · ","")&amp;IF(SAXS!AB120&lt;&gt;"","SKU DUPLICADO",""))</f>
        <v>SIN STOCK ANTES 06/11 ·</v>
      </c>
    </row>
    <row r="160" ht="15.75" customHeight="1">
      <c r="A160" s="24"/>
      <c r="B160" s="24">
        <v>471.0</v>
      </c>
      <c r="C160" s="24" t="str">
        <f>SAXS!A471</f>
        <v>003999-0120</v>
      </c>
      <c r="D160" s="24" t="str">
        <f>SAXS!C471</f>
        <v>BARI</v>
      </c>
      <c r="E160" s="24" t="str">
        <f>SAXS!D471</f>
        <v>ALMENDRA</v>
      </c>
      <c r="F160" s="26">
        <f>SAXS!E471</f>
        <v>50</v>
      </c>
      <c r="G160" s="26">
        <f>N(SAXS!F471)+SUM(SAXS!G471:H471)</f>
        <v>1588</v>
      </c>
      <c r="H160" s="26">
        <f>SUM(SAXS!I471:M471)+IF(SAXS!$AD$3="SI",SUM(SAXS!N471),0)</f>
        <v>5500</v>
      </c>
      <c r="I160" s="26">
        <f>SAXS!P471</f>
        <v>7138</v>
      </c>
      <c r="J160" s="26">
        <f>SAXS!X471</f>
        <v>1165</v>
      </c>
      <c r="K160" s="26">
        <f>SAXS!AF471</f>
        <v>1165</v>
      </c>
      <c r="L160" s="26">
        <f t="array" ref="L160">IFERROR(AVERAGE(INDEX(Ventas!$C$2:$F$5000,MATCH(C160,Ventas!$A$2:$A$5000,0),0)),"")</f>
        <v>425</v>
      </c>
      <c r="M160" s="26">
        <f t="shared" si="4"/>
        <v>4660</v>
      </c>
      <c r="N160" s="26">
        <f>SAXS!AG471</f>
        <v>-2478</v>
      </c>
      <c r="O160" s="26">
        <f t="shared" si="5"/>
        <v>-5438</v>
      </c>
      <c r="P160" s="34">
        <f t="shared" si="6"/>
        <v>6.1</v>
      </c>
      <c r="Q160" s="32">
        <f t="shared" si="7"/>
        <v>2478</v>
      </c>
      <c r="R160" s="40" t="str">
        <f>TRIM(IF(SAXS!AE471&lt;&gt;"","QUIEBRE: "&amp;SAXS!AE471&amp;" · ","")&amp;IF(SAXS!AC471&lt;&gt;"","CONCENTRADA: "&amp;SAXS!AC471&amp;" · ","")&amp;IF(SAXS!AD471&lt;&gt;"","SIN STOCK ANTES 06/11 · ","")&amp;IF(SAXS!AB471&lt;&gt;"","SKU DUPLICADO",""))</f>
        <v/>
      </c>
    </row>
    <row r="161" ht="15.75" customHeight="1">
      <c r="A161" s="24"/>
      <c r="B161" s="24">
        <v>198.0</v>
      </c>
      <c r="C161" s="24" t="str">
        <f>SAXS!A198</f>
        <v>132127-9999</v>
      </c>
      <c r="D161" s="24" t="str">
        <f>SAXS!C198</f>
        <v>FLOTTER</v>
      </c>
      <c r="E161" s="24" t="str">
        <f>SAXS!D198</f>
        <v>NEGRO</v>
      </c>
      <c r="F161" s="26">
        <f>SAXS!E198</f>
        <v>600</v>
      </c>
      <c r="G161" s="26">
        <f>N(SAXS!F198)+SUM(SAXS!G198:H198)</f>
        <v>1880</v>
      </c>
      <c r="H161" s="26">
        <f>SUM(SAXS!I198:M198)+IF(SAXS!$AD$3="SI",SUM(SAXS!N198),0)</f>
        <v>5720</v>
      </c>
      <c r="I161" s="26">
        <f>SAXS!P198</f>
        <v>8200</v>
      </c>
      <c r="J161" s="26">
        <f>SAXS!X198</f>
        <v>1464</v>
      </c>
      <c r="K161" s="26">
        <f>SAXS!AF198</f>
        <v>1464</v>
      </c>
      <c r="L161" s="26">
        <f t="array" ref="L161">IFERROR(AVERAGE(INDEX(Ventas!$C$2:$F$5000,MATCH(C161,Ventas!$A$2:$A$5000,0),0)),"")</f>
        <v>1549</v>
      </c>
      <c r="M161" s="26">
        <f t="shared" si="4"/>
        <v>5856</v>
      </c>
      <c r="N161" s="26">
        <f>SAXS!AG198</f>
        <v>-2344</v>
      </c>
      <c r="O161" s="26">
        <f t="shared" si="5"/>
        <v>-2004</v>
      </c>
      <c r="P161" s="34">
        <f t="shared" si="6"/>
        <v>5.6</v>
      </c>
      <c r="Q161" s="32">
        <f t="shared" si="7"/>
        <v>2344</v>
      </c>
      <c r="R161" s="40" t="str">
        <f>TRIM(IF(SAXS!AE198&lt;&gt;"","QUIEBRE: "&amp;SAXS!AE198&amp;" · ","")&amp;IF(SAXS!AC198&lt;&gt;"","CONCENTRADA: "&amp;SAXS!AC198&amp;" · ","")&amp;IF(SAXS!AD198&lt;&gt;"","SIN STOCK ANTES 06/11 · ","")&amp;IF(SAXS!AB198&lt;&gt;"","SKU DUPLICADO",""))</f>
        <v>SIN STOCK ANTES 06/11 ·</v>
      </c>
    </row>
    <row r="162" ht="15.75" customHeight="1">
      <c r="A162" s="24"/>
      <c r="B162" s="24">
        <v>454.0</v>
      </c>
      <c r="C162" s="24" t="str">
        <f>SAXS!A454</f>
        <v>407923-9999</v>
      </c>
      <c r="D162" s="24" t="str">
        <f>SAXS!C454</f>
        <v>DOBLE FRONTURA</v>
      </c>
      <c r="E162" s="24" t="str">
        <f>SAXS!D454</f>
        <v>NEGRO</v>
      </c>
      <c r="F162" s="26">
        <f>SAXS!E454</f>
        <v>1940</v>
      </c>
      <c r="G162" s="26">
        <f>N(SAXS!F454)+SUM(SAXS!G454:H454)</f>
        <v>0</v>
      </c>
      <c r="H162" s="26">
        <f>SUM(SAXS!I454:M454)+IF(SAXS!$AD$3="SI",SUM(SAXS!N454),0)</f>
        <v>3000</v>
      </c>
      <c r="I162" s="26">
        <f>SAXS!P454</f>
        <v>4940</v>
      </c>
      <c r="J162" s="26">
        <f>SAXS!X454</f>
        <v>663</v>
      </c>
      <c r="K162" s="26">
        <f>SAXS!AF454</f>
        <v>663</v>
      </c>
      <c r="L162" s="26">
        <f t="array" ref="L162">IFERROR(AVERAGE(INDEX(Ventas!$C$2:$F$5000,MATCH(C162,Ventas!$A$2:$A$5000,0),0)),"")</f>
        <v>899.25</v>
      </c>
      <c r="M162" s="26">
        <f t="shared" si="4"/>
        <v>2652</v>
      </c>
      <c r="N162" s="26">
        <f>SAXS!AG454</f>
        <v>-2288</v>
      </c>
      <c r="O162" s="26">
        <f t="shared" si="5"/>
        <v>-1343</v>
      </c>
      <c r="P162" s="34">
        <f t="shared" si="6"/>
        <v>7.5</v>
      </c>
      <c r="Q162" s="32">
        <f t="shared" si="7"/>
        <v>2288</v>
      </c>
      <c r="R162" s="40" t="str">
        <f>TRIM(IF(SAXS!AE454&lt;&gt;"","QUIEBRE: "&amp;SAXS!AE454&amp;" · ","")&amp;IF(SAXS!AC454&lt;&gt;"","CONCENTRADA: "&amp;SAXS!AC454&amp;" · ","")&amp;IF(SAXS!AD454&lt;&gt;"","SIN STOCK ANTES 06/11 · ","")&amp;IF(SAXS!AB454&lt;&gt;"","SKU DUPLICADO",""))</f>
        <v/>
      </c>
    </row>
    <row r="163" ht="15.75" customHeight="1">
      <c r="A163" s="24"/>
      <c r="B163" s="24">
        <v>231.0</v>
      </c>
      <c r="C163" s="24" t="str">
        <f>SAXS!A231</f>
        <v>282127-9999</v>
      </c>
      <c r="D163" s="24" t="str">
        <f>SAXS!C231</f>
        <v>NAPA MET</v>
      </c>
      <c r="E163" s="24" t="str">
        <f>SAXS!D231</f>
        <v>NEGRO</v>
      </c>
      <c r="F163" s="26">
        <f>SAXS!E231</f>
        <v>1988</v>
      </c>
      <c r="G163" s="26">
        <f>N(SAXS!F231)+SUM(SAXS!G231:H231)</f>
        <v>0</v>
      </c>
      <c r="H163" s="26">
        <f>SUM(SAXS!I231:M231)+IF(SAXS!$AD$3="SI",SUM(SAXS!N231),0)</f>
        <v>2000</v>
      </c>
      <c r="I163" s="26">
        <f>SAXS!P231</f>
        <v>3988</v>
      </c>
      <c r="J163" s="26">
        <f>SAXS!X231</f>
        <v>175</v>
      </c>
      <c r="K163" s="26">
        <f>SAXS!AF231</f>
        <v>175</v>
      </c>
      <c r="L163" s="26">
        <f t="array" ref="L163">IFERROR(AVERAGE(INDEX(Ventas!$C$2:$F$5000,MATCH(C163,Ventas!$A$2:$A$5000,0),0)),"")</f>
        <v>0</v>
      </c>
      <c r="M163" s="26">
        <f t="shared" si="4"/>
        <v>700</v>
      </c>
      <c r="N163" s="26">
        <f>SAXS!AG231</f>
        <v>-3288</v>
      </c>
      <c r="O163" s="26">
        <f t="shared" si="5"/>
        <v>-3988</v>
      </c>
      <c r="P163" s="34">
        <f t="shared" si="6"/>
        <v>22.8</v>
      </c>
      <c r="Q163" s="32">
        <f t="shared" si="7"/>
        <v>2000</v>
      </c>
      <c r="R163" s="40" t="str">
        <f>TRIM(IF(SAXS!AE231&lt;&gt;"","QUIEBRE: "&amp;SAXS!AE231&amp;" · ","")&amp;IF(SAXS!AC231&lt;&gt;"","CONCENTRADA: "&amp;SAXS!AC231&amp;" · ","")&amp;IF(SAXS!AD231&lt;&gt;"","SIN STOCK ANTES 06/11 · ","")&amp;IF(SAXS!AB231&lt;&gt;"","SKU DUPLICADO",""))</f>
        <v/>
      </c>
    </row>
    <row r="164" ht="15.75" customHeight="1">
      <c r="A164" s="24"/>
      <c r="B164" s="24">
        <v>484.0</v>
      </c>
      <c r="C164" s="24" t="str">
        <f>SAXS!A484</f>
        <v>590923-0010</v>
      </c>
      <c r="D164" s="24" t="str">
        <f>SAXS!C484</f>
        <v>VENECIA</v>
      </c>
      <c r="E164" s="24" t="str">
        <f>SAXS!D484</f>
        <v>CHOCOLATE 8</v>
      </c>
      <c r="F164" s="26">
        <f>SAXS!E484</f>
        <v>0</v>
      </c>
      <c r="G164" s="26">
        <f>N(SAXS!F484)+SUM(SAXS!G484:H484)</f>
        <v>3291</v>
      </c>
      <c r="H164" s="26">
        <f>SUM(SAXS!I484:M484)+IF(SAXS!$AD$3="SI",SUM(SAXS!N484),0)</f>
        <v>2000</v>
      </c>
      <c r="I164" s="26">
        <f>SAXS!P484</f>
        <v>5291</v>
      </c>
      <c r="J164" s="26">
        <f>SAXS!X484</f>
        <v>125</v>
      </c>
      <c r="K164" s="26">
        <f>SAXS!AF484</f>
        <v>125</v>
      </c>
      <c r="L164" s="26">
        <f t="array" ref="L164">IFERROR(AVERAGE(INDEX(Ventas!$C$2:$F$5000,MATCH(C164,Ventas!$A$2:$A$5000,0),0)),"")</f>
        <v>75</v>
      </c>
      <c r="M164" s="26">
        <f t="shared" si="4"/>
        <v>500</v>
      </c>
      <c r="N164" s="26">
        <f>SAXS!AG484</f>
        <v>-4791</v>
      </c>
      <c r="O164" s="26">
        <f t="shared" si="5"/>
        <v>-4991</v>
      </c>
      <c r="P164" s="34">
        <f t="shared" si="6"/>
        <v>42.3</v>
      </c>
      <c r="Q164" s="32">
        <f t="shared" si="7"/>
        <v>2000</v>
      </c>
      <c r="R164" s="40" t="str">
        <f>TRIM(IF(SAXS!AE484&lt;&gt;"","QUIEBRE: "&amp;SAXS!AE484&amp;" · ","")&amp;IF(SAXS!AC484&lt;&gt;"","CONCENTRADA: "&amp;SAXS!AC484&amp;" · ","")&amp;IF(SAXS!AD484&lt;&gt;"","SIN STOCK ANTES 06/11 · ","")&amp;IF(SAXS!AB484&lt;&gt;"","SKU DUPLICADO",""))</f>
        <v>QUIEBRE: SÍ — stock 0 y Sep cayó (prom Feb-Ago 114) ·</v>
      </c>
    </row>
    <row r="165" ht="15.75" customHeight="1">
      <c r="A165" s="24"/>
      <c r="B165" s="24">
        <v>188.0</v>
      </c>
      <c r="C165" s="24" t="str">
        <f>SAXS!A188</f>
        <v>507923-9999</v>
      </c>
      <c r="D165" s="24" t="str">
        <f>SAXS!C188</f>
        <v>MICROFIBRA 0,8MM</v>
      </c>
      <c r="E165" s="24" t="str">
        <f>SAXS!D188</f>
        <v>NEGRO</v>
      </c>
      <c r="F165" s="26">
        <f>SAXS!E188</f>
        <v>9562</v>
      </c>
      <c r="G165" s="26">
        <f>N(SAXS!F188)+SUM(SAXS!G188:H188)</f>
        <v>0</v>
      </c>
      <c r="H165" s="26">
        <f>SUM(SAXS!I188:M188)+IF(SAXS!$AD$3="SI",SUM(SAXS!N188),0)</f>
        <v>2000</v>
      </c>
      <c r="I165" s="26">
        <f>SAXS!P188</f>
        <v>11562</v>
      </c>
      <c r="J165" s="26">
        <f>SAXS!X188</f>
        <v>1231.375</v>
      </c>
      <c r="K165" s="26">
        <f>SAXS!AF188</f>
        <v>1231.375</v>
      </c>
      <c r="L165" s="26">
        <f t="array" ref="L165">IFERROR(AVERAGE(INDEX(Ventas!$C$2:$F$5000,MATCH(C165,Ventas!$A$2:$A$5000,0),0)),"")</f>
        <v>1257.625</v>
      </c>
      <c r="M165" s="26">
        <f t="shared" si="4"/>
        <v>4926</v>
      </c>
      <c r="N165" s="26">
        <f>SAXS!AG188</f>
        <v>-6636</v>
      </c>
      <c r="O165" s="26">
        <f t="shared" si="5"/>
        <v>-6531</v>
      </c>
      <c r="P165" s="34">
        <f t="shared" si="6"/>
        <v>9.4</v>
      </c>
      <c r="Q165" s="32">
        <f t="shared" si="7"/>
        <v>2000</v>
      </c>
      <c r="R165" s="40" t="str">
        <f>TRIM(IF(SAXS!AE188&lt;&gt;"","QUIEBRE: "&amp;SAXS!AE188&amp;" · ","")&amp;IF(SAXS!AC188&lt;&gt;"","CONCENTRADA: "&amp;SAXS!AC188&amp;" · ","")&amp;IF(SAXS!AD188&lt;&gt;"","SIN STOCK ANTES 06/11 · ","")&amp;IF(SAXS!AB188&lt;&gt;"","SKU DUPLICADO",""))</f>
        <v/>
      </c>
    </row>
    <row r="166" ht="15.75" customHeight="1">
      <c r="A166" s="24"/>
      <c r="B166" s="24">
        <v>375.0</v>
      </c>
      <c r="C166" s="24" t="str">
        <f>SAXS!A375</f>
        <v>033923-9999</v>
      </c>
      <c r="D166" s="24" t="str">
        <f>SAXS!C375</f>
        <v>NEOPRENE</v>
      </c>
      <c r="E166" s="24" t="str">
        <f>SAXS!D375</f>
        <v>NEGRO</v>
      </c>
      <c r="F166" s="26">
        <f>SAXS!E375</f>
        <v>1148</v>
      </c>
      <c r="G166" s="26">
        <f>N(SAXS!F375)+SUM(SAXS!G375:H375)</f>
        <v>0</v>
      </c>
      <c r="H166" s="26">
        <f>SUM(SAXS!I375:M375)+IF(SAXS!$AD$3="SI",SUM(SAXS!N375),0)</f>
        <v>2500</v>
      </c>
      <c r="I166" s="26">
        <f>SAXS!P375</f>
        <v>3648</v>
      </c>
      <c r="J166" s="26">
        <f>SAXS!X375</f>
        <v>463.125</v>
      </c>
      <c r="K166" s="26">
        <f>SAXS!AF375</f>
        <v>463.125</v>
      </c>
      <c r="L166" s="26">
        <f t="array" ref="L166">IFERROR(AVERAGE(INDEX(Ventas!$C$2:$F$5000,MATCH(C166,Ventas!$A$2:$A$5000,0),0)),"")</f>
        <v>598.5</v>
      </c>
      <c r="M166" s="26">
        <f t="shared" si="4"/>
        <v>1853</v>
      </c>
      <c r="N166" s="26">
        <f>SAXS!AG375</f>
        <v>-1795</v>
      </c>
      <c r="O166" s="26">
        <f t="shared" si="5"/>
        <v>-1254</v>
      </c>
      <c r="P166" s="34">
        <f t="shared" si="6"/>
        <v>7.9</v>
      </c>
      <c r="Q166" s="32">
        <f t="shared" si="7"/>
        <v>1795</v>
      </c>
      <c r="R166" s="40" t="str">
        <f>TRIM(IF(SAXS!AE375&lt;&gt;"","QUIEBRE: "&amp;SAXS!AE375&amp;" · ","")&amp;IF(SAXS!AC375&lt;&gt;"","CONCENTRADA: "&amp;SAXS!AC375&amp;" · ","")&amp;IF(SAXS!AD375&lt;&gt;"","SIN STOCK ANTES 06/11 · ","")&amp;IF(SAXS!AB375&lt;&gt;"","SKU DUPLICADO",""))</f>
        <v/>
      </c>
    </row>
    <row r="167" ht="15.75" customHeight="1">
      <c r="A167" s="24"/>
      <c r="B167" s="24">
        <v>486.0</v>
      </c>
      <c r="C167" s="24" t="str">
        <f>SAXS!A486</f>
        <v>118127-0081</v>
      </c>
      <c r="D167" s="24" t="str">
        <f>SAXS!C486</f>
        <v>PECARI SOFT</v>
      </c>
      <c r="E167" s="24" t="str">
        <f>SAXS!D486</f>
        <v>TIZA</v>
      </c>
      <c r="F167" s="26">
        <f>SAXS!E486</f>
        <v>0</v>
      </c>
      <c r="G167" s="26">
        <f>N(SAXS!F486)+SUM(SAXS!G486:H486)</f>
        <v>0</v>
      </c>
      <c r="H167" s="26">
        <f>SUM(SAXS!I486:M486)+IF(SAXS!$AD$3="SI",SUM(SAXS!N486),0)</f>
        <v>3000</v>
      </c>
      <c r="I167" s="26">
        <f>SAXS!P486</f>
        <v>3000</v>
      </c>
      <c r="J167" s="26">
        <f>SAXS!X486</f>
        <v>433</v>
      </c>
      <c r="K167" s="26">
        <f>SAXS!AF486</f>
        <v>433</v>
      </c>
      <c r="L167" s="26">
        <f t="array" ref="L167">IFERROR(AVERAGE(INDEX(Ventas!$C$2:$F$5000,MATCH(C167,Ventas!$A$2:$A$5000,0),0)),"")</f>
        <v>325</v>
      </c>
      <c r="M167" s="26">
        <f t="shared" si="4"/>
        <v>1732</v>
      </c>
      <c r="N167" s="26">
        <f>SAXS!AG486</f>
        <v>-1268</v>
      </c>
      <c r="O167" s="26">
        <f t="shared" si="5"/>
        <v>-1700</v>
      </c>
      <c r="P167" s="34">
        <f t="shared" si="6"/>
        <v>6.9</v>
      </c>
      <c r="Q167" s="32">
        <f t="shared" si="7"/>
        <v>1268</v>
      </c>
      <c r="R167" s="40" t="str">
        <f>TRIM(IF(SAXS!AE486&lt;&gt;"","QUIEBRE: "&amp;SAXS!AE486&amp;" · ","")&amp;IF(SAXS!AC486&lt;&gt;"","CONCENTRADA: "&amp;SAXS!AC486&amp;" · ","")&amp;IF(SAXS!AD486&lt;&gt;"","SIN STOCK ANTES 06/11 · ","")&amp;IF(SAXS!AB486&lt;&gt;"","SKU DUPLICADO",""))</f>
        <v>SIN STOCK ANTES 06/11 ·</v>
      </c>
    </row>
    <row r="168" ht="15.75" customHeight="1">
      <c r="A168" s="24"/>
      <c r="B168" s="24">
        <v>189.0</v>
      </c>
      <c r="C168" s="24" t="str">
        <f>SAXS!A189</f>
        <v>507923-0297</v>
      </c>
      <c r="D168" s="24" t="str">
        <f>SAXS!C189</f>
        <v>MICROFIBRA 0,8MM</v>
      </c>
      <c r="E168" s="24" t="str">
        <f>SAXS!D189</f>
        <v>SUELA</v>
      </c>
      <c r="F168" s="26">
        <f>SAXS!E189</f>
        <v>3911</v>
      </c>
      <c r="G168" s="26">
        <f>N(SAXS!F189)+SUM(SAXS!G189:H189)</f>
        <v>0</v>
      </c>
      <c r="H168" s="26">
        <f>SUM(SAXS!I189:M189)+IF(SAXS!$AD$3="SI",SUM(SAXS!N189),0)</f>
        <v>2000</v>
      </c>
      <c r="I168" s="26">
        <f>SAXS!P189</f>
        <v>5911</v>
      </c>
      <c r="J168" s="26">
        <f>SAXS!X189</f>
        <v>1172.625</v>
      </c>
      <c r="K168" s="26">
        <f>SAXS!AF189</f>
        <v>1172.625</v>
      </c>
      <c r="L168" s="26">
        <f t="array" ref="L168">IFERROR(AVERAGE(INDEX(Ventas!$C$2:$F$5000,MATCH(C168,Ventas!$A$2:$A$5000,0),0)),"")</f>
        <v>702.5</v>
      </c>
      <c r="M168" s="26">
        <f t="shared" si="4"/>
        <v>4691</v>
      </c>
      <c r="N168" s="26">
        <f>SAXS!AG189</f>
        <v>-1220</v>
      </c>
      <c r="O168" s="26">
        <f t="shared" si="5"/>
        <v>-3101</v>
      </c>
      <c r="P168" s="34">
        <f t="shared" si="6"/>
        <v>5</v>
      </c>
      <c r="Q168" s="32">
        <f t="shared" si="7"/>
        <v>1220</v>
      </c>
      <c r="R168" s="40" t="str">
        <f>TRIM(IF(SAXS!AE189&lt;&gt;"","QUIEBRE: "&amp;SAXS!AE189&amp;" · ","")&amp;IF(SAXS!AC189&lt;&gt;"","CONCENTRADA: "&amp;SAXS!AC189&amp;" · ","")&amp;IF(SAXS!AD189&lt;&gt;"","SIN STOCK ANTES 06/11 · ","")&amp;IF(SAXS!AB189&lt;&gt;"","SKU DUPLICADO",""))</f>
        <v/>
      </c>
    </row>
    <row r="169" ht="15.75" customHeight="1">
      <c r="A169" s="24"/>
      <c r="B169" s="24">
        <v>80.0</v>
      </c>
      <c r="C169" s="24" t="str">
        <f>SAXS!A80</f>
        <v>027923-9999</v>
      </c>
      <c r="D169" s="24" t="str">
        <f>SAXS!C80</f>
        <v>TEXA</v>
      </c>
      <c r="E169" s="24" t="str">
        <f>SAXS!D80</f>
        <v>NEGRO</v>
      </c>
      <c r="F169" s="26">
        <f>SAXS!E80</f>
        <v>2524</v>
      </c>
      <c r="G169" s="26">
        <f>N(SAXS!F80)+SUM(SAXS!G80:H80)</f>
        <v>0</v>
      </c>
      <c r="H169" s="26">
        <f>SUM(SAXS!I80:M80)+IF(SAXS!$AD$3="SI",SUM(SAXS!N80),0)</f>
        <v>1000</v>
      </c>
      <c r="I169" s="26">
        <f>SAXS!P80</f>
        <v>3524</v>
      </c>
      <c r="J169" s="26">
        <f>SAXS!X80</f>
        <v>555</v>
      </c>
      <c r="K169" s="26">
        <f>SAXS!AF80</f>
        <v>555</v>
      </c>
      <c r="L169" s="26">
        <f t="array" ref="L169">IFERROR(AVERAGE(INDEX(Ventas!$C$2:$F$5000,MATCH(C169,Ventas!$A$2:$A$5000,0),0)),"")</f>
        <v>940.625</v>
      </c>
      <c r="M169" s="26">
        <f t="shared" si="4"/>
        <v>2220</v>
      </c>
      <c r="N169" s="26">
        <f>SAXS!AG80</f>
        <v>-1304</v>
      </c>
      <c r="O169" s="26">
        <f t="shared" si="5"/>
        <v>239</v>
      </c>
      <c r="P169" s="34">
        <f t="shared" si="6"/>
        <v>6.3</v>
      </c>
      <c r="Q169" s="32">
        <f t="shared" si="7"/>
        <v>1000</v>
      </c>
      <c r="R169" s="40" t="str">
        <f>TRIM(IF(SAXS!AE80&lt;&gt;"","QUIEBRE: "&amp;SAXS!AE80&amp;" · ","")&amp;IF(SAXS!AC80&lt;&gt;"","CONCENTRADA: "&amp;SAXS!AC80&amp;" · ","")&amp;IF(SAXS!AD80&lt;&gt;"","SIN STOCK ANTES 06/11 · ","")&amp;IF(SAXS!AB80&lt;&gt;"","SKU DUPLICADO",""))</f>
        <v/>
      </c>
    </row>
    <row r="170" ht="15.75" customHeight="1">
      <c r="A170" s="24"/>
      <c r="B170" s="24">
        <v>483.0</v>
      </c>
      <c r="C170" s="24" t="str">
        <f>SAXS!A483</f>
        <v>590923-0049</v>
      </c>
      <c r="D170" s="24" t="str">
        <f>SAXS!C483</f>
        <v>VENECIA</v>
      </c>
      <c r="E170" s="24" t="str">
        <f>SAXS!D483</f>
        <v>MADERA 13</v>
      </c>
      <c r="F170" s="26">
        <f>SAXS!E483</f>
        <v>0</v>
      </c>
      <c r="G170" s="26">
        <f>N(SAXS!F483)+SUM(SAXS!G483:H483)</f>
        <v>3087</v>
      </c>
      <c r="H170" s="26">
        <f>SUM(SAXS!I483:M483)+IF(SAXS!$AD$3="SI",SUM(SAXS!N483),0)</f>
        <v>1000</v>
      </c>
      <c r="I170" s="26">
        <f>SAXS!P483</f>
        <v>4087</v>
      </c>
      <c r="J170" s="26">
        <f>SAXS!X483</f>
        <v>222.75</v>
      </c>
      <c r="K170" s="26">
        <f>SAXS!AF483</f>
        <v>222.75</v>
      </c>
      <c r="L170" s="26">
        <f t="array" ref="L170">IFERROR(AVERAGE(INDEX(Ventas!$C$2:$F$5000,MATCH(C170,Ventas!$A$2:$A$5000,0),0)),"")</f>
        <v>75</v>
      </c>
      <c r="M170" s="26">
        <f t="shared" si="4"/>
        <v>891</v>
      </c>
      <c r="N170" s="26">
        <f>SAXS!AG483</f>
        <v>-3196</v>
      </c>
      <c r="O170" s="26">
        <f t="shared" si="5"/>
        <v>-3787</v>
      </c>
      <c r="P170" s="34">
        <f t="shared" si="6"/>
        <v>18.3</v>
      </c>
      <c r="Q170" s="32">
        <f t="shared" si="7"/>
        <v>1000</v>
      </c>
      <c r="R170" s="40" t="str">
        <f>TRIM(IF(SAXS!AE483&lt;&gt;"","QUIEBRE: "&amp;SAXS!AE483&amp;" · ","")&amp;IF(SAXS!AC483&lt;&gt;"","CONCENTRADA: "&amp;SAXS!AC483&amp;" · ","")&amp;IF(SAXS!AD483&lt;&gt;"","SIN STOCK ANTES 06/11 · ","")&amp;IF(SAXS!AB483&lt;&gt;"","SKU DUPLICADO",""))</f>
        <v>QUIEBRE: SÍ — stock 0 y Sep cayó (prom Feb-Ago 170) ·</v>
      </c>
    </row>
    <row r="171" ht="15.75" customHeight="1">
      <c r="A171" s="24"/>
      <c r="B171" s="24">
        <v>133.0</v>
      </c>
      <c r="C171" s="24" t="str">
        <f>SAXS!A133</f>
        <v>007319-0111</v>
      </c>
      <c r="D171" s="24" t="str">
        <f>SAXS!C133</f>
        <v>ARNO</v>
      </c>
      <c r="E171" s="24" t="str">
        <f>SAXS!D133</f>
        <v>TERRA</v>
      </c>
      <c r="F171" s="26">
        <f>SAXS!E133</f>
        <v>0</v>
      </c>
      <c r="G171" s="26">
        <f>N(SAXS!F133)+SUM(SAXS!G133:H133)</f>
        <v>0</v>
      </c>
      <c r="H171" s="26">
        <f>SUM(SAXS!I133:M133)+IF(SAXS!$AD$3="SI",SUM(SAXS!N133),0)</f>
        <v>1500</v>
      </c>
      <c r="I171" s="26">
        <f>SAXS!P133</f>
        <v>1500</v>
      </c>
      <c r="J171" s="26">
        <f>SAXS!X133</f>
        <v>82.5</v>
      </c>
      <c r="K171" s="26">
        <f>SAXS!AF133</f>
        <v>197.0571429</v>
      </c>
      <c r="L171" s="26">
        <f t="array" ref="L171">IFERROR(AVERAGE(INDEX(Ventas!$C$2:$F$5000,MATCH(C171,Ventas!$A$2:$A$5000,0),0)),"")</f>
        <v>262.35</v>
      </c>
      <c r="M171" s="26">
        <f t="shared" si="4"/>
        <v>788</v>
      </c>
      <c r="N171" s="26">
        <f>SAXS!AG133</f>
        <v>-712</v>
      </c>
      <c r="O171" s="26">
        <f t="shared" si="5"/>
        <v>-451</v>
      </c>
      <c r="P171" s="34">
        <f t="shared" si="6"/>
        <v>7.6</v>
      </c>
      <c r="Q171" s="32">
        <f t="shared" si="7"/>
        <v>712</v>
      </c>
      <c r="R171" s="40" t="str">
        <f>TRIM(IF(SAXS!AE133&lt;&gt;"","QUIEBRE: "&amp;SAXS!AE133&amp;" · ","")&amp;IF(SAXS!AC133&lt;&gt;"","CONCENTRADA: "&amp;SAXS!AC133&amp;" · ","")&amp;IF(SAXS!AD133&lt;&gt;"","SIN STOCK ANTES 06/11 · ","")&amp;IF(SAXS!AB133&lt;&gt;"","SKU DUPLICADO",""))</f>
        <v>QUIEBRE: SÍ — stock 0 y Sep cayó (prom Feb-Ago 197) · SIN STOCK ANTES 06/11 ·</v>
      </c>
    </row>
    <row r="172" ht="15.75" customHeight="1">
      <c r="A172" s="24"/>
      <c r="B172" s="24">
        <v>154.0</v>
      </c>
      <c r="C172" s="24" t="str">
        <f>SAXS!A154</f>
        <v>406923-0010</v>
      </c>
      <c r="D172" s="24" t="str">
        <f>SAXS!C154</f>
        <v>COSTURADO</v>
      </c>
      <c r="E172" s="24" t="str">
        <f>SAXS!D154</f>
        <v>CHOCOLATE BK</v>
      </c>
      <c r="F172" s="26">
        <f>SAXS!E154</f>
        <v>0</v>
      </c>
      <c r="G172" s="26">
        <f>N(SAXS!F154)+SUM(SAXS!G154:H154)</f>
        <v>0</v>
      </c>
      <c r="H172" s="26">
        <f>SUM(SAXS!I154:M154)+IF(SAXS!$AD$3="SI",SUM(SAXS!N154),0)</f>
        <v>1000</v>
      </c>
      <c r="I172" s="26">
        <f>SAXS!P154</f>
        <v>1000</v>
      </c>
      <c r="J172" s="26">
        <f>SAXS!X154</f>
        <v>0</v>
      </c>
      <c r="K172" s="26">
        <f>SAXS!AF154</f>
        <v>81.42857143</v>
      </c>
      <c r="L172" s="26">
        <f t="array" ref="L172">IFERROR(AVERAGE(INDEX(Ventas!$C$2:$F$5000,MATCH(C172,Ventas!$A$2:$A$5000,0),0)),"")</f>
        <v>142.5</v>
      </c>
      <c r="M172" s="26">
        <f t="shared" si="4"/>
        <v>326</v>
      </c>
      <c r="N172" s="26">
        <f>SAXS!AG154</f>
        <v>-674</v>
      </c>
      <c r="O172" s="26">
        <f t="shared" si="5"/>
        <v>-430</v>
      </c>
      <c r="P172" s="34">
        <f t="shared" si="6"/>
        <v>12.3</v>
      </c>
      <c r="Q172" s="32">
        <f t="shared" si="7"/>
        <v>674</v>
      </c>
      <c r="R172" s="40" t="str">
        <f>TRIM(IF(SAXS!AE154&lt;&gt;"","QUIEBRE: "&amp;SAXS!AE154&amp;" · ","")&amp;IF(SAXS!AC154&lt;&gt;"","CONCENTRADA: "&amp;SAXS!AC154&amp;" · ","")&amp;IF(SAXS!AD154&lt;&gt;"","SIN STOCK ANTES 06/11 · ","")&amp;IF(SAXS!AB154&lt;&gt;"","SKU DUPLICADO",""))</f>
        <v>QUIEBRE: SÍ — stock 0 y Sep cayó (prom Feb-Ago 81) ·</v>
      </c>
    </row>
    <row r="173" ht="15.75" customHeight="1">
      <c r="A173" s="24"/>
      <c r="B173" s="24">
        <v>119.0</v>
      </c>
      <c r="C173" s="24" t="str">
        <f>SAXS!A119</f>
        <v>007319-0297</v>
      </c>
      <c r="D173" s="24" t="str">
        <f>SAXS!C119</f>
        <v>ARNO</v>
      </c>
      <c r="E173" s="24" t="str">
        <f>SAXS!D119</f>
        <v>SUELA BK 2026</v>
      </c>
      <c r="F173" s="26">
        <f>SAXS!E119</f>
        <v>0</v>
      </c>
      <c r="G173" s="26">
        <f>N(SAXS!F119)+SUM(SAXS!G119:H119)</f>
        <v>3063</v>
      </c>
      <c r="H173" s="26">
        <f>SUM(SAXS!I119:M119)+IF(SAXS!$AD$3="SI",SUM(SAXS!N119),0)</f>
        <v>3000</v>
      </c>
      <c r="I173" s="26">
        <f>SAXS!P119</f>
        <v>6063</v>
      </c>
      <c r="J173" s="26">
        <f>SAXS!X119</f>
        <v>1347.75</v>
      </c>
      <c r="K173" s="26">
        <f>SAXS!AF119</f>
        <v>1347.75</v>
      </c>
      <c r="L173" s="26">
        <f t="array" ref="L173">IFERROR(AVERAGE(INDEX(Ventas!$C$2:$F$5000,MATCH(C173,Ventas!$A$2:$A$5000,0),0)),"")</f>
        <v>567.75</v>
      </c>
      <c r="M173" s="26">
        <f t="shared" si="4"/>
        <v>5391</v>
      </c>
      <c r="N173" s="26">
        <f>SAXS!AG119</f>
        <v>-672</v>
      </c>
      <c r="O173" s="26">
        <f t="shared" si="5"/>
        <v>-3792</v>
      </c>
      <c r="P173" s="34">
        <f t="shared" si="6"/>
        <v>4.5</v>
      </c>
      <c r="Q173" s="32">
        <f t="shared" si="7"/>
        <v>672</v>
      </c>
      <c r="R173" s="40" t="str">
        <f>TRIM(IF(SAXS!AE119&lt;&gt;"","QUIEBRE: "&amp;SAXS!AE119&amp;" · ","")&amp;IF(SAXS!AC119&lt;&gt;"","CONCENTRADA: "&amp;SAXS!AC119&amp;" · ","")&amp;IF(SAXS!AD119&lt;&gt;"","SIN STOCK ANTES 06/11 · ","")&amp;IF(SAXS!AB119&lt;&gt;"","SKU DUPLICADO",""))</f>
        <v>SIN STOCK ANTES 06/11 ·</v>
      </c>
    </row>
    <row r="174" ht="15.75" customHeight="1">
      <c r="A174" s="24"/>
      <c r="B174" s="24">
        <v>361.0</v>
      </c>
      <c r="C174" s="24" t="str">
        <f>SAXS!A361</f>
        <v>586923-9999</v>
      </c>
      <c r="D174" s="24" t="str">
        <f>SAXS!C361</f>
        <v>CHAROL 0.6 MM </v>
      </c>
      <c r="E174" s="24" t="str">
        <f>SAXS!D361</f>
        <v>NEGRO</v>
      </c>
      <c r="F174" s="26">
        <f>SAXS!E361</f>
        <v>300</v>
      </c>
      <c r="G174" s="26">
        <f>N(SAXS!F361)+SUM(SAXS!G361:H361)</f>
        <v>0</v>
      </c>
      <c r="H174" s="26">
        <f>SUM(SAXS!I361:M361)+IF(SAXS!$AD$3="SI",SUM(SAXS!N361),0)</f>
        <v>1000</v>
      </c>
      <c r="I174" s="26">
        <f>SAXS!P361</f>
        <v>1300</v>
      </c>
      <c r="J174" s="26">
        <f>SAXS!X361</f>
        <v>162.5</v>
      </c>
      <c r="K174" s="26">
        <f>SAXS!AF361</f>
        <v>162.5</v>
      </c>
      <c r="L174" s="26">
        <f t="array" ref="L174">IFERROR(AVERAGE(INDEX(Ventas!$C$2:$F$5000,MATCH(C174,Ventas!$A$2:$A$5000,0),0)),"")</f>
        <v>12.5</v>
      </c>
      <c r="M174" s="26">
        <f t="shared" si="4"/>
        <v>650</v>
      </c>
      <c r="N174" s="26">
        <f>SAXS!AG361</f>
        <v>-650</v>
      </c>
      <c r="O174" s="26">
        <f t="shared" si="5"/>
        <v>-1250</v>
      </c>
      <c r="P174" s="34">
        <f t="shared" si="6"/>
        <v>8</v>
      </c>
      <c r="Q174" s="32">
        <f t="shared" si="7"/>
        <v>650</v>
      </c>
      <c r="R174" s="40" t="str">
        <f>TRIM(IF(SAXS!AE361&lt;&gt;"","QUIEBRE: "&amp;SAXS!AE361&amp;" · ","")&amp;IF(SAXS!AC361&lt;&gt;"","CONCENTRADA: "&amp;SAXS!AC361&amp;" · ","")&amp;IF(SAXS!AD361&lt;&gt;"","SIN STOCK ANTES 06/11 · ","")&amp;IF(SAXS!AB361&lt;&gt;"","SKU DUPLICADO",""))</f>
        <v/>
      </c>
    </row>
    <row r="175" ht="15.75" customHeight="1">
      <c r="A175" s="24"/>
      <c r="B175" s="24">
        <v>106.0</v>
      </c>
      <c r="C175" s="24" t="str">
        <f>SAXS!A106</f>
        <v>037923-0003</v>
      </c>
      <c r="D175" s="24" t="str">
        <f>SAXS!C106</f>
        <v>KANSAS ( ZR30313 )</v>
      </c>
      <c r="E175" s="24" t="str">
        <f>SAXS!D106</f>
        <v>BEIGE </v>
      </c>
      <c r="F175" s="26">
        <f>SAXS!E106</f>
        <v>0</v>
      </c>
      <c r="G175" s="26">
        <f>N(SAXS!F106)+SUM(SAXS!G106:H106)</f>
        <v>0</v>
      </c>
      <c r="H175" s="26">
        <f>SUM(SAXS!I106:M106)+IF(SAXS!$AD$3="SI",SUM(SAXS!N106),0)</f>
        <v>1000</v>
      </c>
      <c r="I175" s="26">
        <f>SAXS!P106</f>
        <v>1000</v>
      </c>
      <c r="J175" s="26">
        <f>SAXS!X106</f>
        <v>0</v>
      </c>
      <c r="K175" s="26">
        <f>SAXS!AF106</f>
        <v>93.78571429</v>
      </c>
      <c r="L175" s="26">
        <f t="array" ref="L175">IFERROR(AVERAGE(INDEX(Ventas!$C$2:$F$5000,MATCH(C175,Ventas!$A$2:$A$5000,0),0)),"")</f>
        <v>164.125</v>
      </c>
      <c r="M175" s="26">
        <f t="shared" si="4"/>
        <v>375</v>
      </c>
      <c r="N175" s="26">
        <f>SAXS!AG106</f>
        <v>-625</v>
      </c>
      <c r="O175" s="26">
        <f t="shared" si="5"/>
        <v>-343</v>
      </c>
      <c r="P175" s="34">
        <f t="shared" si="6"/>
        <v>10.7</v>
      </c>
      <c r="Q175" s="32">
        <f t="shared" si="7"/>
        <v>625</v>
      </c>
      <c r="R175" s="40" t="str">
        <f>TRIM(IF(SAXS!AE106&lt;&gt;"","QUIEBRE: "&amp;SAXS!AE106&amp;" · ","")&amp;IF(SAXS!AC106&lt;&gt;"","CONCENTRADA: "&amp;SAXS!AC106&amp;" · ","")&amp;IF(SAXS!AD106&lt;&gt;"","SIN STOCK ANTES 06/11 · ","")&amp;IF(SAXS!AB106&lt;&gt;"","SKU DUPLICADO",""))</f>
        <v>QUIEBRE: SÍ — stock 0 y Sep cayó (prom Feb-Ago 94) ·</v>
      </c>
    </row>
    <row r="176" ht="15.75" customHeight="1">
      <c r="A176" s="24"/>
      <c r="B176" s="24">
        <v>12.0</v>
      </c>
      <c r="C176" s="24" t="str">
        <f>SAXS!A12</f>
        <v>4931098-0047</v>
      </c>
      <c r="D176" s="24" t="str">
        <f>SAXS!C12</f>
        <v>CALI</v>
      </c>
      <c r="E176" s="24" t="str">
        <f>SAXS!D12</f>
        <v>VISON</v>
      </c>
      <c r="F176" s="26">
        <f>SAXS!E12</f>
        <v>40</v>
      </c>
      <c r="G176" s="26">
        <f>N(SAXS!F12)+SUM(SAXS!G12:H12)</f>
        <v>0</v>
      </c>
      <c r="H176" s="26">
        <f>SUM(SAXS!I12:M12)+IF(SAXS!$AD$3="SI",SUM(SAXS!N12),0)</f>
        <v>800</v>
      </c>
      <c r="I176" s="26">
        <f>SAXS!P12</f>
        <v>840</v>
      </c>
      <c r="J176" s="26">
        <f>SAXS!X12</f>
        <v>70</v>
      </c>
      <c r="K176" s="26">
        <f>SAXS!AF12</f>
        <v>70</v>
      </c>
      <c r="L176" s="26">
        <f t="array" ref="L176">IFERROR(AVERAGE(INDEX(Ventas!$C$2:$F$5000,MATCH(C176,Ventas!$A$2:$A$5000,0),0)),"")</f>
        <v>169</v>
      </c>
      <c r="M176" s="26">
        <f t="shared" si="4"/>
        <v>280</v>
      </c>
      <c r="N176" s="26">
        <f>SAXS!AG12</f>
        <v>-560</v>
      </c>
      <c r="O176" s="26">
        <f t="shared" si="5"/>
        <v>-164</v>
      </c>
      <c r="P176" s="34">
        <f t="shared" si="6"/>
        <v>12</v>
      </c>
      <c r="Q176" s="32">
        <f t="shared" si="7"/>
        <v>560</v>
      </c>
      <c r="R176" s="40" t="str">
        <f>TRIM(IF(SAXS!AE12&lt;&gt;"","QUIEBRE: "&amp;SAXS!AE12&amp;" · ","")&amp;IF(SAXS!AC12&lt;&gt;"","CONCENTRADA: "&amp;SAXS!AC12&amp;" · ","")&amp;IF(SAXS!AD12&lt;&gt;"","SIN STOCK ANTES 06/11 · ","")&amp;IF(SAXS!AB12&lt;&gt;"","SKU DUPLICADO",""))</f>
        <v/>
      </c>
    </row>
    <row r="177" ht="15.75" customHeight="1">
      <c r="A177" s="24"/>
      <c r="B177" s="24">
        <v>344.0</v>
      </c>
      <c r="C177" s="24" t="str">
        <f>SAXS!A344</f>
        <v>384127-0004</v>
      </c>
      <c r="D177" s="24" t="str">
        <f>SAXS!C344</f>
        <v>CHAROL 1 MM</v>
      </c>
      <c r="E177" s="24" t="str">
        <f>SAXS!D344</f>
        <v>BORDO</v>
      </c>
      <c r="F177" s="26">
        <f>SAXS!E344</f>
        <v>0</v>
      </c>
      <c r="G177" s="26">
        <f>N(SAXS!F344)+SUM(SAXS!G344:H344)</f>
        <v>0</v>
      </c>
      <c r="H177" s="26">
        <f>SUM(SAXS!I344:M344)+IF(SAXS!$AD$3="SI",SUM(SAXS!N344),0)</f>
        <v>1000</v>
      </c>
      <c r="I177" s="26">
        <f>SAXS!P344</f>
        <v>1000</v>
      </c>
      <c r="J177" s="26">
        <f>SAXS!X344</f>
        <v>0</v>
      </c>
      <c r="K177" s="26">
        <f>SAXS!AF344</f>
        <v>110.8571429</v>
      </c>
      <c r="L177" s="26">
        <f t="array" ref="L177">IFERROR(AVERAGE(INDEX(Ventas!$C$2:$F$5000,MATCH(C177,Ventas!$A$2:$A$5000,0),0)),"")</f>
        <v>194</v>
      </c>
      <c r="M177" s="26">
        <f t="shared" si="4"/>
        <v>443</v>
      </c>
      <c r="N177" s="26">
        <f>SAXS!AG344</f>
        <v>-557</v>
      </c>
      <c r="O177" s="26">
        <f t="shared" si="5"/>
        <v>-224</v>
      </c>
      <c r="P177" s="34">
        <f t="shared" si="6"/>
        <v>9</v>
      </c>
      <c r="Q177" s="32">
        <f t="shared" si="7"/>
        <v>557</v>
      </c>
      <c r="R177" s="40" t="str">
        <f>TRIM(IF(SAXS!AE344&lt;&gt;"","QUIEBRE: "&amp;SAXS!AE344&amp;" · ","")&amp;IF(SAXS!AC344&lt;&gt;"","CONCENTRADA: "&amp;SAXS!AC344&amp;" · ","")&amp;IF(SAXS!AD344&lt;&gt;"","SIN STOCK ANTES 06/11 · ","")&amp;IF(SAXS!AB344&lt;&gt;"","SKU DUPLICADO",""))</f>
        <v>QUIEBRE: SÍ — stock 0 y Sep cayó (prom Feb-Ago 111) ·</v>
      </c>
    </row>
    <row r="178" ht="15.75" customHeight="1">
      <c r="A178" s="24"/>
      <c r="B178" s="24">
        <v>9.0</v>
      </c>
      <c r="C178" s="24" t="str">
        <f>SAXS!A9</f>
        <v>4931098-0000</v>
      </c>
      <c r="D178" s="24" t="str">
        <f>SAXS!C9</f>
        <v>CALI</v>
      </c>
      <c r="E178" s="24" t="str">
        <f>SAXS!D9</f>
        <v>BLANCO</v>
      </c>
      <c r="F178" s="26">
        <f>SAXS!E9</f>
        <v>200</v>
      </c>
      <c r="G178" s="26">
        <f>N(SAXS!F9)+SUM(SAXS!G9:H9)</f>
        <v>2033</v>
      </c>
      <c r="H178" s="26">
        <f>SUM(SAXS!I9:M9)+IF(SAXS!$AD$3="SI",SUM(SAXS!N9),0)</f>
        <v>2000</v>
      </c>
      <c r="I178" s="26">
        <f>SAXS!P9</f>
        <v>4233</v>
      </c>
      <c r="J178" s="26">
        <f>SAXS!X9</f>
        <v>927.75</v>
      </c>
      <c r="K178" s="26">
        <f>SAXS!AF9</f>
        <v>927.75</v>
      </c>
      <c r="L178" s="26">
        <f t="array" ref="L178">IFERROR(AVERAGE(INDEX(Ventas!$C$2:$F$5000,MATCH(C178,Ventas!$A$2:$A$5000,0),0)),"")</f>
        <v>150</v>
      </c>
      <c r="M178" s="26">
        <f t="shared" si="4"/>
        <v>3711</v>
      </c>
      <c r="N178" s="26">
        <f>SAXS!AG9</f>
        <v>-522</v>
      </c>
      <c r="O178" s="26">
        <f t="shared" si="5"/>
        <v>-3633</v>
      </c>
      <c r="P178" s="34">
        <f t="shared" si="6"/>
        <v>4.6</v>
      </c>
      <c r="Q178" s="32">
        <f t="shared" si="7"/>
        <v>522</v>
      </c>
      <c r="R178" s="40" t="str">
        <f>TRIM(IF(SAXS!AE9&lt;&gt;"","QUIEBRE: "&amp;SAXS!AE9&amp;" · ","")&amp;IF(SAXS!AC9&lt;&gt;"","CONCENTRADA: "&amp;SAXS!AC9&amp;" · ","")&amp;IF(SAXS!AD9&lt;&gt;"","SIN STOCK ANTES 06/11 · ","")&amp;IF(SAXS!AB9&lt;&gt;"","SKU DUPLICADO",""))</f>
        <v>SIN STOCK ANTES 06/11 ·</v>
      </c>
    </row>
    <row r="179" ht="15.75" customHeight="1">
      <c r="A179" s="24"/>
      <c r="B179" s="24">
        <v>453.0</v>
      </c>
      <c r="C179" s="24" t="str">
        <f>SAXS!A453</f>
        <v>112923-9999</v>
      </c>
      <c r="D179" s="24" t="str">
        <f>SAXS!C453</f>
        <v>RAFIA</v>
      </c>
      <c r="E179" s="24" t="str">
        <f>SAXS!D453</f>
        <v>NILO NEGRO</v>
      </c>
      <c r="F179" s="26">
        <f>SAXS!E453</f>
        <v>441</v>
      </c>
      <c r="G179" s="26">
        <f>N(SAXS!F453)+SUM(SAXS!G453:H453)</f>
        <v>0</v>
      </c>
      <c r="H179" s="26">
        <f>SUM(SAXS!I453:M453)+IF(SAXS!$AD$3="SI",SUM(SAXS!N453),0)</f>
        <v>500</v>
      </c>
      <c r="I179" s="26">
        <f>SAXS!P453</f>
        <v>941</v>
      </c>
      <c r="J179" s="26">
        <f>SAXS!X453</f>
        <v>75</v>
      </c>
      <c r="K179" s="26">
        <f>SAXS!AF453</f>
        <v>75</v>
      </c>
      <c r="L179" s="26">
        <f t="array" ref="L179">IFERROR(AVERAGE(INDEX(Ventas!$C$2:$F$5000,MATCH(C179,Ventas!$A$2:$A$5000,0),0)),"")</f>
        <v>0</v>
      </c>
      <c r="M179" s="26">
        <f t="shared" si="4"/>
        <v>300</v>
      </c>
      <c r="N179" s="26">
        <f>SAXS!AG453</f>
        <v>-641</v>
      </c>
      <c r="O179" s="26">
        <f t="shared" si="5"/>
        <v>-941</v>
      </c>
      <c r="P179" s="34">
        <f t="shared" si="6"/>
        <v>12.5</v>
      </c>
      <c r="Q179" s="32">
        <f t="shared" si="7"/>
        <v>500</v>
      </c>
      <c r="R179" s="40" t="str">
        <f>TRIM(IF(SAXS!AE453&lt;&gt;"","QUIEBRE: "&amp;SAXS!AE453&amp;" · ","")&amp;IF(SAXS!AC453&lt;&gt;"","CONCENTRADA: "&amp;SAXS!AC453&amp;" · ","")&amp;IF(SAXS!AD453&lt;&gt;"","SIN STOCK ANTES 06/11 · ","")&amp;IF(SAXS!AB453&lt;&gt;"","SKU DUPLICADO",""))</f>
        <v/>
      </c>
    </row>
    <row r="180" ht="15.75" customHeight="1">
      <c r="A180" s="24"/>
      <c r="B180" s="24">
        <v>347.0</v>
      </c>
      <c r="C180" s="24" t="str">
        <f>SAXS!A347</f>
        <v>004127-9999</v>
      </c>
      <c r="D180" s="24" t="str">
        <f>SAXS!C347</f>
        <v>CHAROL 0.8 MM</v>
      </c>
      <c r="E180" s="24" t="str">
        <f>SAXS!D347</f>
        <v>NEGRO</v>
      </c>
      <c r="F180" s="26">
        <f>SAXS!E347</f>
        <v>0</v>
      </c>
      <c r="G180" s="26">
        <f>N(SAXS!F347)+SUM(SAXS!G347:H347)</f>
        <v>2933</v>
      </c>
      <c r="H180" s="26">
        <f>SUM(SAXS!I347:M347)+IF(SAXS!$AD$3="SI",SUM(SAXS!N347),0)</f>
        <v>500</v>
      </c>
      <c r="I180" s="26">
        <f>SAXS!P347</f>
        <v>3433</v>
      </c>
      <c r="J180" s="26">
        <f>SAXS!X347</f>
        <v>537</v>
      </c>
      <c r="K180" s="26">
        <f>SAXS!AF347</f>
        <v>537</v>
      </c>
      <c r="L180" s="26">
        <f t="array" ref="L180">IFERROR(AVERAGE(INDEX(Ventas!$C$2:$F$5000,MATCH(C180,Ventas!$A$2:$A$5000,0),0)),"")</f>
        <v>399.5</v>
      </c>
      <c r="M180" s="26">
        <f t="shared" si="4"/>
        <v>2148</v>
      </c>
      <c r="N180" s="26">
        <f>SAXS!AG347</f>
        <v>-1285</v>
      </c>
      <c r="O180" s="26">
        <f t="shared" si="5"/>
        <v>-1835</v>
      </c>
      <c r="P180" s="34">
        <f t="shared" si="6"/>
        <v>6.4</v>
      </c>
      <c r="Q180" s="32">
        <f t="shared" si="7"/>
        <v>500</v>
      </c>
      <c r="R180" s="40" t="str">
        <f>TRIM(IF(SAXS!AE347&lt;&gt;"","QUIEBRE: "&amp;SAXS!AE347&amp;" · ","")&amp;IF(SAXS!AC347&lt;&gt;"","CONCENTRADA: "&amp;SAXS!AC347&amp;" · ","")&amp;IF(SAXS!AD347&lt;&gt;"","SIN STOCK ANTES 06/11 · ","")&amp;IF(SAXS!AB347&lt;&gt;"","SKU DUPLICADO",""))</f>
        <v>SIN STOCK ANTES 06/11 ·</v>
      </c>
    </row>
    <row r="181" ht="15.75" customHeight="1">
      <c r="A181" s="24"/>
      <c r="B181" s="24">
        <v>105.0</v>
      </c>
      <c r="C181" s="24" t="str">
        <f>SAXS!A105</f>
        <v>037923-0079</v>
      </c>
      <c r="D181" s="24" t="str">
        <f>SAXS!C105</f>
        <v>KANSAS ( ZR30313 )</v>
      </c>
      <c r="E181" s="24" t="str">
        <f>SAXS!D105</f>
        <v>CARAMELO (2)</v>
      </c>
      <c r="F181" s="26">
        <f>SAXS!E105</f>
        <v>100</v>
      </c>
      <c r="G181" s="26">
        <f>N(SAXS!F105)+SUM(SAXS!G105:H105)</f>
        <v>0</v>
      </c>
      <c r="H181" s="26">
        <f>SUM(SAXS!I105:M105)+IF(SAXS!$AD$3="SI",SUM(SAXS!N105),0)</f>
        <v>1000</v>
      </c>
      <c r="I181" s="26">
        <f>SAXS!P105</f>
        <v>1100</v>
      </c>
      <c r="J181" s="26">
        <f>SAXS!X105</f>
        <v>172.875</v>
      </c>
      <c r="K181" s="26">
        <f>SAXS!AF105</f>
        <v>172.875</v>
      </c>
      <c r="L181" s="26">
        <f t="array" ref="L181">IFERROR(AVERAGE(INDEX(Ventas!$C$2:$F$5000,MATCH(C181,Ventas!$A$2:$A$5000,0),0)),"")</f>
        <v>37.5</v>
      </c>
      <c r="M181" s="26">
        <f t="shared" si="4"/>
        <v>692</v>
      </c>
      <c r="N181" s="26">
        <f>SAXS!AG105</f>
        <v>-408</v>
      </c>
      <c r="O181" s="26">
        <f t="shared" si="5"/>
        <v>-950</v>
      </c>
      <c r="P181" s="34">
        <f t="shared" si="6"/>
        <v>6.4</v>
      </c>
      <c r="Q181" s="32">
        <f t="shared" si="7"/>
        <v>408</v>
      </c>
      <c r="R181" s="40" t="str">
        <f>TRIM(IF(SAXS!AE105&lt;&gt;"","QUIEBRE: "&amp;SAXS!AE105&amp;" · ","")&amp;IF(SAXS!AC105&lt;&gt;"","CONCENTRADA: "&amp;SAXS!AC105&amp;" · ","")&amp;IF(SAXS!AD105&lt;&gt;"","SIN STOCK ANTES 06/11 · ","")&amp;IF(SAXS!AB105&lt;&gt;"","SKU DUPLICADO",""))</f>
        <v/>
      </c>
    </row>
    <row r="182" ht="15.75" customHeight="1">
      <c r="A182" s="24"/>
      <c r="B182" s="24">
        <v>38.0</v>
      </c>
      <c r="C182" s="24" t="str">
        <f>SAXS!A38</f>
        <v>5130923-0010</v>
      </c>
      <c r="D182" s="24" t="str">
        <f>SAXS!C38</f>
        <v>CALI EVA pique  2.4mm</v>
      </c>
      <c r="E182" s="24" t="str">
        <f>SAXS!D38</f>
        <v>CHOCOLATE</v>
      </c>
      <c r="F182" s="26">
        <f>SAXS!E38</f>
        <v>0</v>
      </c>
      <c r="G182" s="26">
        <f>N(SAXS!F38)+SUM(SAXS!G38:H38)</f>
        <v>0</v>
      </c>
      <c r="H182" s="26">
        <f>SUM(SAXS!I38:M38)+IF(SAXS!$AD$3="SI",SUM(SAXS!N38),0)</f>
        <v>2500</v>
      </c>
      <c r="I182" s="26">
        <f>SAXS!P38</f>
        <v>2500</v>
      </c>
      <c r="J182" s="26">
        <f>SAXS!X38</f>
        <v>202.5</v>
      </c>
      <c r="K182" s="26">
        <f>SAXS!AF38</f>
        <v>529.1428571</v>
      </c>
      <c r="L182" s="26">
        <f t="array" ref="L182">IFERROR(AVERAGE(INDEX(Ventas!$C$2:$F$5000,MATCH(C182,Ventas!$A$2:$A$5000,0),0)),"")</f>
        <v>723.5</v>
      </c>
      <c r="M182" s="26">
        <f t="shared" si="4"/>
        <v>2117</v>
      </c>
      <c r="N182" s="26">
        <f>SAXS!AG38</f>
        <v>-383</v>
      </c>
      <c r="O182" s="26">
        <f t="shared" si="5"/>
        <v>394</v>
      </c>
      <c r="P182" s="34">
        <f t="shared" si="6"/>
        <v>4.7</v>
      </c>
      <c r="Q182" s="32">
        <f t="shared" si="7"/>
        <v>383</v>
      </c>
      <c r="R182" s="40" t="str">
        <f>TRIM(IF(SAXS!AE38&lt;&gt;"","QUIEBRE: "&amp;SAXS!AE38&amp;" · ","")&amp;IF(SAXS!AC38&lt;&gt;"","CONCENTRADA: "&amp;SAXS!AC38&amp;" · ","")&amp;IF(SAXS!AD38&lt;&gt;"","SIN STOCK ANTES 06/11 · ","")&amp;IF(SAXS!AB38&lt;&gt;"","SKU DUPLICADO",""))</f>
        <v>QUIEBRE: SÍ — stock 0 y Sep cayó (prom Feb-Ago 529) · SIN STOCK ANTES 06/11 ·</v>
      </c>
    </row>
    <row r="183" ht="15.75" customHeight="1">
      <c r="A183" s="24"/>
      <c r="B183" s="24">
        <v>86.0</v>
      </c>
      <c r="C183" s="24" t="str">
        <f>SAXS!A86</f>
        <v>027923-0055</v>
      </c>
      <c r="D183" s="24" t="str">
        <f>SAXS!C86</f>
        <v>TEXA</v>
      </c>
      <c r="E183" s="24" t="str">
        <f>SAXS!D86</f>
        <v>TOPO</v>
      </c>
      <c r="F183" s="26">
        <f>SAXS!E86</f>
        <v>0</v>
      </c>
      <c r="G183" s="26">
        <f>N(SAXS!F86)+SUM(SAXS!G86:H86)</f>
        <v>0</v>
      </c>
      <c r="H183" s="26">
        <f>SUM(SAXS!I86:M86)+IF(SAXS!$AD$3="SI",SUM(SAXS!N86),0)</f>
        <v>800</v>
      </c>
      <c r="I183" s="26">
        <f>SAXS!P86</f>
        <v>800</v>
      </c>
      <c r="J183" s="26">
        <f>SAXS!X86</f>
        <v>113.875</v>
      </c>
      <c r="K183" s="26">
        <f>SAXS!AF86</f>
        <v>113.875</v>
      </c>
      <c r="L183" s="26">
        <f t="array" ref="L183">IFERROR(AVERAGE(INDEX(Ventas!$C$2:$F$5000,MATCH(C183,Ventas!$A$2:$A$5000,0),0)),"")</f>
        <v>120.625</v>
      </c>
      <c r="M183" s="26">
        <f t="shared" si="4"/>
        <v>456</v>
      </c>
      <c r="N183" s="26">
        <f>SAXS!AG86</f>
        <v>-344</v>
      </c>
      <c r="O183" s="26">
        <f t="shared" si="5"/>
        <v>-317</v>
      </c>
      <c r="P183" s="34">
        <f t="shared" si="6"/>
        <v>7</v>
      </c>
      <c r="Q183" s="32">
        <f t="shared" si="7"/>
        <v>344</v>
      </c>
      <c r="R183" s="40" t="str">
        <f>TRIM(IF(SAXS!AE86&lt;&gt;"","QUIEBRE: "&amp;SAXS!AE86&amp;" · ","")&amp;IF(SAXS!AC86&lt;&gt;"","CONCENTRADA: "&amp;SAXS!AC86&amp;" · ","")&amp;IF(SAXS!AD86&lt;&gt;"","SIN STOCK ANTES 06/11 · ","")&amp;IF(SAXS!AB86&lt;&gt;"","SKU DUPLICADO",""))</f>
        <v>SIN STOCK ANTES 06/11 ·</v>
      </c>
    </row>
    <row r="184" ht="15.75" customHeight="1">
      <c r="A184" s="24"/>
      <c r="B184" s="24">
        <v>135.0</v>
      </c>
      <c r="C184" s="24" t="str">
        <f>SAXS!A135</f>
        <v>007319-0004</v>
      </c>
      <c r="D184" s="24" t="str">
        <f>SAXS!C135</f>
        <v>ARNO</v>
      </c>
      <c r="E184" s="24" t="str">
        <f>SAXS!D135</f>
        <v>BORDO</v>
      </c>
      <c r="F184" s="26">
        <f>SAXS!E135</f>
        <v>0</v>
      </c>
      <c r="G184" s="26">
        <f>N(SAXS!F135)+SUM(SAXS!G135:H135)</f>
        <v>0</v>
      </c>
      <c r="H184" s="26">
        <f>SUM(SAXS!I135:M135)+IF(SAXS!$AD$3="SI",SUM(SAXS!N135),0)</f>
        <v>1500</v>
      </c>
      <c r="I184" s="26">
        <f>SAXS!P135</f>
        <v>1500</v>
      </c>
      <c r="J184" s="26">
        <f>SAXS!X135</f>
        <v>309.75</v>
      </c>
      <c r="K184" s="26">
        <f>SAXS!AF135</f>
        <v>309.75</v>
      </c>
      <c r="L184" s="26">
        <f t="array" ref="L184">IFERROR(AVERAGE(INDEX(Ventas!$C$2:$F$5000,MATCH(C184,Ventas!$A$2:$A$5000,0),0)),"")</f>
        <v>165</v>
      </c>
      <c r="M184" s="26">
        <f t="shared" si="4"/>
        <v>1239</v>
      </c>
      <c r="N184" s="26">
        <f>SAXS!AG135</f>
        <v>-261</v>
      </c>
      <c r="O184" s="26">
        <f t="shared" si="5"/>
        <v>-840</v>
      </c>
      <c r="P184" s="34">
        <f t="shared" si="6"/>
        <v>4.8</v>
      </c>
      <c r="Q184" s="32">
        <f t="shared" si="7"/>
        <v>261</v>
      </c>
      <c r="R184" s="40" t="str">
        <f>TRIM(IF(SAXS!AE135&lt;&gt;"","QUIEBRE: "&amp;SAXS!AE135&amp;" · ","")&amp;IF(SAXS!AC135&lt;&gt;"","CONCENTRADA: "&amp;SAXS!AC135&amp;" · ","")&amp;IF(SAXS!AD135&lt;&gt;"","SIN STOCK ANTES 06/11 · ","")&amp;IF(SAXS!AB135&lt;&gt;"","SKU DUPLICADO",""))</f>
        <v>SIN STOCK ANTES 06/11 ·</v>
      </c>
    </row>
    <row r="185" ht="15.75" customHeight="1">
      <c r="A185" s="24"/>
      <c r="B185" s="24">
        <v>383.0</v>
      </c>
      <c r="C185" s="24" t="str">
        <f>SAXS!A383</f>
        <v>1019923-9999</v>
      </c>
      <c r="D185" s="24" t="str">
        <f>SAXS!C383</f>
        <v>LYCRA DOBLE</v>
      </c>
      <c r="E185" s="24" t="str">
        <f>SAXS!D383</f>
        <v>NEGRO</v>
      </c>
      <c r="F185" s="26">
        <f>SAXS!E383</f>
        <v>0</v>
      </c>
      <c r="G185" s="26">
        <f>N(SAXS!F383)+SUM(SAXS!G383:H383)</f>
        <v>0</v>
      </c>
      <c r="H185" s="26">
        <f>SUM(SAXS!I383:M383)+IF(SAXS!$AD$3="SI",SUM(SAXS!N383),0)</f>
        <v>500</v>
      </c>
      <c r="I185" s="26">
        <f>SAXS!P383</f>
        <v>500</v>
      </c>
      <c r="J185" s="26">
        <f>SAXS!X383</f>
        <v>112.5</v>
      </c>
      <c r="K185" s="26">
        <f>SAXS!AF383</f>
        <v>112.5</v>
      </c>
      <c r="L185" s="26">
        <f t="array" ref="L185">IFERROR(AVERAGE(INDEX(Ventas!$C$2:$F$5000,MATCH(C185,Ventas!$A$2:$A$5000,0),0)),"")</f>
        <v>37.75</v>
      </c>
      <c r="M185" s="26">
        <f t="shared" si="4"/>
        <v>450</v>
      </c>
      <c r="N185" s="26">
        <f>SAXS!AG383</f>
        <v>-50</v>
      </c>
      <c r="O185" s="26">
        <f t="shared" si="5"/>
        <v>-349</v>
      </c>
      <c r="P185" s="34">
        <f t="shared" si="6"/>
        <v>4.4</v>
      </c>
      <c r="Q185" s="32">
        <f t="shared" si="7"/>
        <v>50</v>
      </c>
      <c r="R185" s="40" t="str">
        <f>TRIM(IF(SAXS!AE383&lt;&gt;"","QUIEBRE: "&amp;SAXS!AE383&amp;" · ","")&amp;IF(SAXS!AC383&lt;&gt;"","CONCENTRADA: "&amp;SAXS!AC383&amp;" · ","")&amp;IF(SAXS!AD383&lt;&gt;"","SIN STOCK ANTES 06/11 · ","")&amp;IF(SAXS!AB383&lt;&gt;"","SKU DUPLICADO",""))</f>
        <v>QUIEBRE: SÍ — stock 0 y Sep cayó (prom Feb-Ago 86) · SIN STOCK ANTES 06/11 ·</v>
      </c>
    </row>
    <row r="186" ht="15.75" customHeight="1">
      <c r="A186" s="24"/>
      <c r="B186" s="24">
        <v>411.0</v>
      </c>
      <c r="C186" s="24" t="str">
        <f>SAXS!A411</f>
        <v>537319-2222</v>
      </c>
      <c r="D186" s="24" t="str">
        <f>SAXS!C411</f>
        <v>PELO CORTO</v>
      </c>
      <c r="E186" s="24" t="str">
        <f>SAXS!D411</f>
        <v>LEOPARDO</v>
      </c>
      <c r="F186" s="26">
        <f>SAXS!E411</f>
        <v>0</v>
      </c>
      <c r="G186" s="26">
        <f>N(SAXS!F411)+SUM(SAXS!G411:H411)</f>
        <v>0</v>
      </c>
      <c r="H186" s="26">
        <f>SUM(SAXS!I411:M411)+IF(SAXS!$AD$3="SI",SUM(SAXS!N411),0)</f>
        <v>500</v>
      </c>
      <c r="I186" s="26">
        <f>SAXS!P411</f>
        <v>500</v>
      </c>
      <c r="J186" s="26">
        <f>SAXS!X411</f>
        <v>87.5</v>
      </c>
      <c r="K186" s="26">
        <f>SAXS!AF411</f>
        <v>112.5</v>
      </c>
      <c r="L186" s="26">
        <f t="array" ref="L186">IFERROR(AVERAGE(INDEX(Ventas!$C$2:$F$5000,MATCH(C186,Ventas!$A$2:$A$5000,0),0)),"")</f>
        <v>109.375</v>
      </c>
      <c r="M186" s="26">
        <f t="shared" si="4"/>
        <v>450</v>
      </c>
      <c r="N186" s="26">
        <f>SAXS!AG411</f>
        <v>-50</v>
      </c>
      <c r="O186" s="26">
        <f t="shared" si="5"/>
        <v>-62</v>
      </c>
      <c r="P186" s="34">
        <f t="shared" si="6"/>
        <v>4.4</v>
      </c>
      <c r="Q186" s="32">
        <f t="shared" si="7"/>
        <v>50</v>
      </c>
      <c r="R186" s="40" t="str">
        <f>TRIM(IF(SAXS!AE411&lt;&gt;"","QUIEBRE: "&amp;SAXS!AE411&amp;" · ","")&amp;IF(SAXS!AC411&lt;&gt;"","CONCENTRADA: "&amp;SAXS!AC411&amp;" · ","")&amp;IF(SAXS!AD411&lt;&gt;"","SIN STOCK ANTES 06/11 · ","")&amp;IF(SAXS!AB411&lt;&gt;"","SKU DUPLICADO",""))</f>
        <v>QUIEBRE: SÍ — stock 0 y Sep cayó (prom Feb-Ago 113) · SIN STOCK ANTES 06/11 ·</v>
      </c>
    </row>
    <row r="187" ht="15.75" customHeight="1">
      <c r="D187" s="81" t="s">
        <v>17</v>
      </c>
      <c r="Q187" s="82">
        <f>SUM(Q144:Q186)</f>
        <v>126120.5</v>
      </c>
    </row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R144:R186">
    <cfRule type="expression" dxfId="0" priority="1">
      <formula>LEFT(R144,7)="QUIEBRE"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6.0"/>
    <col customWidth="1" min="2" max="2" width="34.0"/>
    <col customWidth="1" min="3" max="12" width="8.63"/>
  </cols>
  <sheetData>
    <row r="1">
      <c r="A1" s="4" t="s">
        <v>1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10</v>
      </c>
      <c r="G1" s="4" t="s">
        <v>11</v>
      </c>
      <c r="H1" s="4" t="s">
        <v>13</v>
      </c>
      <c r="I1" s="4" t="s">
        <v>14</v>
      </c>
      <c r="J1" s="4" t="s">
        <v>16</v>
      </c>
      <c r="K1" s="4" t="s">
        <v>17</v>
      </c>
      <c r="L1" s="4" t="s">
        <v>18</v>
      </c>
    </row>
    <row r="2">
      <c r="A2" s="10" t="s">
        <v>19</v>
      </c>
      <c r="B2" s="10" t="s">
        <v>20</v>
      </c>
      <c r="C2" s="11">
        <v>175.0</v>
      </c>
      <c r="D2" s="11">
        <v>150.0</v>
      </c>
      <c r="E2" s="11">
        <v>175.0</v>
      </c>
      <c r="F2" s="11">
        <v>75.0</v>
      </c>
      <c r="G2" s="11">
        <v>0.0</v>
      </c>
      <c r="H2" s="11">
        <v>0.0</v>
      </c>
      <c r="I2" s="11">
        <v>0.0</v>
      </c>
      <c r="J2" s="11">
        <v>25.0</v>
      </c>
      <c r="K2" s="11">
        <f t="shared" ref="K2:K1749" si="1">SUM(C2:J2)</f>
        <v>600</v>
      </c>
      <c r="L2" s="11">
        <f t="shared" ref="L2:L1749" si="2">AVERAGE(G2:J2)</f>
        <v>6.25</v>
      </c>
    </row>
    <row r="3">
      <c r="A3" s="10" t="s">
        <v>23</v>
      </c>
      <c r="B3" s="10" t="s">
        <v>24</v>
      </c>
      <c r="C3" s="11">
        <v>25.0</v>
      </c>
      <c r="D3" s="11">
        <v>50.0</v>
      </c>
      <c r="E3" s="11">
        <v>25.0</v>
      </c>
      <c r="F3" s="11">
        <v>50.0</v>
      </c>
      <c r="G3" s="11">
        <v>25.0</v>
      </c>
      <c r="H3" s="11">
        <v>0.0</v>
      </c>
      <c r="I3" s="11">
        <v>0.0</v>
      </c>
      <c r="J3" s="11">
        <v>0.0</v>
      </c>
      <c r="K3" s="11">
        <f t="shared" si="1"/>
        <v>175</v>
      </c>
      <c r="L3" s="11">
        <f t="shared" si="2"/>
        <v>6.25</v>
      </c>
    </row>
    <row r="4">
      <c r="A4" s="10" t="s">
        <v>25</v>
      </c>
      <c r="B4" s="10" t="s">
        <v>26</v>
      </c>
      <c r="C4" s="11">
        <v>225.0</v>
      </c>
      <c r="D4" s="11">
        <v>225.0</v>
      </c>
      <c r="E4" s="11">
        <v>125.0</v>
      </c>
      <c r="F4" s="11">
        <v>75.0</v>
      </c>
      <c r="G4" s="11">
        <v>75.0</v>
      </c>
      <c r="H4" s="11">
        <v>100.0</v>
      </c>
      <c r="I4" s="11">
        <v>100.0</v>
      </c>
      <c r="J4" s="11">
        <v>25.0</v>
      </c>
      <c r="K4" s="11">
        <f t="shared" si="1"/>
        <v>950</v>
      </c>
      <c r="L4" s="11">
        <f t="shared" si="2"/>
        <v>75</v>
      </c>
    </row>
    <row r="5">
      <c r="A5" s="10" t="s">
        <v>27</v>
      </c>
      <c r="B5" s="10" t="s">
        <v>28</v>
      </c>
      <c r="C5" s="11">
        <v>50.0</v>
      </c>
      <c r="D5" s="11">
        <v>25.0</v>
      </c>
      <c r="E5" s="11">
        <v>50.0</v>
      </c>
      <c r="F5" s="11">
        <v>50.0</v>
      </c>
      <c r="G5" s="11">
        <v>25.0</v>
      </c>
      <c r="H5" s="11">
        <v>0.0</v>
      </c>
      <c r="I5" s="11">
        <v>0.0</v>
      </c>
      <c r="J5" s="11">
        <v>25.0</v>
      </c>
      <c r="K5" s="11">
        <f t="shared" si="1"/>
        <v>225</v>
      </c>
      <c r="L5" s="11">
        <f t="shared" si="2"/>
        <v>12.5</v>
      </c>
    </row>
    <row r="6">
      <c r="A6" s="10" t="s">
        <v>31</v>
      </c>
      <c r="B6" s="10" t="s">
        <v>32</v>
      </c>
      <c r="C6" s="11">
        <v>100.0</v>
      </c>
      <c r="D6" s="11">
        <v>100.0</v>
      </c>
      <c r="E6" s="11">
        <v>75.0</v>
      </c>
      <c r="F6" s="11">
        <v>100.0</v>
      </c>
      <c r="G6" s="11">
        <v>75.0</v>
      </c>
      <c r="H6" s="11">
        <v>50.0</v>
      </c>
      <c r="I6" s="11">
        <v>50.0</v>
      </c>
      <c r="J6" s="11">
        <v>100.0</v>
      </c>
      <c r="K6" s="11">
        <f t="shared" si="1"/>
        <v>650</v>
      </c>
      <c r="L6" s="11">
        <f t="shared" si="2"/>
        <v>68.75</v>
      </c>
    </row>
    <row r="7">
      <c r="A7" s="10" t="s">
        <v>33</v>
      </c>
      <c r="B7" s="10" t="s">
        <v>34</v>
      </c>
      <c r="C7" s="11">
        <v>50.0</v>
      </c>
      <c r="D7" s="11">
        <v>0.0</v>
      </c>
      <c r="E7" s="11">
        <v>0.0</v>
      </c>
      <c r="F7" s="11">
        <v>0.0</v>
      </c>
      <c r="G7" s="11">
        <v>0.0</v>
      </c>
      <c r="H7" s="11">
        <v>0.0</v>
      </c>
      <c r="I7" s="11">
        <v>0.0</v>
      </c>
      <c r="J7" s="11">
        <v>0.0</v>
      </c>
      <c r="K7" s="11">
        <f t="shared" si="1"/>
        <v>50</v>
      </c>
      <c r="L7" s="11">
        <f t="shared" si="2"/>
        <v>0</v>
      </c>
    </row>
    <row r="8">
      <c r="A8" s="10" t="s">
        <v>36</v>
      </c>
      <c r="B8" s="10" t="s">
        <v>37</v>
      </c>
      <c r="C8" s="11">
        <v>350.0</v>
      </c>
      <c r="D8" s="11">
        <v>500.0</v>
      </c>
      <c r="E8" s="11">
        <v>225.0</v>
      </c>
      <c r="F8" s="11">
        <v>275.0</v>
      </c>
      <c r="G8" s="11">
        <v>100.0</v>
      </c>
      <c r="H8" s="11">
        <v>200.0</v>
      </c>
      <c r="I8" s="11">
        <v>150.0</v>
      </c>
      <c r="J8" s="11">
        <v>200.0</v>
      </c>
      <c r="K8" s="11">
        <f t="shared" si="1"/>
        <v>2000</v>
      </c>
      <c r="L8" s="11">
        <f t="shared" si="2"/>
        <v>162.5</v>
      </c>
    </row>
    <row r="9">
      <c r="A9" s="10" t="s">
        <v>39</v>
      </c>
      <c r="B9" s="10" t="s">
        <v>40</v>
      </c>
      <c r="C9" s="11">
        <v>50.0</v>
      </c>
      <c r="D9" s="11">
        <v>0.0</v>
      </c>
      <c r="E9" s="11">
        <v>25.0</v>
      </c>
      <c r="F9" s="11">
        <v>50.0</v>
      </c>
      <c r="G9" s="11">
        <v>100.0</v>
      </c>
      <c r="H9" s="11">
        <v>25.0</v>
      </c>
      <c r="I9" s="11">
        <v>25.0</v>
      </c>
      <c r="J9" s="11">
        <v>0.0</v>
      </c>
      <c r="K9" s="11">
        <f t="shared" si="1"/>
        <v>275</v>
      </c>
      <c r="L9" s="11">
        <f t="shared" si="2"/>
        <v>37.5</v>
      </c>
    </row>
    <row r="10">
      <c r="A10" s="10" t="s">
        <v>42</v>
      </c>
      <c r="B10" s="10" t="s">
        <v>44</v>
      </c>
      <c r="C10" s="11">
        <v>0.0</v>
      </c>
      <c r="D10" s="11">
        <v>0.0</v>
      </c>
      <c r="E10" s="11">
        <v>0.0</v>
      </c>
      <c r="F10" s="11">
        <v>0.0</v>
      </c>
      <c r="G10" s="11">
        <v>0.0</v>
      </c>
      <c r="H10" s="11">
        <v>0.0</v>
      </c>
      <c r="I10" s="11">
        <v>0.0</v>
      </c>
      <c r="J10" s="11">
        <v>0.0</v>
      </c>
      <c r="K10" s="11">
        <f t="shared" si="1"/>
        <v>0</v>
      </c>
      <c r="L10" s="11">
        <f t="shared" si="2"/>
        <v>0</v>
      </c>
    </row>
    <row r="11">
      <c r="A11" s="10" t="s">
        <v>46</v>
      </c>
      <c r="B11" s="10" t="s">
        <v>47</v>
      </c>
      <c r="C11" s="11">
        <v>0.0</v>
      </c>
      <c r="D11" s="11">
        <v>0.0</v>
      </c>
      <c r="E11" s="11">
        <v>0.0</v>
      </c>
      <c r="F11" s="11">
        <v>0.0</v>
      </c>
      <c r="G11" s="11">
        <v>0.0</v>
      </c>
      <c r="H11" s="11">
        <v>0.0</v>
      </c>
      <c r="I11" s="11">
        <v>0.0</v>
      </c>
      <c r="J11" s="11">
        <v>0.0</v>
      </c>
      <c r="K11" s="11">
        <f t="shared" si="1"/>
        <v>0</v>
      </c>
      <c r="L11" s="11">
        <f t="shared" si="2"/>
        <v>0</v>
      </c>
    </row>
    <row r="12">
      <c r="A12" s="10" t="s">
        <v>49</v>
      </c>
      <c r="B12" s="10" t="s">
        <v>50</v>
      </c>
      <c r="C12" s="11">
        <v>0.0</v>
      </c>
      <c r="D12" s="11">
        <v>0.0</v>
      </c>
      <c r="E12" s="11">
        <v>0.0</v>
      </c>
      <c r="F12" s="11">
        <v>0.0</v>
      </c>
      <c r="G12" s="11">
        <v>0.0</v>
      </c>
      <c r="H12" s="11">
        <v>0.0</v>
      </c>
      <c r="I12" s="11">
        <v>0.0</v>
      </c>
      <c r="J12" s="11">
        <v>0.0</v>
      </c>
      <c r="K12" s="11">
        <f t="shared" si="1"/>
        <v>0</v>
      </c>
      <c r="L12" s="11">
        <f t="shared" si="2"/>
        <v>0</v>
      </c>
    </row>
    <row r="13">
      <c r="A13" s="10" t="s">
        <v>53</v>
      </c>
      <c r="B13" s="10" t="s">
        <v>54</v>
      </c>
      <c r="C13" s="11">
        <v>0.0</v>
      </c>
      <c r="D13" s="11">
        <v>0.0</v>
      </c>
      <c r="E13" s="11">
        <v>0.0</v>
      </c>
      <c r="F13" s="11">
        <v>0.0</v>
      </c>
      <c r="G13" s="11">
        <v>0.0</v>
      </c>
      <c r="H13" s="11">
        <v>0.0</v>
      </c>
      <c r="I13" s="11">
        <v>0.0</v>
      </c>
      <c r="J13" s="11">
        <v>0.0</v>
      </c>
      <c r="K13" s="11">
        <f t="shared" si="1"/>
        <v>0</v>
      </c>
      <c r="L13" s="11">
        <f t="shared" si="2"/>
        <v>0</v>
      </c>
    </row>
    <row r="14">
      <c r="A14" s="10" t="s">
        <v>62</v>
      </c>
      <c r="B14" s="10" t="s">
        <v>64</v>
      </c>
      <c r="C14" s="11">
        <v>0.0</v>
      </c>
      <c r="D14" s="11">
        <v>0.0</v>
      </c>
      <c r="E14" s="11">
        <v>0.0</v>
      </c>
      <c r="F14" s="11">
        <v>0.0</v>
      </c>
      <c r="G14" s="11">
        <v>0.0</v>
      </c>
      <c r="H14" s="11">
        <v>0.0</v>
      </c>
      <c r="I14" s="11">
        <v>0.0</v>
      </c>
      <c r="J14" s="11">
        <v>0.0</v>
      </c>
      <c r="K14" s="11">
        <f t="shared" si="1"/>
        <v>0</v>
      </c>
      <c r="L14" s="11">
        <f t="shared" si="2"/>
        <v>0</v>
      </c>
    </row>
    <row r="15">
      <c r="A15" s="10" t="s">
        <v>70</v>
      </c>
      <c r="B15" s="10" t="s">
        <v>72</v>
      </c>
      <c r="C15" s="11">
        <v>0.0</v>
      </c>
      <c r="D15" s="11">
        <v>0.0</v>
      </c>
      <c r="E15" s="11">
        <v>0.0</v>
      </c>
      <c r="F15" s="11">
        <v>0.0</v>
      </c>
      <c r="G15" s="11">
        <v>0.0</v>
      </c>
      <c r="H15" s="11">
        <v>0.0</v>
      </c>
      <c r="I15" s="11">
        <v>0.0</v>
      </c>
      <c r="J15" s="11">
        <v>0.0</v>
      </c>
      <c r="K15" s="11">
        <f t="shared" si="1"/>
        <v>0</v>
      </c>
      <c r="L15" s="11">
        <f t="shared" si="2"/>
        <v>0</v>
      </c>
    </row>
    <row r="16">
      <c r="A16" s="10" t="s">
        <v>75</v>
      </c>
      <c r="B16" s="10" t="s">
        <v>76</v>
      </c>
      <c r="C16" s="11">
        <v>0.0</v>
      </c>
      <c r="D16" s="11">
        <v>0.0</v>
      </c>
      <c r="E16" s="11">
        <v>0.0</v>
      </c>
      <c r="F16" s="11">
        <v>0.0</v>
      </c>
      <c r="G16" s="11">
        <v>0.0</v>
      </c>
      <c r="H16" s="11">
        <v>0.0</v>
      </c>
      <c r="I16" s="11">
        <v>0.0</v>
      </c>
      <c r="J16" s="11">
        <v>0.0</v>
      </c>
      <c r="K16" s="11">
        <f t="shared" si="1"/>
        <v>0</v>
      </c>
      <c r="L16" s="11">
        <f t="shared" si="2"/>
        <v>0</v>
      </c>
    </row>
    <row r="17">
      <c r="A17" s="10" t="s">
        <v>78</v>
      </c>
      <c r="B17" s="10" t="s">
        <v>79</v>
      </c>
      <c r="C17" s="11">
        <v>0.0</v>
      </c>
      <c r="D17" s="11">
        <v>0.0</v>
      </c>
      <c r="E17" s="11">
        <v>0.0</v>
      </c>
      <c r="F17" s="11">
        <v>0.0</v>
      </c>
      <c r="G17" s="11">
        <v>0.0</v>
      </c>
      <c r="H17" s="11">
        <v>0.0</v>
      </c>
      <c r="I17" s="11">
        <v>0.0</v>
      </c>
      <c r="J17" s="11">
        <v>0.0</v>
      </c>
      <c r="K17" s="11">
        <f t="shared" si="1"/>
        <v>0</v>
      </c>
      <c r="L17" s="11">
        <f t="shared" si="2"/>
        <v>0</v>
      </c>
    </row>
    <row r="18">
      <c r="A18" s="10" t="s">
        <v>81</v>
      </c>
      <c r="B18" s="10" t="s">
        <v>82</v>
      </c>
      <c r="C18" s="11">
        <v>0.0</v>
      </c>
      <c r="D18" s="11">
        <v>0.0</v>
      </c>
      <c r="E18" s="11">
        <v>0.0</v>
      </c>
      <c r="F18" s="11">
        <v>0.0</v>
      </c>
      <c r="G18" s="11">
        <v>0.0</v>
      </c>
      <c r="H18" s="11">
        <v>0.0</v>
      </c>
      <c r="I18" s="11">
        <v>0.0</v>
      </c>
      <c r="J18" s="11">
        <v>0.0</v>
      </c>
      <c r="K18" s="11">
        <f t="shared" si="1"/>
        <v>0</v>
      </c>
      <c r="L18" s="11">
        <f t="shared" si="2"/>
        <v>0</v>
      </c>
    </row>
    <row r="19">
      <c r="A19" s="10" t="s">
        <v>84</v>
      </c>
      <c r="B19" s="10" t="s">
        <v>85</v>
      </c>
      <c r="C19" s="11">
        <v>0.0</v>
      </c>
      <c r="D19" s="11">
        <v>0.0</v>
      </c>
      <c r="E19" s="11">
        <v>0.0</v>
      </c>
      <c r="F19" s="11">
        <v>0.0</v>
      </c>
      <c r="G19" s="11">
        <v>0.0</v>
      </c>
      <c r="H19" s="11">
        <v>0.0</v>
      </c>
      <c r="I19" s="11">
        <v>0.0</v>
      </c>
      <c r="J19" s="11">
        <v>0.0</v>
      </c>
      <c r="K19" s="11">
        <f t="shared" si="1"/>
        <v>0</v>
      </c>
      <c r="L19" s="11">
        <f t="shared" si="2"/>
        <v>0</v>
      </c>
    </row>
    <row r="20">
      <c r="A20" s="10" t="s">
        <v>86</v>
      </c>
      <c r="B20" s="10" t="s">
        <v>87</v>
      </c>
      <c r="C20" s="11">
        <v>0.0</v>
      </c>
      <c r="D20" s="11">
        <v>0.0</v>
      </c>
      <c r="E20" s="11">
        <v>0.0</v>
      </c>
      <c r="F20" s="11">
        <v>0.0</v>
      </c>
      <c r="G20" s="11">
        <v>0.0</v>
      </c>
      <c r="H20" s="11">
        <v>0.0</v>
      </c>
      <c r="I20" s="11">
        <v>0.0</v>
      </c>
      <c r="J20" s="11">
        <v>0.0</v>
      </c>
      <c r="K20" s="11">
        <f t="shared" si="1"/>
        <v>0</v>
      </c>
      <c r="L20" s="11">
        <f t="shared" si="2"/>
        <v>0</v>
      </c>
    </row>
    <row r="21" ht="15.75" customHeight="1">
      <c r="A21" s="10" t="s">
        <v>88</v>
      </c>
      <c r="B21" s="10" t="s">
        <v>89</v>
      </c>
      <c r="C21" s="11">
        <v>0.0</v>
      </c>
      <c r="D21" s="11">
        <v>0.0</v>
      </c>
      <c r="E21" s="11">
        <v>0.0</v>
      </c>
      <c r="F21" s="11">
        <v>0.0</v>
      </c>
      <c r="G21" s="11">
        <v>0.0</v>
      </c>
      <c r="H21" s="11">
        <v>0.0</v>
      </c>
      <c r="I21" s="11">
        <v>0.0</v>
      </c>
      <c r="J21" s="11">
        <v>0.0</v>
      </c>
      <c r="K21" s="11">
        <f t="shared" si="1"/>
        <v>0</v>
      </c>
      <c r="L21" s="11">
        <f t="shared" si="2"/>
        <v>0</v>
      </c>
    </row>
    <row r="22" ht="15.75" customHeight="1">
      <c r="A22" s="10" t="s">
        <v>92</v>
      </c>
      <c r="B22" s="10" t="s">
        <v>93</v>
      </c>
      <c r="C22" s="11">
        <v>0.0</v>
      </c>
      <c r="D22" s="11">
        <v>0.0</v>
      </c>
      <c r="E22" s="11">
        <v>0.0</v>
      </c>
      <c r="F22" s="11">
        <v>0.0</v>
      </c>
      <c r="G22" s="11">
        <v>0.0</v>
      </c>
      <c r="H22" s="11">
        <v>0.0</v>
      </c>
      <c r="I22" s="11">
        <v>0.0</v>
      </c>
      <c r="J22" s="11">
        <v>0.0</v>
      </c>
      <c r="K22" s="11">
        <f t="shared" si="1"/>
        <v>0</v>
      </c>
      <c r="L22" s="11">
        <f t="shared" si="2"/>
        <v>0</v>
      </c>
    </row>
    <row r="23" ht="15.75" customHeight="1">
      <c r="A23" s="10" t="s">
        <v>94</v>
      </c>
      <c r="B23" s="10" t="s">
        <v>95</v>
      </c>
      <c r="C23" s="11">
        <v>0.0</v>
      </c>
      <c r="D23" s="11">
        <v>0.0</v>
      </c>
      <c r="E23" s="11">
        <v>0.0</v>
      </c>
      <c r="F23" s="11">
        <v>0.0</v>
      </c>
      <c r="G23" s="11">
        <v>0.0</v>
      </c>
      <c r="H23" s="11">
        <v>0.0</v>
      </c>
      <c r="I23" s="11">
        <v>0.0</v>
      </c>
      <c r="J23" s="11">
        <v>0.0</v>
      </c>
      <c r="K23" s="11">
        <f t="shared" si="1"/>
        <v>0</v>
      </c>
      <c r="L23" s="11">
        <f t="shared" si="2"/>
        <v>0</v>
      </c>
    </row>
    <row r="24" ht="15.75" customHeight="1">
      <c r="A24" s="10" t="s">
        <v>97</v>
      </c>
      <c r="B24" s="10" t="s">
        <v>98</v>
      </c>
      <c r="C24" s="11">
        <v>0.0</v>
      </c>
      <c r="D24" s="11">
        <v>0.0</v>
      </c>
      <c r="E24" s="11">
        <v>0.0</v>
      </c>
      <c r="F24" s="11">
        <v>0.0</v>
      </c>
      <c r="G24" s="11">
        <v>0.0</v>
      </c>
      <c r="H24" s="11">
        <v>0.0</v>
      </c>
      <c r="I24" s="11">
        <v>0.0</v>
      </c>
      <c r="J24" s="11">
        <v>0.0</v>
      </c>
      <c r="K24" s="11">
        <f t="shared" si="1"/>
        <v>0</v>
      </c>
      <c r="L24" s="11">
        <f t="shared" si="2"/>
        <v>0</v>
      </c>
    </row>
    <row r="25" ht="15.75" customHeight="1">
      <c r="A25" s="10" t="s">
        <v>99</v>
      </c>
      <c r="B25" s="10" t="s">
        <v>100</v>
      </c>
      <c r="C25" s="11">
        <v>0.0</v>
      </c>
      <c r="D25" s="11">
        <v>0.0</v>
      </c>
      <c r="E25" s="11">
        <v>0.0</v>
      </c>
      <c r="F25" s="11">
        <v>0.0</v>
      </c>
      <c r="G25" s="11">
        <v>0.0</v>
      </c>
      <c r="H25" s="11">
        <v>0.0</v>
      </c>
      <c r="I25" s="11">
        <v>0.0</v>
      </c>
      <c r="J25" s="11">
        <v>0.0</v>
      </c>
      <c r="K25" s="11">
        <f t="shared" si="1"/>
        <v>0</v>
      </c>
      <c r="L25" s="11">
        <f t="shared" si="2"/>
        <v>0</v>
      </c>
    </row>
    <row r="26" ht="15.75" customHeight="1">
      <c r="A26" s="10" t="s">
        <v>101</v>
      </c>
      <c r="B26" s="10" t="s">
        <v>102</v>
      </c>
      <c r="C26" s="11">
        <v>0.0</v>
      </c>
      <c r="D26" s="11">
        <v>0.0</v>
      </c>
      <c r="E26" s="11">
        <v>0.0</v>
      </c>
      <c r="F26" s="11">
        <v>0.0</v>
      </c>
      <c r="G26" s="11">
        <v>0.0</v>
      </c>
      <c r="H26" s="11">
        <v>0.0</v>
      </c>
      <c r="I26" s="11">
        <v>0.0</v>
      </c>
      <c r="J26" s="11">
        <v>0.0</v>
      </c>
      <c r="K26" s="11">
        <f t="shared" si="1"/>
        <v>0</v>
      </c>
      <c r="L26" s="11">
        <f t="shared" si="2"/>
        <v>0</v>
      </c>
    </row>
    <row r="27" ht="15.75" customHeight="1">
      <c r="A27" s="10" t="s">
        <v>103</v>
      </c>
      <c r="B27" s="10" t="s">
        <v>104</v>
      </c>
      <c r="C27" s="11">
        <v>80.0</v>
      </c>
      <c r="D27" s="11">
        <v>0.0</v>
      </c>
      <c r="E27" s="11">
        <v>120.0</v>
      </c>
      <c r="F27" s="11">
        <v>277.0</v>
      </c>
      <c r="G27" s="11">
        <v>120.0</v>
      </c>
      <c r="H27" s="11">
        <v>160.0</v>
      </c>
      <c r="I27" s="11">
        <v>320.0</v>
      </c>
      <c r="J27" s="11">
        <v>320.0</v>
      </c>
      <c r="K27" s="11">
        <f t="shared" si="1"/>
        <v>1397</v>
      </c>
      <c r="L27" s="11">
        <f t="shared" si="2"/>
        <v>230</v>
      </c>
    </row>
    <row r="28" ht="15.75" customHeight="1">
      <c r="A28" s="10" t="s">
        <v>106</v>
      </c>
      <c r="B28" s="10" t="s">
        <v>107</v>
      </c>
      <c r="C28" s="11">
        <v>0.0</v>
      </c>
      <c r="D28" s="11">
        <v>285.0</v>
      </c>
      <c r="E28" s="11">
        <v>80.0</v>
      </c>
      <c r="F28" s="11">
        <v>80.0</v>
      </c>
      <c r="G28" s="11">
        <v>40.0</v>
      </c>
      <c r="H28" s="11">
        <v>40.0</v>
      </c>
      <c r="I28" s="11">
        <v>40.0</v>
      </c>
      <c r="J28" s="11">
        <v>0.0</v>
      </c>
      <c r="K28" s="11">
        <f t="shared" si="1"/>
        <v>565</v>
      </c>
      <c r="L28" s="11">
        <f t="shared" si="2"/>
        <v>30</v>
      </c>
    </row>
    <row r="29" ht="15.75" customHeight="1">
      <c r="A29" s="10" t="s">
        <v>108</v>
      </c>
      <c r="B29" s="10" t="s">
        <v>109</v>
      </c>
      <c r="C29" s="11">
        <v>0.0</v>
      </c>
      <c r="D29" s="11">
        <v>0.0</v>
      </c>
      <c r="E29" s="11">
        <v>0.0</v>
      </c>
      <c r="F29" s="11">
        <v>0.0</v>
      </c>
      <c r="G29" s="11">
        <v>0.0</v>
      </c>
      <c r="H29" s="11">
        <v>0.0</v>
      </c>
      <c r="I29" s="11">
        <v>0.0</v>
      </c>
      <c r="J29" s="11">
        <v>0.0</v>
      </c>
      <c r="K29" s="11">
        <f t="shared" si="1"/>
        <v>0</v>
      </c>
      <c r="L29" s="11">
        <f t="shared" si="2"/>
        <v>0</v>
      </c>
    </row>
    <row r="30" ht="15.75" customHeight="1">
      <c r="A30" s="10" t="s">
        <v>110</v>
      </c>
      <c r="B30" s="10" t="s">
        <v>111</v>
      </c>
      <c r="C30" s="11">
        <v>900.0</v>
      </c>
      <c r="D30" s="11">
        <v>0.0</v>
      </c>
      <c r="E30" s="11">
        <v>100.0</v>
      </c>
      <c r="F30" s="11">
        <v>792.0</v>
      </c>
      <c r="G30" s="11">
        <v>0.0</v>
      </c>
      <c r="H30" s="11">
        <v>0.0</v>
      </c>
      <c r="I30" s="11">
        <v>0.0</v>
      </c>
      <c r="J30" s="11">
        <v>0.0</v>
      </c>
      <c r="K30" s="11">
        <f t="shared" si="1"/>
        <v>1792</v>
      </c>
      <c r="L30" s="11">
        <f t="shared" si="2"/>
        <v>0</v>
      </c>
    </row>
    <row r="31" ht="15.75" customHeight="1">
      <c r="A31" s="10" t="s">
        <v>112</v>
      </c>
      <c r="B31" s="10" t="s">
        <v>113</v>
      </c>
      <c r="C31" s="11">
        <v>8000.0</v>
      </c>
      <c r="D31" s="11">
        <v>1000.0</v>
      </c>
      <c r="E31" s="11">
        <v>1000.0</v>
      </c>
      <c r="F31" s="11">
        <v>0.0</v>
      </c>
      <c r="G31" s="11">
        <v>0.0</v>
      </c>
      <c r="H31" s="11">
        <v>0.0</v>
      </c>
      <c r="I31" s="11">
        <v>0.0</v>
      </c>
      <c r="J31" s="11">
        <v>1000.0</v>
      </c>
      <c r="K31" s="11">
        <f t="shared" si="1"/>
        <v>11000</v>
      </c>
      <c r="L31" s="11">
        <f t="shared" si="2"/>
        <v>250</v>
      </c>
    </row>
    <row r="32" ht="15.75" customHeight="1">
      <c r="A32" s="10" t="s">
        <v>114</v>
      </c>
      <c r="B32" s="10" t="s">
        <v>115</v>
      </c>
      <c r="C32" s="11">
        <v>179.0</v>
      </c>
      <c r="D32" s="11">
        <v>7179.0</v>
      </c>
      <c r="E32" s="11">
        <v>0.0</v>
      </c>
      <c r="F32" s="11">
        <v>0.0</v>
      </c>
      <c r="G32" s="11">
        <v>0.0</v>
      </c>
      <c r="H32" s="11">
        <v>0.0</v>
      </c>
      <c r="I32" s="11">
        <v>0.0</v>
      </c>
      <c r="J32" s="11">
        <v>0.0</v>
      </c>
      <c r="K32" s="11">
        <f t="shared" si="1"/>
        <v>7358</v>
      </c>
      <c r="L32" s="11">
        <f t="shared" si="2"/>
        <v>0</v>
      </c>
    </row>
    <row r="33" ht="15.75" customHeight="1">
      <c r="A33" s="10" t="s">
        <v>116</v>
      </c>
      <c r="B33" s="10" t="s">
        <v>117</v>
      </c>
      <c r="C33" s="11">
        <v>800.0</v>
      </c>
      <c r="D33" s="11">
        <v>800.0</v>
      </c>
      <c r="E33" s="11">
        <v>627.0</v>
      </c>
      <c r="F33" s="11">
        <v>0.0</v>
      </c>
      <c r="G33" s="11">
        <v>0.0</v>
      </c>
      <c r="H33" s="11">
        <v>0.0</v>
      </c>
      <c r="I33" s="11">
        <v>800.0</v>
      </c>
      <c r="J33" s="11">
        <v>0.0</v>
      </c>
      <c r="K33" s="11">
        <f t="shared" si="1"/>
        <v>3027</v>
      </c>
      <c r="L33" s="11">
        <f t="shared" si="2"/>
        <v>200</v>
      </c>
    </row>
    <row r="34" ht="15.75" customHeight="1">
      <c r="A34" s="10" t="s">
        <v>118</v>
      </c>
      <c r="B34" s="10" t="s">
        <v>119</v>
      </c>
      <c r="C34" s="11">
        <v>2758.0</v>
      </c>
      <c r="D34" s="11">
        <v>2008.0</v>
      </c>
      <c r="E34" s="11">
        <v>2250.0</v>
      </c>
      <c r="F34" s="11">
        <v>1258.0</v>
      </c>
      <c r="G34" s="11">
        <v>2008.0</v>
      </c>
      <c r="H34" s="11">
        <v>0.0</v>
      </c>
      <c r="I34" s="11">
        <v>0.0</v>
      </c>
      <c r="J34" s="11">
        <v>0.0</v>
      </c>
      <c r="K34" s="11">
        <f t="shared" si="1"/>
        <v>10282</v>
      </c>
      <c r="L34" s="11">
        <f t="shared" si="2"/>
        <v>502</v>
      </c>
    </row>
    <row r="35" ht="15.75" customHeight="1">
      <c r="A35" s="10" t="s">
        <v>120</v>
      </c>
      <c r="B35" s="10" t="s">
        <v>121</v>
      </c>
      <c r="C35" s="11">
        <v>3987.0</v>
      </c>
      <c r="D35" s="11">
        <v>2974.0</v>
      </c>
      <c r="E35" s="11">
        <v>987.0</v>
      </c>
      <c r="F35" s="11">
        <v>1974.0</v>
      </c>
      <c r="G35" s="11">
        <v>0.0</v>
      </c>
      <c r="H35" s="11">
        <v>0.0</v>
      </c>
      <c r="I35" s="11">
        <v>0.0</v>
      </c>
      <c r="J35" s="11">
        <v>987.0</v>
      </c>
      <c r="K35" s="11">
        <f t="shared" si="1"/>
        <v>10909</v>
      </c>
      <c r="L35" s="11">
        <f t="shared" si="2"/>
        <v>246.75</v>
      </c>
    </row>
    <row r="36" ht="15.75" customHeight="1">
      <c r="A36" s="10" t="s">
        <v>122</v>
      </c>
      <c r="B36" s="10" t="s">
        <v>123</v>
      </c>
      <c r="C36" s="11">
        <v>2000.0</v>
      </c>
      <c r="D36" s="11">
        <v>0.0</v>
      </c>
      <c r="E36" s="11">
        <v>0.0</v>
      </c>
      <c r="F36" s="11">
        <v>0.0</v>
      </c>
      <c r="G36" s="11">
        <v>0.0</v>
      </c>
      <c r="H36" s="11">
        <v>0.0</v>
      </c>
      <c r="I36" s="11">
        <v>0.0</v>
      </c>
      <c r="J36" s="11">
        <v>0.0</v>
      </c>
      <c r="K36" s="11">
        <f t="shared" si="1"/>
        <v>2000</v>
      </c>
      <c r="L36" s="11">
        <f t="shared" si="2"/>
        <v>0</v>
      </c>
    </row>
    <row r="37" ht="15.75" customHeight="1">
      <c r="A37" s="10" t="s">
        <v>124</v>
      </c>
      <c r="B37" s="10" t="s">
        <v>125</v>
      </c>
      <c r="C37" s="11">
        <v>0.0</v>
      </c>
      <c r="D37" s="11">
        <v>0.0</v>
      </c>
      <c r="E37" s="11">
        <v>0.0</v>
      </c>
      <c r="F37" s="11">
        <v>0.0</v>
      </c>
      <c r="G37" s="11">
        <v>0.0</v>
      </c>
      <c r="H37" s="11">
        <v>0.0</v>
      </c>
      <c r="I37" s="11">
        <v>0.0</v>
      </c>
      <c r="J37" s="11">
        <v>20.0</v>
      </c>
      <c r="K37" s="11">
        <f t="shared" si="1"/>
        <v>20</v>
      </c>
      <c r="L37" s="11">
        <f t="shared" si="2"/>
        <v>5</v>
      </c>
    </row>
    <row r="38" ht="15.75" customHeight="1">
      <c r="A38" s="10" t="s">
        <v>126</v>
      </c>
      <c r="B38" s="10" t="s">
        <v>127</v>
      </c>
      <c r="C38" s="11">
        <v>0.0</v>
      </c>
      <c r="D38" s="11">
        <v>0.0</v>
      </c>
      <c r="E38" s="11">
        <v>0.0</v>
      </c>
      <c r="F38" s="11">
        <v>0.0</v>
      </c>
      <c r="G38" s="11">
        <v>0.0</v>
      </c>
      <c r="H38" s="11">
        <v>0.0</v>
      </c>
      <c r="I38" s="11">
        <v>0.0</v>
      </c>
      <c r="J38" s="11">
        <v>0.0</v>
      </c>
      <c r="K38" s="11">
        <f t="shared" si="1"/>
        <v>0</v>
      </c>
      <c r="L38" s="11">
        <f t="shared" si="2"/>
        <v>0</v>
      </c>
    </row>
    <row r="39" ht="15.75" customHeight="1">
      <c r="A39" s="10" t="s">
        <v>128</v>
      </c>
      <c r="B39" s="10" t="s">
        <v>129</v>
      </c>
      <c r="C39" s="11">
        <v>0.0</v>
      </c>
      <c r="D39" s="11">
        <v>0.0</v>
      </c>
      <c r="E39" s="11">
        <v>0.0</v>
      </c>
      <c r="F39" s="11">
        <v>0.0</v>
      </c>
      <c r="G39" s="11">
        <v>0.0</v>
      </c>
      <c r="H39" s="11">
        <v>0.0</v>
      </c>
      <c r="I39" s="11">
        <v>0.0</v>
      </c>
      <c r="J39" s="11">
        <v>40.0</v>
      </c>
      <c r="K39" s="11">
        <f t="shared" si="1"/>
        <v>40</v>
      </c>
      <c r="L39" s="11">
        <f t="shared" si="2"/>
        <v>10</v>
      </c>
    </row>
    <row r="40" ht="15.75" customHeight="1">
      <c r="A40" s="10" t="s">
        <v>130</v>
      </c>
      <c r="B40" s="10" t="s">
        <v>131</v>
      </c>
      <c r="C40" s="11">
        <v>0.0</v>
      </c>
      <c r="D40" s="11">
        <v>0.0</v>
      </c>
      <c r="E40" s="11">
        <v>0.0</v>
      </c>
      <c r="F40" s="11">
        <v>0.0</v>
      </c>
      <c r="G40" s="11">
        <v>0.0</v>
      </c>
      <c r="H40" s="11">
        <v>0.0</v>
      </c>
      <c r="I40" s="11">
        <v>0.0</v>
      </c>
      <c r="J40" s="11">
        <v>60.0</v>
      </c>
      <c r="K40" s="11">
        <f t="shared" si="1"/>
        <v>60</v>
      </c>
      <c r="L40" s="11">
        <f t="shared" si="2"/>
        <v>15</v>
      </c>
    </row>
    <row r="41" ht="15.75" customHeight="1">
      <c r="A41" s="10" t="s">
        <v>132</v>
      </c>
      <c r="B41" s="10" t="s">
        <v>133</v>
      </c>
      <c r="C41" s="11">
        <v>130.0</v>
      </c>
      <c r="D41" s="11">
        <v>40.0</v>
      </c>
      <c r="E41" s="11">
        <v>40.0</v>
      </c>
      <c r="F41" s="11">
        <v>40.0</v>
      </c>
      <c r="G41" s="11">
        <v>0.0</v>
      </c>
      <c r="H41" s="11">
        <v>0.0</v>
      </c>
      <c r="I41" s="11">
        <v>0.0</v>
      </c>
      <c r="J41" s="11">
        <v>223.4</v>
      </c>
      <c r="K41" s="11">
        <f t="shared" si="1"/>
        <v>473.4</v>
      </c>
      <c r="L41" s="11">
        <f t="shared" si="2"/>
        <v>55.85</v>
      </c>
    </row>
    <row r="42" ht="15.75" customHeight="1">
      <c r="A42" s="10" t="s">
        <v>134</v>
      </c>
      <c r="B42" s="10" t="s">
        <v>135</v>
      </c>
      <c r="C42" s="11">
        <v>30.0</v>
      </c>
      <c r="D42" s="11">
        <v>0.0</v>
      </c>
      <c r="E42" s="11">
        <v>0.0</v>
      </c>
      <c r="F42" s="11">
        <v>0.0</v>
      </c>
      <c r="G42" s="11">
        <v>60.0</v>
      </c>
      <c r="H42" s="11">
        <v>0.0</v>
      </c>
      <c r="I42" s="11">
        <v>30.0</v>
      </c>
      <c r="J42" s="11">
        <v>30.0</v>
      </c>
      <c r="K42" s="11">
        <f t="shared" si="1"/>
        <v>150</v>
      </c>
      <c r="L42" s="11">
        <f t="shared" si="2"/>
        <v>30</v>
      </c>
    </row>
    <row r="43" ht="15.75" customHeight="1">
      <c r="A43" s="10" t="s">
        <v>136</v>
      </c>
      <c r="B43" s="10" t="s">
        <v>137</v>
      </c>
      <c r="C43" s="11">
        <v>0.0</v>
      </c>
      <c r="D43" s="11">
        <v>0.0</v>
      </c>
      <c r="E43" s="11">
        <v>0.0</v>
      </c>
      <c r="F43" s="11">
        <v>0.0</v>
      </c>
      <c r="G43" s="11">
        <v>0.0</v>
      </c>
      <c r="H43" s="11">
        <v>0.0</v>
      </c>
      <c r="I43" s="11">
        <v>0.0</v>
      </c>
      <c r="J43" s="11">
        <v>0.0</v>
      </c>
      <c r="K43" s="11">
        <f t="shared" si="1"/>
        <v>0</v>
      </c>
      <c r="L43" s="11">
        <f t="shared" si="2"/>
        <v>0</v>
      </c>
    </row>
    <row r="44" ht="15.75" customHeight="1">
      <c r="A44" s="10" t="s">
        <v>138</v>
      </c>
      <c r="B44" s="10" t="s">
        <v>139</v>
      </c>
      <c r="C44" s="11">
        <v>631.0</v>
      </c>
      <c r="D44" s="11">
        <v>360.0</v>
      </c>
      <c r="E44" s="11">
        <v>450.0</v>
      </c>
      <c r="F44" s="11">
        <v>90.0</v>
      </c>
      <c r="G44" s="11">
        <v>360.0</v>
      </c>
      <c r="H44" s="11">
        <v>355.0</v>
      </c>
      <c r="I44" s="11">
        <v>1151.0</v>
      </c>
      <c r="J44" s="11">
        <v>1200.0</v>
      </c>
      <c r="K44" s="11">
        <f t="shared" si="1"/>
        <v>4597</v>
      </c>
      <c r="L44" s="11">
        <f t="shared" si="2"/>
        <v>766.5</v>
      </c>
    </row>
    <row r="45" ht="15.75" customHeight="1">
      <c r="A45" s="10" t="s">
        <v>141</v>
      </c>
      <c r="B45" s="10" t="s">
        <v>142</v>
      </c>
      <c r="C45" s="11">
        <v>120.0</v>
      </c>
      <c r="D45" s="11">
        <v>210.0</v>
      </c>
      <c r="E45" s="11">
        <v>180.0</v>
      </c>
      <c r="F45" s="11">
        <v>150.0</v>
      </c>
      <c r="G45" s="11">
        <v>236.5</v>
      </c>
      <c r="H45" s="11">
        <v>270.0</v>
      </c>
      <c r="I45" s="11">
        <v>222.5</v>
      </c>
      <c r="J45" s="11">
        <v>510.0</v>
      </c>
      <c r="K45" s="11">
        <f t="shared" si="1"/>
        <v>1899</v>
      </c>
      <c r="L45" s="11">
        <f t="shared" si="2"/>
        <v>309.75</v>
      </c>
    </row>
    <row r="46" ht="15.75" customHeight="1">
      <c r="A46" s="10" t="s">
        <v>143</v>
      </c>
      <c r="B46" s="10" t="s">
        <v>144</v>
      </c>
      <c r="C46" s="11">
        <v>0.0</v>
      </c>
      <c r="D46" s="11">
        <v>0.0</v>
      </c>
      <c r="E46" s="11">
        <v>30.0</v>
      </c>
      <c r="F46" s="11">
        <v>30.0</v>
      </c>
      <c r="G46" s="11">
        <v>30.0</v>
      </c>
      <c r="H46" s="11">
        <v>120.0</v>
      </c>
      <c r="I46" s="11">
        <v>0.0</v>
      </c>
      <c r="J46" s="11">
        <v>30.0</v>
      </c>
      <c r="K46" s="11">
        <f t="shared" si="1"/>
        <v>240</v>
      </c>
      <c r="L46" s="11">
        <f t="shared" si="2"/>
        <v>45</v>
      </c>
    </row>
    <row r="47" ht="15.75" customHeight="1">
      <c r="A47" s="10" t="s">
        <v>150</v>
      </c>
      <c r="B47" s="10" t="s">
        <v>151</v>
      </c>
      <c r="C47" s="11">
        <v>2151.0</v>
      </c>
      <c r="D47" s="11">
        <v>2155.0</v>
      </c>
      <c r="E47" s="11">
        <v>4244.0</v>
      </c>
      <c r="F47" s="11">
        <v>2768.5</v>
      </c>
      <c r="G47" s="11">
        <v>2454.0</v>
      </c>
      <c r="H47" s="11">
        <v>6010.0</v>
      </c>
      <c r="I47" s="11">
        <v>3681.0</v>
      </c>
      <c r="J47" s="11">
        <v>330.0</v>
      </c>
      <c r="K47" s="11">
        <f t="shared" si="1"/>
        <v>23793.5</v>
      </c>
      <c r="L47" s="11">
        <f t="shared" si="2"/>
        <v>3118.75</v>
      </c>
    </row>
    <row r="48" ht="15.75" customHeight="1">
      <c r="A48" s="10" t="s">
        <v>152</v>
      </c>
      <c r="B48" s="10" t="s">
        <v>153</v>
      </c>
      <c r="C48" s="11">
        <v>0.0</v>
      </c>
      <c r="D48" s="11">
        <v>0.0</v>
      </c>
      <c r="E48" s="11">
        <v>0.0</v>
      </c>
      <c r="F48" s="11">
        <v>60.0</v>
      </c>
      <c r="G48" s="11">
        <v>0.0</v>
      </c>
      <c r="H48" s="11">
        <v>0.0</v>
      </c>
      <c r="I48" s="11">
        <v>0.0</v>
      </c>
      <c r="J48" s="11">
        <v>30.0</v>
      </c>
      <c r="K48" s="11">
        <f t="shared" si="1"/>
        <v>90</v>
      </c>
      <c r="L48" s="11">
        <f t="shared" si="2"/>
        <v>7.5</v>
      </c>
    </row>
    <row r="49" ht="15.75" customHeight="1">
      <c r="A49" s="10" t="s">
        <v>154</v>
      </c>
      <c r="B49" s="10" t="s">
        <v>155</v>
      </c>
      <c r="C49" s="11">
        <v>30.0</v>
      </c>
      <c r="D49" s="11">
        <v>0.0</v>
      </c>
      <c r="E49" s="11">
        <v>0.0</v>
      </c>
      <c r="F49" s="11">
        <v>30.0</v>
      </c>
      <c r="G49" s="11">
        <v>0.0</v>
      </c>
      <c r="H49" s="11">
        <v>30.0</v>
      </c>
      <c r="I49" s="11">
        <v>30.0</v>
      </c>
      <c r="J49" s="11">
        <v>30.0</v>
      </c>
      <c r="K49" s="11">
        <f t="shared" si="1"/>
        <v>150</v>
      </c>
      <c r="L49" s="11">
        <f t="shared" si="2"/>
        <v>22.5</v>
      </c>
    </row>
    <row r="50" ht="15.75" customHeight="1">
      <c r="A50" s="10" t="s">
        <v>156</v>
      </c>
      <c r="B50" s="10" t="s">
        <v>157</v>
      </c>
      <c r="C50" s="11">
        <v>210.0</v>
      </c>
      <c r="D50" s="11">
        <v>270.0</v>
      </c>
      <c r="E50" s="11">
        <v>240.0</v>
      </c>
      <c r="F50" s="11">
        <v>152.0</v>
      </c>
      <c r="G50" s="11">
        <v>90.0</v>
      </c>
      <c r="H50" s="11">
        <v>180.0</v>
      </c>
      <c r="I50" s="11">
        <v>360.0</v>
      </c>
      <c r="J50" s="11">
        <v>208.5</v>
      </c>
      <c r="K50" s="11">
        <f t="shared" si="1"/>
        <v>1710.5</v>
      </c>
      <c r="L50" s="11">
        <f t="shared" si="2"/>
        <v>209.625</v>
      </c>
    </row>
    <row r="51" ht="15.75" customHeight="1">
      <c r="A51" s="10" t="s">
        <v>158</v>
      </c>
      <c r="B51" s="10" t="s">
        <v>159</v>
      </c>
      <c r="C51" s="11">
        <v>120.0</v>
      </c>
      <c r="D51" s="11">
        <v>270.0</v>
      </c>
      <c r="E51" s="11">
        <v>330.0</v>
      </c>
      <c r="F51" s="11">
        <v>120.0</v>
      </c>
      <c r="G51" s="11">
        <v>60.0</v>
      </c>
      <c r="H51" s="11">
        <v>0.0</v>
      </c>
      <c r="I51" s="11">
        <v>0.0</v>
      </c>
      <c r="J51" s="11">
        <v>0.0</v>
      </c>
      <c r="K51" s="11">
        <f t="shared" si="1"/>
        <v>900</v>
      </c>
      <c r="L51" s="11">
        <f t="shared" si="2"/>
        <v>15</v>
      </c>
    </row>
    <row r="52" ht="15.75" customHeight="1">
      <c r="A52" s="10" t="s">
        <v>160</v>
      </c>
      <c r="B52" s="10" t="s">
        <v>161</v>
      </c>
      <c r="C52" s="11">
        <v>60.0</v>
      </c>
      <c r="D52" s="11">
        <v>30.0</v>
      </c>
      <c r="E52" s="11">
        <v>30.0</v>
      </c>
      <c r="F52" s="11">
        <v>0.0</v>
      </c>
      <c r="G52" s="11">
        <v>30.0</v>
      </c>
      <c r="H52" s="11">
        <v>120.0</v>
      </c>
      <c r="I52" s="11">
        <v>0.0</v>
      </c>
      <c r="J52" s="11">
        <v>0.0</v>
      </c>
      <c r="K52" s="11">
        <f t="shared" si="1"/>
        <v>270</v>
      </c>
      <c r="L52" s="11">
        <f t="shared" si="2"/>
        <v>37.5</v>
      </c>
    </row>
    <row r="53" ht="15.75" customHeight="1">
      <c r="A53" s="10" t="s">
        <v>164</v>
      </c>
      <c r="B53" s="10" t="s">
        <v>165</v>
      </c>
      <c r="C53" s="11">
        <v>212.0</v>
      </c>
      <c r="D53" s="11">
        <v>689.0</v>
      </c>
      <c r="E53" s="11">
        <v>30.0</v>
      </c>
      <c r="F53" s="11">
        <v>0.0</v>
      </c>
      <c r="G53" s="11">
        <v>120.0</v>
      </c>
      <c r="H53" s="11">
        <v>120.0</v>
      </c>
      <c r="I53" s="11">
        <v>303.0</v>
      </c>
      <c r="J53" s="11">
        <v>690.0</v>
      </c>
      <c r="K53" s="11">
        <f t="shared" si="1"/>
        <v>2164</v>
      </c>
      <c r="L53" s="11">
        <f t="shared" si="2"/>
        <v>308.25</v>
      </c>
    </row>
    <row r="54" ht="15.75" customHeight="1">
      <c r="A54" s="10" t="s">
        <v>170</v>
      </c>
      <c r="B54" s="10" t="s">
        <v>172</v>
      </c>
      <c r="C54" s="11">
        <v>0.0</v>
      </c>
      <c r="D54" s="11">
        <v>0.0</v>
      </c>
      <c r="E54" s="11">
        <v>90.0</v>
      </c>
      <c r="F54" s="11">
        <v>60.0</v>
      </c>
      <c r="G54" s="11">
        <v>30.0</v>
      </c>
      <c r="H54" s="11">
        <v>30.0</v>
      </c>
      <c r="I54" s="11">
        <v>870.0</v>
      </c>
      <c r="J54" s="11">
        <v>4760.5</v>
      </c>
      <c r="K54" s="11">
        <f t="shared" si="1"/>
        <v>5840.5</v>
      </c>
      <c r="L54" s="11">
        <f t="shared" si="2"/>
        <v>1422.625</v>
      </c>
    </row>
    <row r="55" ht="15.75" customHeight="1">
      <c r="A55" s="10" t="s">
        <v>178</v>
      </c>
      <c r="B55" s="10" t="s">
        <v>180</v>
      </c>
      <c r="C55" s="11">
        <v>60.0</v>
      </c>
      <c r="D55" s="11">
        <v>120.0</v>
      </c>
      <c r="E55" s="11">
        <v>357.0</v>
      </c>
      <c r="F55" s="11">
        <v>150.0</v>
      </c>
      <c r="G55" s="11">
        <v>270.0</v>
      </c>
      <c r="H55" s="11">
        <v>61.0</v>
      </c>
      <c r="I55" s="11">
        <v>0.0</v>
      </c>
      <c r="J55" s="11">
        <v>0.0</v>
      </c>
      <c r="K55" s="11">
        <f t="shared" si="1"/>
        <v>1018</v>
      </c>
      <c r="L55" s="11">
        <f t="shared" si="2"/>
        <v>82.75</v>
      </c>
    </row>
    <row r="56" ht="15.75" customHeight="1">
      <c r="A56" s="10" t="s">
        <v>181</v>
      </c>
      <c r="B56" s="10" t="s">
        <v>182</v>
      </c>
      <c r="C56" s="11">
        <v>1839.0</v>
      </c>
      <c r="D56" s="11">
        <v>3860.5</v>
      </c>
      <c r="E56" s="11">
        <v>3093.0</v>
      </c>
      <c r="F56" s="11">
        <v>1439.0</v>
      </c>
      <c r="G56" s="11">
        <v>2369.0</v>
      </c>
      <c r="H56" s="11">
        <v>4794.0</v>
      </c>
      <c r="I56" s="11">
        <v>3896.0</v>
      </c>
      <c r="J56" s="11">
        <v>2126.0</v>
      </c>
      <c r="K56" s="11">
        <f t="shared" si="1"/>
        <v>23416.5</v>
      </c>
      <c r="L56" s="11">
        <f t="shared" si="2"/>
        <v>3296.25</v>
      </c>
    </row>
    <row r="57" ht="15.75" customHeight="1">
      <c r="A57" s="10" t="s">
        <v>186</v>
      </c>
      <c r="B57" s="10" t="s">
        <v>187</v>
      </c>
      <c r="C57" s="11">
        <v>0.0</v>
      </c>
      <c r="D57" s="11">
        <v>0.0</v>
      </c>
      <c r="E57" s="11">
        <v>0.0</v>
      </c>
      <c r="F57" s="11">
        <v>0.0</v>
      </c>
      <c r="G57" s="11">
        <v>0.0</v>
      </c>
      <c r="H57" s="11">
        <v>0.0</v>
      </c>
      <c r="I57" s="11">
        <v>0.0</v>
      </c>
      <c r="J57" s="11">
        <v>0.0</v>
      </c>
      <c r="K57" s="11">
        <f t="shared" si="1"/>
        <v>0</v>
      </c>
      <c r="L57" s="11">
        <f t="shared" si="2"/>
        <v>0</v>
      </c>
    </row>
    <row r="58" ht="15.75" customHeight="1">
      <c r="A58" s="10" t="s">
        <v>188</v>
      </c>
      <c r="B58" s="10" t="s">
        <v>189</v>
      </c>
      <c r="C58" s="11">
        <v>0.0</v>
      </c>
      <c r="D58" s="11">
        <v>0.0</v>
      </c>
      <c r="E58" s="11">
        <v>0.0</v>
      </c>
      <c r="F58" s="11">
        <v>0.0</v>
      </c>
      <c r="G58" s="11">
        <v>0.0</v>
      </c>
      <c r="H58" s="11">
        <v>0.0</v>
      </c>
      <c r="I58" s="11">
        <v>0.0</v>
      </c>
      <c r="J58" s="11">
        <v>0.0</v>
      </c>
      <c r="K58" s="11">
        <f t="shared" si="1"/>
        <v>0</v>
      </c>
      <c r="L58" s="11">
        <f t="shared" si="2"/>
        <v>0</v>
      </c>
    </row>
    <row r="59" ht="15.75" customHeight="1">
      <c r="A59" s="10" t="s">
        <v>190</v>
      </c>
      <c r="B59" s="10" t="s">
        <v>191</v>
      </c>
      <c r="C59" s="11">
        <v>90.0</v>
      </c>
      <c r="D59" s="11">
        <v>60.0</v>
      </c>
      <c r="E59" s="11">
        <v>203.0</v>
      </c>
      <c r="F59" s="11">
        <v>90.0</v>
      </c>
      <c r="G59" s="11">
        <v>0.0</v>
      </c>
      <c r="H59" s="11">
        <v>120.0</v>
      </c>
      <c r="I59" s="11">
        <v>90.0</v>
      </c>
      <c r="J59" s="11">
        <v>35.5</v>
      </c>
      <c r="K59" s="11">
        <f t="shared" si="1"/>
        <v>688.5</v>
      </c>
      <c r="L59" s="11">
        <f t="shared" si="2"/>
        <v>61.375</v>
      </c>
    </row>
    <row r="60" ht="15.75" customHeight="1">
      <c r="A60" s="10" t="s">
        <v>192</v>
      </c>
      <c r="B60" s="10" t="s">
        <v>193</v>
      </c>
      <c r="C60" s="11">
        <v>26.5</v>
      </c>
      <c r="D60" s="11">
        <v>30.0</v>
      </c>
      <c r="E60" s="11">
        <v>30.0</v>
      </c>
      <c r="F60" s="11">
        <v>26.0</v>
      </c>
      <c r="G60" s="11">
        <v>30.0</v>
      </c>
      <c r="H60" s="11">
        <v>0.0</v>
      </c>
      <c r="I60" s="11">
        <v>60.0</v>
      </c>
      <c r="J60" s="11">
        <v>118.0</v>
      </c>
      <c r="K60" s="11">
        <f t="shared" si="1"/>
        <v>320.5</v>
      </c>
      <c r="L60" s="11">
        <f t="shared" si="2"/>
        <v>52</v>
      </c>
    </row>
    <row r="61" ht="15.75" customHeight="1">
      <c r="A61" s="10" t="s">
        <v>194</v>
      </c>
      <c r="B61" s="10" t="s">
        <v>195</v>
      </c>
      <c r="C61" s="11">
        <v>62.0</v>
      </c>
      <c r="D61" s="11">
        <v>60.0</v>
      </c>
      <c r="E61" s="11">
        <v>90.0</v>
      </c>
      <c r="F61" s="11">
        <v>120.0</v>
      </c>
      <c r="G61" s="11">
        <v>120.0</v>
      </c>
      <c r="H61" s="11">
        <v>180.0</v>
      </c>
      <c r="I61" s="11">
        <v>402.0</v>
      </c>
      <c r="J61" s="11">
        <v>300.0</v>
      </c>
      <c r="K61" s="11">
        <f t="shared" si="1"/>
        <v>1334</v>
      </c>
      <c r="L61" s="11">
        <f t="shared" si="2"/>
        <v>250.5</v>
      </c>
    </row>
    <row r="62" ht="15.75" customHeight="1">
      <c r="A62" s="10" t="s">
        <v>196</v>
      </c>
      <c r="B62" s="10" t="s">
        <v>197</v>
      </c>
      <c r="C62" s="11">
        <v>0.0</v>
      </c>
      <c r="D62" s="11">
        <v>40.0</v>
      </c>
      <c r="E62" s="11">
        <v>40.0</v>
      </c>
      <c r="F62" s="11">
        <v>0.0</v>
      </c>
      <c r="G62" s="11">
        <v>0.0</v>
      </c>
      <c r="H62" s="11">
        <v>0.0</v>
      </c>
      <c r="I62" s="11">
        <v>0.0</v>
      </c>
      <c r="J62" s="11">
        <v>120.0</v>
      </c>
      <c r="K62" s="11">
        <f t="shared" si="1"/>
        <v>200</v>
      </c>
      <c r="L62" s="11">
        <f t="shared" si="2"/>
        <v>30</v>
      </c>
    </row>
    <row r="63" ht="15.75" customHeight="1">
      <c r="A63" s="10" t="s">
        <v>198</v>
      </c>
      <c r="B63" s="10" t="s">
        <v>199</v>
      </c>
      <c r="C63" s="11">
        <v>0.0</v>
      </c>
      <c r="D63" s="11">
        <v>0.0</v>
      </c>
      <c r="E63" s="11">
        <v>62.9</v>
      </c>
      <c r="F63" s="11">
        <v>40.0</v>
      </c>
      <c r="G63" s="11">
        <v>0.0</v>
      </c>
      <c r="H63" s="11">
        <v>0.0</v>
      </c>
      <c r="I63" s="11">
        <v>40.0</v>
      </c>
      <c r="J63" s="11">
        <v>80.0</v>
      </c>
      <c r="K63" s="11">
        <f t="shared" si="1"/>
        <v>222.9</v>
      </c>
      <c r="L63" s="11">
        <f t="shared" si="2"/>
        <v>30</v>
      </c>
    </row>
    <row r="64" ht="15.75" customHeight="1">
      <c r="A64" s="10" t="s">
        <v>200</v>
      </c>
      <c r="B64" s="10" t="s">
        <v>201</v>
      </c>
      <c r="C64" s="11">
        <v>0.0</v>
      </c>
      <c r="D64" s="11">
        <v>30.0</v>
      </c>
      <c r="E64" s="11">
        <v>30.0</v>
      </c>
      <c r="F64" s="11">
        <v>0.0</v>
      </c>
      <c r="G64" s="11">
        <v>30.0</v>
      </c>
      <c r="H64" s="11">
        <v>30.0</v>
      </c>
      <c r="I64" s="11">
        <v>0.0</v>
      </c>
      <c r="J64" s="11">
        <v>30.0</v>
      </c>
      <c r="K64" s="11">
        <f t="shared" si="1"/>
        <v>150</v>
      </c>
      <c r="L64" s="11">
        <f t="shared" si="2"/>
        <v>22.5</v>
      </c>
    </row>
    <row r="65" ht="15.75" customHeight="1">
      <c r="A65" s="10" t="s">
        <v>202</v>
      </c>
      <c r="B65" s="10" t="s">
        <v>203</v>
      </c>
      <c r="C65" s="11">
        <v>750.0</v>
      </c>
      <c r="D65" s="11">
        <v>621.0</v>
      </c>
      <c r="E65" s="11">
        <v>425.0</v>
      </c>
      <c r="F65" s="11">
        <v>475.0</v>
      </c>
      <c r="G65" s="11">
        <v>420.0</v>
      </c>
      <c r="H65" s="11">
        <v>925.0</v>
      </c>
      <c r="I65" s="11">
        <v>2261.5</v>
      </c>
      <c r="J65" s="11">
        <v>1784.5</v>
      </c>
      <c r="K65" s="11">
        <f t="shared" si="1"/>
        <v>7662</v>
      </c>
      <c r="L65" s="11">
        <f t="shared" si="2"/>
        <v>1347.75</v>
      </c>
    </row>
    <row r="66" ht="15.75" customHeight="1">
      <c r="A66" s="10" t="s">
        <v>204</v>
      </c>
      <c r="B66" s="10" t="s">
        <v>205</v>
      </c>
      <c r="C66" s="11">
        <v>60.0</v>
      </c>
      <c r="D66" s="11">
        <v>330.0</v>
      </c>
      <c r="E66" s="11">
        <v>390.0</v>
      </c>
      <c r="F66" s="11">
        <v>269.4</v>
      </c>
      <c r="G66" s="11">
        <v>180.0</v>
      </c>
      <c r="H66" s="11">
        <v>60.0</v>
      </c>
      <c r="I66" s="11">
        <v>90.0</v>
      </c>
      <c r="J66" s="11">
        <v>0.0</v>
      </c>
      <c r="K66" s="11">
        <f t="shared" si="1"/>
        <v>1379.4</v>
      </c>
      <c r="L66" s="11">
        <f t="shared" si="2"/>
        <v>82.5</v>
      </c>
    </row>
    <row r="67" ht="15.75" customHeight="1">
      <c r="A67" s="10" t="s">
        <v>206</v>
      </c>
      <c r="B67" s="10" t="s">
        <v>207</v>
      </c>
      <c r="C67" s="11">
        <v>60.0</v>
      </c>
      <c r="D67" s="11">
        <v>60.0</v>
      </c>
      <c r="E67" s="11">
        <v>30.0</v>
      </c>
      <c r="F67" s="11">
        <v>30.0</v>
      </c>
      <c r="G67" s="11">
        <v>90.0</v>
      </c>
      <c r="H67" s="11">
        <v>30.0</v>
      </c>
      <c r="I67" s="11">
        <v>58.5</v>
      </c>
      <c r="J67" s="11">
        <v>270.0</v>
      </c>
      <c r="K67" s="11">
        <f t="shared" si="1"/>
        <v>628.5</v>
      </c>
      <c r="L67" s="11">
        <f t="shared" si="2"/>
        <v>112.125</v>
      </c>
    </row>
    <row r="68" ht="15.75" customHeight="1">
      <c r="A68" s="10" t="s">
        <v>208</v>
      </c>
      <c r="B68" s="10" t="s">
        <v>209</v>
      </c>
      <c r="C68" s="11">
        <v>90.0</v>
      </c>
      <c r="D68" s="11">
        <v>60.0</v>
      </c>
      <c r="E68" s="11">
        <v>120.0</v>
      </c>
      <c r="F68" s="11">
        <v>120.0</v>
      </c>
      <c r="G68" s="11">
        <v>91.0</v>
      </c>
      <c r="H68" s="11">
        <v>90.0</v>
      </c>
      <c r="I68" s="11">
        <v>156.0</v>
      </c>
      <c r="J68" s="11">
        <v>210.0</v>
      </c>
      <c r="K68" s="11">
        <f t="shared" si="1"/>
        <v>937</v>
      </c>
      <c r="L68" s="11">
        <f t="shared" si="2"/>
        <v>136.75</v>
      </c>
    </row>
    <row r="69" ht="15.75" customHeight="1">
      <c r="A69" s="10" t="s">
        <v>210</v>
      </c>
      <c r="B69" s="10" t="s">
        <v>211</v>
      </c>
      <c r="C69" s="11">
        <v>30.0</v>
      </c>
      <c r="D69" s="11">
        <v>0.0</v>
      </c>
      <c r="E69" s="11">
        <v>30.0</v>
      </c>
      <c r="F69" s="11">
        <v>0.0</v>
      </c>
      <c r="G69" s="11">
        <v>0.0</v>
      </c>
      <c r="H69" s="11">
        <v>0.0</v>
      </c>
      <c r="I69" s="11">
        <v>0.0</v>
      </c>
      <c r="J69" s="11">
        <v>60.0</v>
      </c>
      <c r="K69" s="11">
        <f t="shared" si="1"/>
        <v>120</v>
      </c>
      <c r="L69" s="11">
        <f t="shared" si="2"/>
        <v>15</v>
      </c>
    </row>
    <row r="70" ht="15.75" customHeight="1">
      <c r="A70" s="10" t="s">
        <v>212</v>
      </c>
      <c r="B70" s="10" t="s">
        <v>213</v>
      </c>
      <c r="C70" s="11">
        <v>30.0</v>
      </c>
      <c r="D70" s="11">
        <v>30.0</v>
      </c>
      <c r="E70" s="11">
        <v>0.0</v>
      </c>
      <c r="F70" s="11">
        <v>0.0</v>
      </c>
      <c r="G70" s="11">
        <v>0.0</v>
      </c>
      <c r="H70" s="11">
        <v>120.0</v>
      </c>
      <c r="I70" s="11">
        <v>30.0</v>
      </c>
      <c r="J70" s="11">
        <v>17.0</v>
      </c>
      <c r="K70" s="11">
        <f t="shared" si="1"/>
        <v>227</v>
      </c>
      <c r="L70" s="11">
        <f t="shared" si="2"/>
        <v>41.75</v>
      </c>
    </row>
    <row r="71" ht="15.75" customHeight="1">
      <c r="A71" s="10" t="s">
        <v>214</v>
      </c>
      <c r="B71" s="10" t="s">
        <v>215</v>
      </c>
      <c r="C71" s="11">
        <v>150.0</v>
      </c>
      <c r="D71" s="11">
        <v>0.0</v>
      </c>
      <c r="E71" s="11">
        <v>60.0</v>
      </c>
      <c r="F71" s="11">
        <v>90.0</v>
      </c>
      <c r="G71" s="11">
        <v>0.0</v>
      </c>
      <c r="H71" s="11">
        <v>30.0</v>
      </c>
      <c r="I71" s="11">
        <v>0.0</v>
      </c>
      <c r="J71" s="11">
        <v>0.0</v>
      </c>
      <c r="K71" s="11">
        <f t="shared" si="1"/>
        <v>330</v>
      </c>
      <c r="L71" s="11">
        <f t="shared" si="2"/>
        <v>7.5</v>
      </c>
    </row>
    <row r="72" ht="15.75" customHeight="1">
      <c r="A72" s="10" t="s">
        <v>216</v>
      </c>
      <c r="B72" s="10" t="s">
        <v>217</v>
      </c>
      <c r="C72" s="11">
        <v>0.0</v>
      </c>
      <c r="D72" s="11">
        <v>0.0</v>
      </c>
      <c r="E72" s="11">
        <v>0.0</v>
      </c>
      <c r="F72" s="11">
        <v>0.0</v>
      </c>
      <c r="G72" s="11">
        <v>0.0</v>
      </c>
      <c r="H72" s="11">
        <v>0.0</v>
      </c>
      <c r="I72" s="11">
        <v>0.0</v>
      </c>
      <c r="J72" s="11">
        <v>0.0</v>
      </c>
      <c r="K72" s="11">
        <f t="shared" si="1"/>
        <v>0</v>
      </c>
      <c r="L72" s="11">
        <f t="shared" si="2"/>
        <v>0</v>
      </c>
    </row>
    <row r="73" ht="15.75" customHeight="1">
      <c r="A73" s="10" t="s">
        <v>218</v>
      </c>
      <c r="B73" s="10" t="s">
        <v>219</v>
      </c>
      <c r="C73" s="11">
        <v>350.0</v>
      </c>
      <c r="D73" s="11">
        <v>300.0</v>
      </c>
      <c r="E73" s="11">
        <v>700.0</v>
      </c>
      <c r="F73" s="11">
        <v>350.0</v>
      </c>
      <c r="G73" s="11">
        <v>600.0</v>
      </c>
      <c r="H73" s="11">
        <v>400.0</v>
      </c>
      <c r="I73" s="11">
        <v>1900.0</v>
      </c>
      <c r="J73" s="11">
        <v>1760.0</v>
      </c>
      <c r="K73" s="11">
        <f t="shared" si="1"/>
        <v>6360</v>
      </c>
      <c r="L73" s="11">
        <f t="shared" si="2"/>
        <v>1165</v>
      </c>
    </row>
    <row r="74" ht="15.75" customHeight="1">
      <c r="A74" s="10" t="s">
        <v>220</v>
      </c>
      <c r="B74" s="10" t="s">
        <v>221</v>
      </c>
      <c r="C74" s="11">
        <v>50.0</v>
      </c>
      <c r="D74" s="11">
        <v>50.0</v>
      </c>
      <c r="E74" s="11">
        <v>100.0</v>
      </c>
      <c r="F74" s="11">
        <v>200.0</v>
      </c>
      <c r="G74" s="11">
        <v>184.0</v>
      </c>
      <c r="H74" s="11">
        <v>350.0</v>
      </c>
      <c r="I74" s="11">
        <v>0.0</v>
      </c>
      <c r="J74" s="11">
        <v>0.0</v>
      </c>
      <c r="K74" s="11">
        <f t="shared" si="1"/>
        <v>934</v>
      </c>
      <c r="L74" s="11">
        <f t="shared" si="2"/>
        <v>133.5</v>
      </c>
    </row>
    <row r="75" ht="15.75" customHeight="1">
      <c r="A75" s="10" t="s">
        <v>222</v>
      </c>
      <c r="B75" s="10" t="s">
        <v>223</v>
      </c>
      <c r="C75" s="11">
        <v>550.0</v>
      </c>
      <c r="D75" s="11">
        <v>757.0</v>
      </c>
      <c r="E75" s="11">
        <v>1195.0</v>
      </c>
      <c r="F75" s="11">
        <v>700.0</v>
      </c>
      <c r="G75" s="11">
        <v>700.0</v>
      </c>
      <c r="H75" s="11">
        <v>1800.0</v>
      </c>
      <c r="I75" s="11">
        <v>50.0</v>
      </c>
      <c r="J75" s="11">
        <v>0.0</v>
      </c>
      <c r="K75" s="11">
        <f t="shared" si="1"/>
        <v>5752</v>
      </c>
      <c r="L75" s="11">
        <f t="shared" si="2"/>
        <v>637.5</v>
      </c>
    </row>
    <row r="76" ht="15.75" customHeight="1">
      <c r="A76" s="10" t="s">
        <v>224</v>
      </c>
      <c r="B76" s="10" t="s">
        <v>225</v>
      </c>
      <c r="C76" s="11">
        <v>0.0</v>
      </c>
      <c r="D76" s="11">
        <v>0.0</v>
      </c>
      <c r="E76" s="11">
        <v>0.0</v>
      </c>
      <c r="F76" s="11">
        <v>0.0</v>
      </c>
      <c r="G76" s="11">
        <v>0.0</v>
      </c>
      <c r="H76" s="11">
        <v>50.0</v>
      </c>
      <c r="I76" s="11">
        <v>0.0</v>
      </c>
      <c r="J76" s="11">
        <v>0.0</v>
      </c>
      <c r="K76" s="11">
        <f t="shared" si="1"/>
        <v>50</v>
      </c>
      <c r="L76" s="11">
        <f t="shared" si="2"/>
        <v>12.5</v>
      </c>
    </row>
    <row r="77" ht="15.75" customHeight="1">
      <c r="A77" s="10" t="s">
        <v>226</v>
      </c>
      <c r="B77" s="10" t="s">
        <v>227</v>
      </c>
      <c r="C77" s="11">
        <v>50.0</v>
      </c>
      <c r="D77" s="11">
        <v>0.0</v>
      </c>
      <c r="E77" s="11">
        <v>0.0</v>
      </c>
      <c r="F77" s="11">
        <v>0.0</v>
      </c>
      <c r="G77" s="11">
        <v>50.0</v>
      </c>
      <c r="H77" s="11">
        <v>100.0</v>
      </c>
      <c r="I77" s="11">
        <v>150.0</v>
      </c>
      <c r="J77" s="11">
        <v>300.0</v>
      </c>
      <c r="K77" s="11">
        <f t="shared" si="1"/>
        <v>650</v>
      </c>
      <c r="L77" s="11">
        <f t="shared" si="2"/>
        <v>150</v>
      </c>
    </row>
    <row r="78" ht="15.75" customHeight="1">
      <c r="A78" s="10" t="s">
        <v>228</v>
      </c>
      <c r="B78" s="10" t="s">
        <v>229</v>
      </c>
      <c r="C78" s="11">
        <v>0.0</v>
      </c>
      <c r="D78" s="11">
        <v>50.0</v>
      </c>
      <c r="E78" s="11">
        <v>0.0</v>
      </c>
      <c r="F78" s="11">
        <v>0.0</v>
      </c>
      <c r="G78" s="11">
        <v>100.0</v>
      </c>
      <c r="H78" s="11">
        <v>50.0</v>
      </c>
      <c r="I78" s="11">
        <v>100.0</v>
      </c>
      <c r="J78" s="11">
        <v>150.0</v>
      </c>
      <c r="K78" s="11">
        <f t="shared" si="1"/>
        <v>450</v>
      </c>
      <c r="L78" s="11">
        <f t="shared" si="2"/>
        <v>100</v>
      </c>
    </row>
    <row r="79" ht="15.75" customHeight="1">
      <c r="A79" s="10" t="s">
        <v>230</v>
      </c>
      <c r="B79" s="10" t="s">
        <v>231</v>
      </c>
      <c r="C79" s="11">
        <v>1100.0</v>
      </c>
      <c r="D79" s="11">
        <v>850.0</v>
      </c>
      <c r="E79" s="11">
        <v>650.0</v>
      </c>
      <c r="F79" s="11">
        <v>150.0</v>
      </c>
      <c r="G79" s="11">
        <v>684.0</v>
      </c>
      <c r="H79" s="11">
        <v>450.0</v>
      </c>
      <c r="I79" s="11">
        <v>914.0</v>
      </c>
      <c r="J79" s="11">
        <v>650.0</v>
      </c>
      <c r="K79" s="11">
        <f t="shared" si="1"/>
        <v>5448</v>
      </c>
      <c r="L79" s="11">
        <f t="shared" si="2"/>
        <v>674.5</v>
      </c>
    </row>
    <row r="80" ht="15.75" customHeight="1">
      <c r="A80" s="10" t="s">
        <v>232</v>
      </c>
      <c r="B80" s="10" t="s">
        <v>233</v>
      </c>
      <c r="C80" s="11">
        <v>0.0</v>
      </c>
      <c r="D80" s="11">
        <v>50.0</v>
      </c>
      <c r="E80" s="11">
        <v>0.0</v>
      </c>
      <c r="F80" s="11">
        <v>200.0</v>
      </c>
      <c r="G80" s="11">
        <v>150.0</v>
      </c>
      <c r="H80" s="11">
        <v>350.0</v>
      </c>
      <c r="I80" s="11">
        <v>200.0</v>
      </c>
      <c r="J80" s="11">
        <v>350.0</v>
      </c>
      <c r="K80" s="11">
        <f t="shared" si="1"/>
        <v>1300</v>
      </c>
      <c r="L80" s="11">
        <f t="shared" si="2"/>
        <v>262.5</v>
      </c>
    </row>
    <row r="81" ht="15.75" customHeight="1">
      <c r="A81" s="10" t="s">
        <v>234</v>
      </c>
      <c r="B81" s="10" t="s">
        <v>235</v>
      </c>
      <c r="C81" s="11">
        <v>6950.0</v>
      </c>
      <c r="D81" s="11">
        <v>9015.0</v>
      </c>
      <c r="E81" s="11">
        <v>6400.0</v>
      </c>
      <c r="F81" s="11">
        <v>3025.0</v>
      </c>
      <c r="G81" s="11">
        <v>2925.0</v>
      </c>
      <c r="H81" s="11">
        <v>5250.0</v>
      </c>
      <c r="I81" s="11">
        <v>8007.0</v>
      </c>
      <c r="J81" s="11">
        <v>8330.0</v>
      </c>
      <c r="K81" s="11">
        <f t="shared" si="1"/>
        <v>49902</v>
      </c>
      <c r="L81" s="11">
        <f t="shared" si="2"/>
        <v>6128</v>
      </c>
    </row>
    <row r="82" ht="15.75" customHeight="1">
      <c r="A82" s="10" t="s">
        <v>236</v>
      </c>
      <c r="B82" s="10" t="s">
        <v>237</v>
      </c>
      <c r="C82" s="11">
        <v>250.0</v>
      </c>
      <c r="D82" s="11">
        <v>450.0</v>
      </c>
      <c r="E82" s="11">
        <v>0.0</v>
      </c>
      <c r="F82" s="11">
        <v>0.0</v>
      </c>
      <c r="G82" s="11">
        <v>200.0</v>
      </c>
      <c r="H82" s="11">
        <v>422.0</v>
      </c>
      <c r="I82" s="11">
        <v>1550.0</v>
      </c>
      <c r="J82" s="11">
        <v>100.0</v>
      </c>
      <c r="K82" s="11">
        <f t="shared" si="1"/>
        <v>2972</v>
      </c>
      <c r="L82" s="11">
        <f t="shared" si="2"/>
        <v>568</v>
      </c>
    </row>
    <row r="83" ht="15.75" customHeight="1">
      <c r="A83" s="10" t="s">
        <v>238</v>
      </c>
      <c r="B83" s="10" t="s">
        <v>239</v>
      </c>
      <c r="C83" s="11">
        <v>0.0</v>
      </c>
      <c r="D83" s="11">
        <v>0.0</v>
      </c>
      <c r="E83" s="11">
        <v>0.0</v>
      </c>
      <c r="F83" s="11">
        <v>0.0</v>
      </c>
      <c r="G83" s="11">
        <v>0.0</v>
      </c>
      <c r="H83" s="11">
        <v>0.0</v>
      </c>
      <c r="I83" s="11">
        <v>0.0</v>
      </c>
      <c r="J83" s="11">
        <v>0.0</v>
      </c>
      <c r="K83" s="11">
        <f t="shared" si="1"/>
        <v>0</v>
      </c>
      <c r="L83" s="11">
        <f t="shared" si="2"/>
        <v>0</v>
      </c>
    </row>
    <row r="84" ht="15.75" customHeight="1">
      <c r="A84" s="10" t="s">
        <v>240</v>
      </c>
      <c r="B84" s="10" t="s">
        <v>241</v>
      </c>
      <c r="C84" s="11">
        <v>0.0</v>
      </c>
      <c r="D84" s="11">
        <v>0.0</v>
      </c>
      <c r="E84" s="11">
        <v>0.0</v>
      </c>
      <c r="F84" s="11">
        <v>0.0</v>
      </c>
      <c r="G84" s="11">
        <v>0.0</v>
      </c>
      <c r="H84" s="11">
        <v>0.0</v>
      </c>
      <c r="I84" s="11">
        <v>0.0</v>
      </c>
      <c r="J84" s="11">
        <v>0.0</v>
      </c>
      <c r="K84" s="11">
        <f t="shared" si="1"/>
        <v>0</v>
      </c>
      <c r="L84" s="11">
        <f t="shared" si="2"/>
        <v>0</v>
      </c>
    </row>
    <row r="85" ht="15.75" customHeight="1">
      <c r="A85" s="10" t="s">
        <v>242</v>
      </c>
      <c r="B85" s="10" t="s">
        <v>243</v>
      </c>
      <c r="C85" s="11">
        <v>0.0</v>
      </c>
      <c r="D85" s="11">
        <v>0.0</v>
      </c>
      <c r="E85" s="11">
        <v>0.0</v>
      </c>
      <c r="F85" s="11">
        <v>0.0</v>
      </c>
      <c r="G85" s="11">
        <v>0.0</v>
      </c>
      <c r="H85" s="11">
        <v>0.0</v>
      </c>
      <c r="I85" s="11">
        <v>0.0</v>
      </c>
      <c r="J85" s="11">
        <v>0.0</v>
      </c>
      <c r="K85" s="11">
        <f t="shared" si="1"/>
        <v>0</v>
      </c>
      <c r="L85" s="11">
        <f t="shared" si="2"/>
        <v>0</v>
      </c>
    </row>
    <row r="86" ht="15.75" customHeight="1">
      <c r="A86" s="10" t="s">
        <v>244</v>
      </c>
      <c r="B86" s="10" t="s">
        <v>245</v>
      </c>
      <c r="C86" s="11">
        <v>0.0</v>
      </c>
      <c r="D86" s="11">
        <v>0.0</v>
      </c>
      <c r="E86" s="11">
        <v>0.0</v>
      </c>
      <c r="F86" s="11">
        <v>0.0</v>
      </c>
      <c r="G86" s="11">
        <v>0.0</v>
      </c>
      <c r="H86" s="11">
        <v>0.0</v>
      </c>
      <c r="I86" s="11">
        <v>0.0</v>
      </c>
      <c r="J86" s="11">
        <v>0.0</v>
      </c>
      <c r="K86" s="11">
        <f t="shared" si="1"/>
        <v>0</v>
      </c>
      <c r="L86" s="11">
        <f t="shared" si="2"/>
        <v>0</v>
      </c>
    </row>
    <row r="87" ht="15.75" customHeight="1">
      <c r="A87" s="10" t="s">
        <v>246</v>
      </c>
      <c r="B87" s="10" t="s">
        <v>247</v>
      </c>
      <c r="C87" s="11">
        <v>0.0</v>
      </c>
      <c r="D87" s="11">
        <v>0.0</v>
      </c>
      <c r="E87" s="11">
        <v>0.0</v>
      </c>
      <c r="F87" s="11">
        <v>0.0</v>
      </c>
      <c r="G87" s="11">
        <v>0.0</v>
      </c>
      <c r="H87" s="11">
        <v>0.0</v>
      </c>
      <c r="I87" s="11">
        <v>0.0</v>
      </c>
      <c r="J87" s="11">
        <v>0.0</v>
      </c>
      <c r="K87" s="11">
        <f t="shared" si="1"/>
        <v>0</v>
      </c>
      <c r="L87" s="11">
        <f t="shared" si="2"/>
        <v>0</v>
      </c>
    </row>
    <row r="88" ht="15.75" customHeight="1">
      <c r="A88" s="10" t="s">
        <v>248</v>
      </c>
      <c r="B88" s="10" t="s">
        <v>249</v>
      </c>
      <c r="C88" s="11">
        <v>0.0</v>
      </c>
      <c r="D88" s="11">
        <v>0.0</v>
      </c>
      <c r="E88" s="11">
        <v>0.0</v>
      </c>
      <c r="F88" s="11">
        <v>0.0</v>
      </c>
      <c r="G88" s="11">
        <v>0.0</v>
      </c>
      <c r="H88" s="11">
        <v>0.0</v>
      </c>
      <c r="I88" s="11">
        <v>0.0</v>
      </c>
      <c r="J88" s="11">
        <v>0.0</v>
      </c>
      <c r="K88" s="11">
        <f t="shared" si="1"/>
        <v>0</v>
      </c>
      <c r="L88" s="11">
        <f t="shared" si="2"/>
        <v>0</v>
      </c>
    </row>
    <row r="89" ht="15.75" customHeight="1">
      <c r="A89" s="10" t="s">
        <v>250</v>
      </c>
      <c r="B89" s="10" t="s">
        <v>251</v>
      </c>
      <c r="C89" s="11">
        <v>0.0</v>
      </c>
      <c r="D89" s="11">
        <v>0.0</v>
      </c>
      <c r="E89" s="11">
        <v>0.0</v>
      </c>
      <c r="F89" s="11">
        <v>0.0</v>
      </c>
      <c r="G89" s="11">
        <v>0.0</v>
      </c>
      <c r="H89" s="11">
        <v>0.0</v>
      </c>
      <c r="I89" s="11">
        <v>0.0</v>
      </c>
      <c r="J89" s="11">
        <v>0.0</v>
      </c>
      <c r="K89" s="11">
        <f t="shared" si="1"/>
        <v>0</v>
      </c>
      <c r="L89" s="11">
        <f t="shared" si="2"/>
        <v>0</v>
      </c>
    </row>
    <row r="90" ht="15.75" customHeight="1">
      <c r="A90" s="10" t="s">
        <v>252</v>
      </c>
      <c r="B90" s="10" t="s">
        <v>253</v>
      </c>
      <c r="C90" s="11">
        <v>0.0</v>
      </c>
      <c r="D90" s="11">
        <v>0.0</v>
      </c>
      <c r="E90" s="11">
        <v>0.0</v>
      </c>
      <c r="F90" s="11">
        <v>0.0</v>
      </c>
      <c r="G90" s="11">
        <v>0.0</v>
      </c>
      <c r="H90" s="11">
        <v>0.0</v>
      </c>
      <c r="I90" s="11">
        <v>0.0</v>
      </c>
      <c r="J90" s="11">
        <v>0.0</v>
      </c>
      <c r="K90" s="11">
        <f t="shared" si="1"/>
        <v>0</v>
      </c>
      <c r="L90" s="11">
        <f t="shared" si="2"/>
        <v>0</v>
      </c>
    </row>
    <row r="91" ht="15.75" customHeight="1">
      <c r="A91" s="10" t="s">
        <v>254</v>
      </c>
      <c r="B91" s="10" t="s">
        <v>255</v>
      </c>
      <c r="C91" s="11">
        <v>0.0</v>
      </c>
      <c r="D91" s="11">
        <v>0.0</v>
      </c>
      <c r="E91" s="11">
        <v>0.0</v>
      </c>
      <c r="F91" s="11">
        <v>0.0</v>
      </c>
      <c r="G91" s="11">
        <v>0.0</v>
      </c>
      <c r="H91" s="11">
        <v>0.0</v>
      </c>
      <c r="I91" s="11">
        <v>0.0</v>
      </c>
      <c r="J91" s="11">
        <v>0.0</v>
      </c>
      <c r="K91" s="11">
        <f t="shared" si="1"/>
        <v>0</v>
      </c>
      <c r="L91" s="11">
        <f t="shared" si="2"/>
        <v>0</v>
      </c>
    </row>
    <row r="92" ht="15.75" customHeight="1">
      <c r="A92" s="10" t="s">
        <v>256</v>
      </c>
      <c r="B92" s="10" t="s">
        <v>257</v>
      </c>
      <c r="C92" s="11">
        <v>0.0</v>
      </c>
      <c r="D92" s="11">
        <v>0.0</v>
      </c>
      <c r="E92" s="11">
        <v>0.0</v>
      </c>
      <c r="F92" s="11">
        <v>0.0</v>
      </c>
      <c r="G92" s="11">
        <v>0.0</v>
      </c>
      <c r="H92" s="11">
        <v>0.0</v>
      </c>
      <c r="I92" s="11">
        <v>0.0</v>
      </c>
      <c r="J92" s="11">
        <v>0.0</v>
      </c>
      <c r="K92" s="11">
        <f t="shared" si="1"/>
        <v>0</v>
      </c>
      <c r="L92" s="11">
        <f t="shared" si="2"/>
        <v>0</v>
      </c>
    </row>
    <row r="93" ht="15.75" customHeight="1">
      <c r="A93" s="10" t="s">
        <v>258</v>
      </c>
      <c r="B93" s="10" t="s">
        <v>259</v>
      </c>
      <c r="C93" s="11">
        <v>0.0</v>
      </c>
      <c r="D93" s="11">
        <v>0.0</v>
      </c>
      <c r="E93" s="11">
        <v>0.0</v>
      </c>
      <c r="F93" s="11">
        <v>0.0</v>
      </c>
      <c r="G93" s="11">
        <v>0.0</v>
      </c>
      <c r="H93" s="11">
        <v>0.0</v>
      </c>
      <c r="I93" s="11">
        <v>0.0</v>
      </c>
      <c r="J93" s="11">
        <v>0.0</v>
      </c>
      <c r="K93" s="11">
        <f t="shared" si="1"/>
        <v>0</v>
      </c>
      <c r="L93" s="11">
        <f t="shared" si="2"/>
        <v>0</v>
      </c>
    </row>
    <row r="94" ht="15.75" customHeight="1">
      <c r="A94" s="10" t="s">
        <v>260</v>
      </c>
      <c r="B94" s="10" t="s">
        <v>261</v>
      </c>
      <c r="C94" s="11">
        <v>0.0</v>
      </c>
      <c r="D94" s="11">
        <v>0.0</v>
      </c>
      <c r="E94" s="11">
        <v>0.0</v>
      </c>
      <c r="F94" s="11">
        <v>0.0</v>
      </c>
      <c r="G94" s="11">
        <v>0.0</v>
      </c>
      <c r="H94" s="11">
        <v>0.0</v>
      </c>
      <c r="I94" s="11">
        <v>9999.0</v>
      </c>
      <c r="J94" s="11">
        <v>0.0</v>
      </c>
      <c r="K94" s="11">
        <f t="shared" si="1"/>
        <v>9999</v>
      </c>
      <c r="L94" s="11">
        <f t="shared" si="2"/>
        <v>2499.75</v>
      </c>
    </row>
    <row r="95" ht="15.75" customHeight="1">
      <c r="A95" s="10" t="s">
        <v>262</v>
      </c>
      <c r="B95" s="10" t="s">
        <v>263</v>
      </c>
      <c r="C95" s="11">
        <v>0.0</v>
      </c>
      <c r="D95" s="11">
        <v>0.0</v>
      </c>
      <c r="E95" s="11">
        <v>0.0</v>
      </c>
      <c r="F95" s="11">
        <v>0.0</v>
      </c>
      <c r="G95" s="11">
        <v>0.0</v>
      </c>
      <c r="H95" s="11">
        <v>0.0</v>
      </c>
      <c r="I95" s="11">
        <v>0.0</v>
      </c>
      <c r="J95" s="11">
        <v>0.0</v>
      </c>
      <c r="K95" s="11">
        <f t="shared" si="1"/>
        <v>0</v>
      </c>
      <c r="L95" s="11">
        <f t="shared" si="2"/>
        <v>0</v>
      </c>
    </row>
    <row r="96" ht="15.75" customHeight="1">
      <c r="A96" s="10" t="s">
        <v>264</v>
      </c>
      <c r="B96" s="10" t="s">
        <v>265</v>
      </c>
      <c r="C96" s="11">
        <v>0.0</v>
      </c>
      <c r="D96" s="11">
        <v>0.0</v>
      </c>
      <c r="E96" s="11">
        <v>0.0</v>
      </c>
      <c r="F96" s="11">
        <v>0.0</v>
      </c>
      <c r="G96" s="11">
        <v>0.0</v>
      </c>
      <c r="H96" s="11">
        <v>0.0</v>
      </c>
      <c r="I96" s="11">
        <v>29997.0</v>
      </c>
      <c r="J96" s="11">
        <v>0.0</v>
      </c>
      <c r="K96" s="11">
        <f t="shared" si="1"/>
        <v>29997</v>
      </c>
      <c r="L96" s="11">
        <f t="shared" si="2"/>
        <v>7499.25</v>
      </c>
    </row>
    <row r="97" ht="15.75" customHeight="1">
      <c r="A97" s="10" t="s">
        <v>266</v>
      </c>
      <c r="B97" s="10" t="s">
        <v>267</v>
      </c>
      <c r="C97" s="11">
        <v>0.0</v>
      </c>
      <c r="D97" s="11">
        <v>0.0</v>
      </c>
      <c r="E97" s="11">
        <v>0.0</v>
      </c>
      <c r="F97" s="11">
        <v>0.0</v>
      </c>
      <c r="G97" s="11">
        <v>0.0</v>
      </c>
      <c r="H97" s="11">
        <v>0.0</v>
      </c>
      <c r="I97" s="11">
        <v>9999.0</v>
      </c>
      <c r="J97" s="11">
        <v>0.0</v>
      </c>
      <c r="K97" s="11">
        <f t="shared" si="1"/>
        <v>9999</v>
      </c>
      <c r="L97" s="11">
        <f t="shared" si="2"/>
        <v>2499.75</v>
      </c>
    </row>
    <row r="98" ht="15.75" customHeight="1">
      <c r="A98" s="10" t="s">
        <v>268</v>
      </c>
      <c r="B98" s="10" t="s">
        <v>269</v>
      </c>
      <c r="C98" s="11">
        <v>0.0</v>
      </c>
      <c r="D98" s="11">
        <v>0.0</v>
      </c>
      <c r="E98" s="11">
        <v>0.0</v>
      </c>
      <c r="F98" s="11">
        <v>0.0</v>
      </c>
      <c r="G98" s="11">
        <v>0.0</v>
      </c>
      <c r="H98" s="11">
        <v>0.0</v>
      </c>
      <c r="I98" s="11">
        <v>0.0</v>
      </c>
      <c r="J98" s="11">
        <v>0.0</v>
      </c>
      <c r="K98" s="11">
        <f t="shared" si="1"/>
        <v>0</v>
      </c>
      <c r="L98" s="11">
        <f t="shared" si="2"/>
        <v>0</v>
      </c>
    </row>
    <row r="99" ht="15.75" customHeight="1">
      <c r="A99" s="10" t="s">
        <v>270</v>
      </c>
      <c r="B99" s="10" t="s">
        <v>271</v>
      </c>
      <c r="C99" s="11">
        <v>0.0</v>
      </c>
      <c r="D99" s="11">
        <v>0.0</v>
      </c>
      <c r="E99" s="11">
        <v>0.0</v>
      </c>
      <c r="F99" s="11">
        <v>0.0</v>
      </c>
      <c r="G99" s="11">
        <v>0.0</v>
      </c>
      <c r="H99" s="11">
        <v>0.0</v>
      </c>
      <c r="I99" s="11">
        <v>0.0</v>
      </c>
      <c r="J99" s="11">
        <v>0.0</v>
      </c>
      <c r="K99" s="11">
        <f t="shared" si="1"/>
        <v>0</v>
      </c>
      <c r="L99" s="11">
        <f t="shared" si="2"/>
        <v>0</v>
      </c>
    </row>
    <row r="100" ht="15.75" customHeight="1">
      <c r="A100" s="10" t="s">
        <v>272</v>
      </c>
      <c r="B100" s="10" t="s">
        <v>273</v>
      </c>
      <c r="C100" s="11">
        <v>0.0</v>
      </c>
      <c r="D100" s="11">
        <v>0.0</v>
      </c>
      <c r="E100" s="11">
        <v>0.0</v>
      </c>
      <c r="F100" s="11">
        <v>0.0</v>
      </c>
      <c r="G100" s="11">
        <v>0.0</v>
      </c>
      <c r="H100" s="11">
        <v>0.0</v>
      </c>
      <c r="I100" s="11">
        <v>0.0</v>
      </c>
      <c r="J100" s="11">
        <v>0.0</v>
      </c>
      <c r="K100" s="11">
        <f t="shared" si="1"/>
        <v>0</v>
      </c>
      <c r="L100" s="11">
        <f t="shared" si="2"/>
        <v>0</v>
      </c>
    </row>
    <row r="101" ht="15.75" customHeight="1">
      <c r="A101" s="10" t="s">
        <v>274</v>
      </c>
      <c r="B101" s="10" t="s">
        <v>275</v>
      </c>
      <c r="C101" s="11">
        <v>0.0</v>
      </c>
      <c r="D101" s="11">
        <v>0.0</v>
      </c>
      <c r="E101" s="11">
        <v>0.0</v>
      </c>
      <c r="F101" s="11">
        <v>0.0</v>
      </c>
      <c r="G101" s="11">
        <v>0.0</v>
      </c>
      <c r="H101" s="11">
        <v>0.0</v>
      </c>
      <c r="I101" s="11">
        <v>0.0</v>
      </c>
      <c r="J101" s="11">
        <v>0.0</v>
      </c>
      <c r="K101" s="11">
        <f t="shared" si="1"/>
        <v>0</v>
      </c>
      <c r="L101" s="11">
        <f t="shared" si="2"/>
        <v>0</v>
      </c>
    </row>
    <row r="102" ht="15.75" customHeight="1">
      <c r="A102" s="10" t="s">
        <v>276</v>
      </c>
      <c r="B102" s="10" t="s">
        <v>277</v>
      </c>
      <c r="C102" s="11">
        <v>0.0</v>
      </c>
      <c r="D102" s="11">
        <v>0.0</v>
      </c>
      <c r="E102" s="11">
        <v>0.0</v>
      </c>
      <c r="F102" s="11">
        <v>0.0</v>
      </c>
      <c r="G102" s="11">
        <v>0.0</v>
      </c>
      <c r="H102" s="11">
        <v>0.0</v>
      </c>
      <c r="I102" s="11">
        <v>0.0</v>
      </c>
      <c r="J102" s="11">
        <v>0.0</v>
      </c>
      <c r="K102" s="11">
        <f t="shared" si="1"/>
        <v>0</v>
      </c>
      <c r="L102" s="11">
        <f t="shared" si="2"/>
        <v>0</v>
      </c>
    </row>
    <row r="103" ht="15.75" customHeight="1">
      <c r="A103" s="10" t="s">
        <v>278</v>
      </c>
      <c r="B103" s="10" t="s">
        <v>279</v>
      </c>
      <c r="C103" s="11">
        <v>0.0</v>
      </c>
      <c r="D103" s="11">
        <v>0.0</v>
      </c>
      <c r="E103" s="11">
        <v>0.0</v>
      </c>
      <c r="F103" s="11">
        <v>0.0</v>
      </c>
      <c r="G103" s="11">
        <v>0.0</v>
      </c>
      <c r="H103" s="11">
        <v>0.0</v>
      </c>
      <c r="I103" s="11">
        <v>0.0</v>
      </c>
      <c r="J103" s="11">
        <v>0.0</v>
      </c>
      <c r="K103" s="11">
        <f t="shared" si="1"/>
        <v>0</v>
      </c>
      <c r="L103" s="11">
        <f t="shared" si="2"/>
        <v>0</v>
      </c>
    </row>
    <row r="104" ht="15.75" customHeight="1">
      <c r="A104" s="10" t="s">
        <v>280</v>
      </c>
      <c r="B104" s="10" t="s">
        <v>281</v>
      </c>
      <c r="C104" s="11">
        <v>0.0</v>
      </c>
      <c r="D104" s="11">
        <v>0.0</v>
      </c>
      <c r="E104" s="11">
        <v>0.0</v>
      </c>
      <c r="F104" s="11">
        <v>0.0</v>
      </c>
      <c r="G104" s="11">
        <v>0.0</v>
      </c>
      <c r="H104" s="11">
        <v>0.0</v>
      </c>
      <c r="I104" s="11">
        <v>0.0</v>
      </c>
      <c r="J104" s="11">
        <v>0.0</v>
      </c>
      <c r="K104" s="11">
        <f t="shared" si="1"/>
        <v>0</v>
      </c>
      <c r="L104" s="11">
        <f t="shared" si="2"/>
        <v>0</v>
      </c>
    </row>
    <row r="105" ht="15.75" customHeight="1">
      <c r="A105" s="10" t="s">
        <v>282</v>
      </c>
      <c r="B105" s="10" t="s">
        <v>283</v>
      </c>
      <c r="C105" s="11">
        <v>0.0</v>
      </c>
      <c r="D105" s="11">
        <v>0.0</v>
      </c>
      <c r="E105" s="11">
        <v>0.0</v>
      </c>
      <c r="F105" s="11">
        <v>0.0</v>
      </c>
      <c r="G105" s="11">
        <v>0.0</v>
      </c>
      <c r="H105" s="11">
        <v>0.0</v>
      </c>
      <c r="I105" s="11">
        <v>0.0</v>
      </c>
      <c r="J105" s="11">
        <v>0.0</v>
      </c>
      <c r="K105" s="11">
        <f t="shared" si="1"/>
        <v>0</v>
      </c>
      <c r="L105" s="11">
        <f t="shared" si="2"/>
        <v>0</v>
      </c>
    </row>
    <row r="106" ht="15.75" customHeight="1">
      <c r="A106" s="10" t="s">
        <v>284</v>
      </c>
      <c r="B106" s="10" t="s">
        <v>285</v>
      </c>
      <c r="C106" s="11">
        <v>0.0</v>
      </c>
      <c r="D106" s="11">
        <v>0.0</v>
      </c>
      <c r="E106" s="11">
        <v>0.0</v>
      </c>
      <c r="F106" s="11">
        <v>0.0</v>
      </c>
      <c r="G106" s="11">
        <v>0.0</v>
      </c>
      <c r="H106" s="11">
        <v>0.0</v>
      </c>
      <c r="I106" s="11">
        <v>0.0</v>
      </c>
      <c r="J106" s="11">
        <v>0.0</v>
      </c>
      <c r="K106" s="11">
        <f t="shared" si="1"/>
        <v>0</v>
      </c>
      <c r="L106" s="11">
        <f t="shared" si="2"/>
        <v>0</v>
      </c>
    </row>
    <row r="107" ht="15.75" customHeight="1">
      <c r="A107" s="10" t="s">
        <v>286</v>
      </c>
      <c r="B107" s="10" t="s">
        <v>287</v>
      </c>
      <c r="C107" s="11">
        <v>0.0</v>
      </c>
      <c r="D107" s="11">
        <v>0.0</v>
      </c>
      <c r="E107" s="11">
        <v>0.0</v>
      </c>
      <c r="F107" s="11">
        <v>0.0</v>
      </c>
      <c r="G107" s="11">
        <v>0.0</v>
      </c>
      <c r="H107" s="11">
        <v>0.0</v>
      </c>
      <c r="I107" s="11">
        <v>0.0</v>
      </c>
      <c r="J107" s="11">
        <v>0.0</v>
      </c>
      <c r="K107" s="11">
        <f t="shared" si="1"/>
        <v>0</v>
      </c>
      <c r="L107" s="11">
        <f t="shared" si="2"/>
        <v>0</v>
      </c>
    </row>
    <row r="108" ht="15.75" customHeight="1">
      <c r="A108" s="10" t="s">
        <v>288</v>
      </c>
      <c r="B108" s="10" t="s">
        <v>289</v>
      </c>
      <c r="C108" s="11">
        <v>0.0</v>
      </c>
      <c r="D108" s="11">
        <v>0.0</v>
      </c>
      <c r="E108" s="11">
        <v>0.0</v>
      </c>
      <c r="F108" s="11">
        <v>0.0</v>
      </c>
      <c r="G108" s="11">
        <v>0.0</v>
      </c>
      <c r="H108" s="11">
        <v>0.0</v>
      </c>
      <c r="I108" s="11">
        <v>0.0</v>
      </c>
      <c r="J108" s="11">
        <v>0.0</v>
      </c>
      <c r="K108" s="11">
        <f t="shared" si="1"/>
        <v>0</v>
      </c>
      <c r="L108" s="11">
        <f t="shared" si="2"/>
        <v>0</v>
      </c>
    </row>
    <row r="109" ht="15.75" customHeight="1">
      <c r="A109" s="10" t="s">
        <v>290</v>
      </c>
      <c r="B109" s="10" t="s">
        <v>291</v>
      </c>
      <c r="C109" s="11">
        <v>0.0</v>
      </c>
      <c r="D109" s="11">
        <v>0.0</v>
      </c>
      <c r="E109" s="11">
        <v>0.0</v>
      </c>
      <c r="F109" s="11">
        <v>0.0</v>
      </c>
      <c r="G109" s="11">
        <v>0.0</v>
      </c>
      <c r="H109" s="11">
        <v>0.0</v>
      </c>
      <c r="I109" s="11">
        <v>0.0</v>
      </c>
      <c r="J109" s="11">
        <v>0.0</v>
      </c>
      <c r="K109" s="11">
        <f t="shared" si="1"/>
        <v>0</v>
      </c>
      <c r="L109" s="11">
        <f t="shared" si="2"/>
        <v>0</v>
      </c>
    </row>
    <row r="110" ht="15.75" customHeight="1">
      <c r="A110" s="10" t="s">
        <v>292</v>
      </c>
      <c r="B110" s="10" t="s">
        <v>293</v>
      </c>
      <c r="C110" s="11">
        <v>0.0</v>
      </c>
      <c r="D110" s="11">
        <v>0.0</v>
      </c>
      <c r="E110" s="11">
        <v>0.0</v>
      </c>
      <c r="F110" s="11">
        <v>0.0</v>
      </c>
      <c r="G110" s="11">
        <v>0.0</v>
      </c>
      <c r="H110" s="11">
        <v>0.0</v>
      </c>
      <c r="I110" s="11">
        <v>0.0</v>
      </c>
      <c r="J110" s="11">
        <v>0.0</v>
      </c>
      <c r="K110" s="11">
        <f t="shared" si="1"/>
        <v>0</v>
      </c>
      <c r="L110" s="11">
        <f t="shared" si="2"/>
        <v>0</v>
      </c>
    </row>
    <row r="111" ht="15.75" customHeight="1">
      <c r="A111" s="10" t="s">
        <v>294</v>
      </c>
      <c r="B111" s="10" t="s">
        <v>295</v>
      </c>
      <c r="C111" s="11">
        <v>0.0</v>
      </c>
      <c r="D111" s="11">
        <v>0.0</v>
      </c>
      <c r="E111" s="11">
        <v>0.0</v>
      </c>
      <c r="F111" s="11">
        <v>0.0</v>
      </c>
      <c r="G111" s="11">
        <v>0.0</v>
      </c>
      <c r="H111" s="11">
        <v>0.0</v>
      </c>
      <c r="I111" s="11">
        <v>0.0</v>
      </c>
      <c r="J111" s="11">
        <v>0.0</v>
      </c>
      <c r="K111" s="11">
        <f t="shared" si="1"/>
        <v>0</v>
      </c>
      <c r="L111" s="11">
        <f t="shared" si="2"/>
        <v>0</v>
      </c>
    </row>
    <row r="112" ht="15.75" customHeight="1">
      <c r="A112" s="10" t="s">
        <v>296</v>
      </c>
      <c r="B112" s="10" t="s">
        <v>297</v>
      </c>
      <c r="C112" s="11">
        <v>0.0</v>
      </c>
      <c r="D112" s="11">
        <v>0.0</v>
      </c>
      <c r="E112" s="11">
        <v>0.0</v>
      </c>
      <c r="F112" s="11">
        <v>0.0</v>
      </c>
      <c r="G112" s="11">
        <v>0.0</v>
      </c>
      <c r="H112" s="11">
        <v>0.0</v>
      </c>
      <c r="I112" s="11">
        <v>0.0</v>
      </c>
      <c r="J112" s="11">
        <v>0.0</v>
      </c>
      <c r="K112" s="11">
        <f t="shared" si="1"/>
        <v>0</v>
      </c>
      <c r="L112" s="11">
        <f t="shared" si="2"/>
        <v>0</v>
      </c>
    </row>
    <row r="113" ht="15.75" customHeight="1">
      <c r="A113" s="10" t="s">
        <v>298</v>
      </c>
      <c r="B113" s="10" t="s">
        <v>299</v>
      </c>
      <c r="C113" s="11">
        <v>0.0</v>
      </c>
      <c r="D113" s="11">
        <v>0.0</v>
      </c>
      <c r="E113" s="11">
        <v>0.0</v>
      </c>
      <c r="F113" s="11">
        <v>0.0</v>
      </c>
      <c r="G113" s="11">
        <v>0.0</v>
      </c>
      <c r="H113" s="11">
        <v>0.0</v>
      </c>
      <c r="I113" s="11">
        <v>0.0</v>
      </c>
      <c r="J113" s="11">
        <v>0.0</v>
      </c>
      <c r="K113" s="11">
        <f t="shared" si="1"/>
        <v>0</v>
      </c>
      <c r="L113" s="11">
        <f t="shared" si="2"/>
        <v>0</v>
      </c>
    </row>
    <row r="114" ht="15.75" customHeight="1">
      <c r="A114" s="10" t="s">
        <v>300</v>
      </c>
      <c r="B114" s="10" t="s">
        <v>301</v>
      </c>
      <c r="C114" s="11">
        <v>0.0</v>
      </c>
      <c r="D114" s="11">
        <v>0.0</v>
      </c>
      <c r="E114" s="11">
        <v>0.0</v>
      </c>
      <c r="F114" s="11">
        <v>0.0</v>
      </c>
      <c r="G114" s="11">
        <v>0.0</v>
      </c>
      <c r="H114" s="11">
        <v>0.0</v>
      </c>
      <c r="I114" s="11">
        <v>0.0</v>
      </c>
      <c r="J114" s="11">
        <v>0.0</v>
      </c>
      <c r="K114" s="11">
        <f t="shared" si="1"/>
        <v>0</v>
      </c>
      <c r="L114" s="11">
        <f t="shared" si="2"/>
        <v>0</v>
      </c>
    </row>
    <row r="115" ht="15.75" customHeight="1">
      <c r="A115" s="10" t="s">
        <v>302</v>
      </c>
      <c r="B115" s="10" t="s">
        <v>303</v>
      </c>
      <c r="C115" s="11">
        <v>0.0</v>
      </c>
      <c r="D115" s="11">
        <v>0.0</v>
      </c>
      <c r="E115" s="11">
        <v>0.0</v>
      </c>
      <c r="F115" s="11">
        <v>0.0</v>
      </c>
      <c r="G115" s="11">
        <v>0.0</v>
      </c>
      <c r="H115" s="11">
        <v>0.0</v>
      </c>
      <c r="I115" s="11">
        <v>0.0</v>
      </c>
      <c r="J115" s="11">
        <v>0.0</v>
      </c>
      <c r="K115" s="11">
        <f t="shared" si="1"/>
        <v>0</v>
      </c>
      <c r="L115" s="11">
        <f t="shared" si="2"/>
        <v>0</v>
      </c>
    </row>
    <row r="116" ht="15.75" customHeight="1">
      <c r="A116" s="10" t="s">
        <v>304</v>
      </c>
      <c r="B116" s="10" t="s">
        <v>305</v>
      </c>
      <c r="C116" s="11">
        <v>0.0</v>
      </c>
      <c r="D116" s="11">
        <v>0.0</v>
      </c>
      <c r="E116" s="11">
        <v>0.0</v>
      </c>
      <c r="F116" s="11">
        <v>0.0</v>
      </c>
      <c r="G116" s="11">
        <v>0.0</v>
      </c>
      <c r="H116" s="11">
        <v>0.0</v>
      </c>
      <c r="I116" s="11">
        <v>0.0</v>
      </c>
      <c r="J116" s="11">
        <v>0.0</v>
      </c>
      <c r="K116" s="11">
        <f t="shared" si="1"/>
        <v>0</v>
      </c>
      <c r="L116" s="11">
        <f t="shared" si="2"/>
        <v>0</v>
      </c>
    </row>
    <row r="117" ht="15.75" customHeight="1">
      <c r="A117" s="10" t="s">
        <v>306</v>
      </c>
      <c r="B117" s="10" t="s">
        <v>307</v>
      </c>
      <c r="C117" s="11">
        <v>0.0</v>
      </c>
      <c r="D117" s="11">
        <v>0.0</v>
      </c>
      <c r="E117" s="11">
        <v>0.0</v>
      </c>
      <c r="F117" s="11">
        <v>0.0</v>
      </c>
      <c r="G117" s="11">
        <v>0.0</v>
      </c>
      <c r="H117" s="11">
        <v>0.0</v>
      </c>
      <c r="I117" s="11">
        <v>0.0</v>
      </c>
      <c r="J117" s="11">
        <v>0.0</v>
      </c>
      <c r="K117" s="11">
        <f t="shared" si="1"/>
        <v>0</v>
      </c>
      <c r="L117" s="11">
        <f t="shared" si="2"/>
        <v>0</v>
      </c>
    </row>
    <row r="118" ht="15.75" customHeight="1">
      <c r="A118" s="10" t="s">
        <v>308</v>
      </c>
      <c r="B118" s="10" t="s">
        <v>309</v>
      </c>
      <c r="C118" s="11">
        <v>0.0</v>
      </c>
      <c r="D118" s="11">
        <v>0.0</v>
      </c>
      <c r="E118" s="11">
        <v>0.0</v>
      </c>
      <c r="F118" s="11">
        <v>0.0</v>
      </c>
      <c r="G118" s="11">
        <v>0.0</v>
      </c>
      <c r="H118" s="11">
        <v>0.0</v>
      </c>
      <c r="I118" s="11">
        <v>0.0</v>
      </c>
      <c r="J118" s="11">
        <v>0.0</v>
      </c>
      <c r="K118" s="11">
        <f t="shared" si="1"/>
        <v>0</v>
      </c>
      <c r="L118" s="11">
        <f t="shared" si="2"/>
        <v>0</v>
      </c>
    </row>
    <row r="119" ht="15.75" customHeight="1">
      <c r="A119" s="10" t="s">
        <v>310</v>
      </c>
      <c r="B119" s="10" t="s">
        <v>311</v>
      </c>
      <c r="C119" s="11">
        <v>0.0</v>
      </c>
      <c r="D119" s="11">
        <v>0.0</v>
      </c>
      <c r="E119" s="11">
        <v>0.0</v>
      </c>
      <c r="F119" s="11">
        <v>0.0</v>
      </c>
      <c r="G119" s="11">
        <v>0.0</v>
      </c>
      <c r="H119" s="11">
        <v>0.0</v>
      </c>
      <c r="I119" s="11">
        <v>0.0</v>
      </c>
      <c r="J119" s="11">
        <v>0.0</v>
      </c>
      <c r="K119" s="11">
        <f t="shared" si="1"/>
        <v>0</v>
      </c>
      <c r="L119" s="11">
        <f t="shared" si="2"/>
        <v>0</v>
      </c>
    </row>
    <row r="120" ht="15.75" customHeight="1">
      <c r="A120" s="10" t="s">
        <v>312</v>
      </c>
      <c r="B120" s="10" t="s">
        <v>313</v>
      </c>
      <c r="C120" s="11">
        <v>0.0</v>
      </c>
      <c r="D120" s="11">
        <v>0.0</v>
      </c>
      <c r="E120" s="11">
        <v>0.0</v>
      </c>
      <c r="F120" s="11">
        <v>0.0</v>
      </c>
      <c r="G120" s="11">
        <v>0.0</v>
      </c>
      <c r="H120" s="11">
        <v>0.0</v>
      </c>
      <c r="I120" s="11">
        <v>0.0</v>
      </c>
      <c r="J120" s="11">
        <v>0.0</v>
      </c>
      <c r="K120" s="11">
        <f t="shared" si="1"/>
        <v>0</v>
      </c>
      <c r="L120" s="11">
        <f t="shared" si="2"/>
        <v>0</v>
      </c>
    </row>
    <row r="121" ht="15.75" customHeight="1">
      <c r="A121" s="10" t="s">
        <v>314</v>
      </c>
      <c r="B121" s="10" t="s">
        <v>315</v>
      </c>
      <c r="C121" s="11">
        <v>0.0</v>
      </c>
      <c r="D121" s="11">
        <v>0.0</v>
      </c>
      <c r="E121" s="11">
        <v>0.0</v>
      </c>
      <c r="F121" s="11">
        <v>0.0</v>
      </c>
      <c r="G121" s="11">
        <v>0.0</v>
      </c>
      <c r="H121" s="11">
        <v>0.0</v>
      </c>
      <c r="I121" s="11">
        <v>0.0</v>
      </c>
      <c r="J121" s="11">
        <v>0.0</v>
      </c>
      <c r="K121" s="11">
        <f t="shared" si="1"/>
        <v>0</v>
      </c>
      <c r="L121" s="11">
        <f t="shared" si="2"/>
        <v>0</v>
      </c>
    </row>
    <row r="122" ht="15.75" customHeight="1">
      <c r="A122" s="10" t="s">
        <v>316</v>
      </c>
      <c r="B122" s="10" t="s">
        <v>317</v>
      </c>
      <c r="C122" s="11">
        <v>0.0</v>
      </c>
      <c r="D122" s="11">
        <v>0.0</v>
      </c>
      <c r="E122" s="11">
        <v>0.0</v>
      </c>
      <c r="F122" s="11">
        <v>0.0</v>
      </c>
      <c r="G122" s="11">
        <v>0.0</v>
      </c>
      <c r="H122" s="11">
        <v>0.0</v>
      </c>
      <c r="I122" s="11">
        <v>0.0</v>
      </c>
      <c r="J122" s="11">
        <v>0.0</v>
      </c>
      <c r="K122" s="11">
        <f t="shared" si="1"/>
        <v>0</v>
      </c>
      <c r="L122" s="11">
        <f t="shared" si="2"/>
        <v>0</v>
      </c>
    </row>
    <row r="123" ht="15.75" customHeight="1">
      <c r="A123" s="10" t="s">
        <v>318</v>
      </c>
      <c r="B123" s="10" t="s">
        <v>319</v>
      </c>
      <c r="C123" s="11">
        <v>0.0</v>
      </c>
      <c r="D123" s="11">
        <v>0.0</v>
      </c>
      <c r="E123" s="11">
        <v>0.0</v>
      </c>
      <c r="F123" s="11">
        <v>0.0</v>
      </c>
      <c r="G123" s="11">
        <v>0.0</v>
      </c>
      <c r="H123" s="11">
        <v>0.0</v>
      </c>
      <c r="I123" s="11">
        <v>0.0</v>
      </c>
      <c r="J123" s="11">
        <v>0.0</v>
      </c>
      <c r="K123" s="11">
        <f t="shared" si="1"/>
        <v>0</v>
      </c>
      <c r="L123" s="11">
        <f t="shared" si="2"/>
        <v>0</v>
      </c>
    </row>
    <row r="124" ht="15.75" customHeight="1">
      <c r="A124" s="10" t="s">
        <v>320</v>
      </c>
      <c r="B124" s="10" t="s">
        <v>321</v>
      </c>
      <c r="C124" s="11">
        <v>0.0</v>
      </c>
      <c r="D124" s="11">
        <v>0.0</v>
      </c>
      <c r="E124" s="11">
        <v>0.0</v>
      </c>
      <c r="F124" s="11">
        <v>0.0</v>
      </c>
      <c r="G124" s="11">
        <v>0.0</v>
      </c>
      <c r="H124" s="11">
        <v>0.0</v>
      </c>
      <c r="I124" s="11">
        <v>0.0</v>
      </c>
      <c r="J124" s="11">
        <v>0.0</v>
      </c>
      <c r="K124" s="11">
        <f t="shared" si="1"/>
        <v>0</v>
      </c>
      <c r="L124" s="11">
        <f t="shared" si="2"/>
        <v>0</v>
      </c>
    </row>
    <row r="125" ht="15.75" customHeight="1">
      <c r="A125" s="10" t="s">
        <v>322</v>
      </c>
      <c r="B125" s="10" t="s">
        <v>323</v>
      </c>
      <c r="C125" s="11">
        <v>0.0</v>
      </c>
      <c r="D125" s="11">
        <v>0.0</v>
      </c>
      <c r="E125" s="11">
        <v>0.0</v>
      </c>
      <c r="F125" s="11">
        <v>0.0</v>
      </c>
      <c r="G125" s="11">
        <v>0.0</v>
      </c>
      <c r="H125" s="11">
        <v>0.0</v>
      </c>
      <c r="I125" s="11">
        <v>0.0</v>
      </c>
      <c r="J125" s="11">
        <v>0.0</v>
      </c>
      <c r="K125" s="11">
        <f t="shared" si="1"/>
        <v>0</v>
      </c>
      <c r="L125" s="11">
        <f t="shared" si="2"/>
        <v>0</v>
      </c>
    </row>
    <row r="126" ht="15.75" customHeight="1">
      <c r="A126" s="10" t="s">
        <v>324</v>
      </c>
      <c r="B126" s="10" t="s">
        <v>325</v>
      </c>
      <c r="C126" s="11">
        <v>0.0</v>
      </c>
      <c r="D126" s="11">
        <v>0.0</v>
      </c>
      <c r="E126" s="11">
        <v>0.0</v>
      </c>
      <c r="F126" s="11">
        <v>0.0</v>
      </c>
      <c r="G126" s="11">
        <v>0.0</v>
      </c>
      <c r="H126" s="11">
        <v>0.0</v>
      </c>
      <c r="I126" s="11">
        <v>0.0</v>
      </c>
      <c r="J126" s="11">
        <v>0.0</v>
      </c>
      <c r="K126" s="11">
        <f t="shared" si="1"/>
        <v>0</v>
      </c>
      <c r="L126" s="11">
        <f t="shared" si="2"/>
        <v>0</v>
      </c>
    </row>
    <row r="127" ht="15.75" customHeight="1">
      <c r="A127" s="10" t="s">
        <v>326</v>
      </c>
      <c r="B127" s="10" t="s">
        <v>327</v>
      </c>
      <c r="C127" s="11">
        <v>0.0</v>
      </c>
      <c r="D127" s="11">
        <v>0.0</v>
      </c>
      <c r="E127" s="11">
        <v>0.0</v>
      </c>
      <c r="F127" s="11">
        <v>0.0</v>
      </c>
      <c r="G127" s="11">
        <v>0.0</v>
      </c>
      <c r="H127" s="11">
        <v>0.0</v>
      </c>
      <c r="I127" s="11">
        <v>0.0</v>
      </c>
      <c r="J127" s="11">
        <v>0.0</v>
      </c>
      <c r="K127" s="11">
        <f t="shared" si="1"/>
        <v>0</v>
      </c>
      <c r="L127" s="11">
        <f t="shared" si="2"/>
        <v>0</v>
      </c>
    </row>
    <row r="128" ht="15.75" customHeight="1">
      <c r="A128" s="10" t="s">
        <v>328</v>
      </c>
      <c r="B128" s="10" t="s">
        <v>329</v>
      </c>
      <c r="C128" s="11">
        <v>0.0</v>
      </c>
      <c r="D128" s="11">
        <v>0.0</v>
      </c>
      <c r="E128" s="11">
        <v>0.0</v>
      </c>
      <c r="F128" s="11">
        <v>0.0</v>
      </c>
      <c r="G128" s="11">
        <v>0.0</v>
      </c>
      <c r="H128" s="11">
        <v>0.0</v>
      </c>
      <c r="I128" s="11">
        <v>0.0</v>
      </c>
      <c r="J128" s="11">
        <v>0.0</v>
      </c>
      <c r="K128" s="11">
        <f t="shared" si="1"/>
        <v>0</v>
      </c>
      <c r="L128" s="11">
        <f t="shared" si="2"/>
        <v>0</v>
      </c>
    </row>
    <row r="129" ht="15.75" customHeight="1">
      <c r="A129" s="10" t="s">
        <v>330</v>
      </c>
      <c r="B129" s="10" t="s">
        <v>331</v>
      </c>
      <c r="C129" s="11">
        <v>0.0</v>
      </c>
      <c r="D129" s="11">
        <v>0.0</v>
      </c>
      <c r="E129" s="11">
        <v>0.0</v>
      </c>
      <c r="F129" s="11">
        <v>0.0</v>
      </c>
      <c r="G129" s="11">
        <v>0.0</v>
      </c>
      <c r="H129" s="11">
        <v>0.0</v>
      </c>
      <c r="I129" s="11">
        <v>0.0</v>
      </c>
      <c r="J129" s="11">
        <v>0.0</v>
      </c>
      <c r="K129" s="11">
        <f t="shared" si="1"/>
        <v>0</v>
      </c>
      <c r="L129" s="11">
        <f t="shared" si="2"/>
        <v>0</v>
      </c>
    </row>
    <row r="130" ht="15.75" customHeight="1">
      <c r="A130" s="10" t="s">
        <v>333</v>
      </c>
      <c r="B130" s="10" t="s">
        <v>334</v>
      </c>
      <c r="C130" s="11">
        <v>0.0</v>
      </c>
      <c r="D130" s="11">
        <v>0.0</v>
      </c>
      <c r="E130" s="11">
        <v>0.0</v>
      </c>
      <c r="F130" s="11">
        <v>0.0</v>
      </c>
      <c r="G130" s="11">
        <v>0.0</v>
      </c>
      <c r="H130" s="11">
        <v>0.0</v>
      </c>
      <c r="I130" s="11">
        <v>0.0</v>
      </c>
      <c r="J130" s="11">
        <v>0.0</v>
      </c>
      <c r="K130" s="11">
        <f t="shared" si="1"/>
        <v>0</v>
      </c>
      <c r="L130" s="11">
        <f t="shared" si="2"/>
        <v>0</v>
      </c>
    </row>
    <row r="131" ht="15.75" customHeight="1">
      <c r="A131" s="10" t="s">
        <v>335</v>
      </c>
      <c r="B131" s="10" t="s">
        <v>337</v>
      </c>
      <c r="C131" s="11">
        <v>0.0</v>
      </c>
      <c r="D131" s="11">
        <v>0.0</v>
      </c>
      <c r="E131" s="11">
        <v>0.0</v>
      </c>
      <c r="F131" s="11">
        <v>0.0</v>
      </c>
      <c r="G131" s="11">
        <v>0.0</v>
      </c>
      <c r="H131" s="11">
        <v>0.0</v>
      </c>
      <c r="I131" s="11">
        <v>0.0</v>
      </c>
      <c r="J131" s="11">
        <v>0.0</v>
      </c>
      <c r="K131" s="11">
        <f t="shared" si="1"/>
        <v>0</v>
      </c>
      <c r="L131" s="11">
        <f t="shared" si="2"/>
        <v>0</v>
      </c>
    </row>
    <row r="132" ht="15.75" customHeight="1">
      <c r="A132" s="10" t="s">
        <v>338</v>
      </c>
      <c r="B132" s="10" t="s">
        <v>339</v>
      </c>
      <c r="C132" s="11">
        <v>0.0</v>
      </c>
      <c r="D132" s="11">
        <v>0.0</v>
      </c>
      <c r="E132" s="11">
        <v>0.0</v>
      </c>
      <c r="F132" s="11">
        <v>0.0</v>
      </c>
      <c r="G132" s="11">
        <v>0.0</v>
      </c>
      <c r="H132" s="11">
        <v>0.0</v>
      </c>
      <c r="I132" s="11">
        <v>0.0</v>
      </c>
      <c r="J132" s="11">
        <v>0.0</v>
      </c>
      <c r="K132" s="11">
        <f t="shared" si="1"/>
        <v>0</v>
      </c>
      <c r="L132" s="11">
        <f t="shared" si="2"/>
        <v>0</v>
      </c>
    </row>
    <row r="133" ht="15.75" customHeight="1">
      <c r="A133" s="10" t="s">
        <v>340</v>
      </c>
      <c r="B133" s="10" t="s">
        <v>341</v>
      </c>
      <c r="C133" s="11">
        <v>0.0</v>
      </c>
      <c r="D133" s="11">
        <v>0.0</v>
      </c>
      <c r="E133" s="11">
        <v>0.0</v>
      </c>
      <c r="F133" s="11">
        <v>0.0</v>
      </c>
      <c r="G133" s="11">
        <v>0.0</v>
      </c>
      <c r="H133" s="11">
        <v>0.0</v>
      </c>
      <c r="I133" s="11">
        <v>0.0</v>
      </c>
      <c r="J133" s="11">
        <v>0.0</v>
      </c>
      <c r="K133" s="11">
        <f t="shared" si="1"/>
        <v>0</v>
      </c>
      <c r="L133" s="11">
        <f t="shared" si="2"/>
        <v>0</v>
      </c>
    </row>
    <row r="134" ht="15.75" customHeight="1">
      <c r="A134" s="10" t="s">
        <v>342</v>
      </c>
      <c r="B134" s="10" t="s">
        <v>343</v>
      </c>
      <c r="C134" s="11">
        <v>0.0</v>
      </c>
      <c r="D134" s="11">
        <v>0.0</v>
      </c>
      <c r="E134" s="11">
        <v>0.0</v>
      </c>
      <c r="F134" s="11">
        <v>0.0</v>
      </c>
      <c r="G134" s="11">
        <v>0.0</v>
      </c>
      <c r="H134" s="11">
        <v>0.0</v>
      </c>
      <c r="I134" s="11">
        <v>0.0</v>
      </c>
      <c r="J134" s="11">
        <v>0.0</v>
      </c>
      <c r="K134" s="11">
        <f t="shared" si="1"/>
        <v>0</v>
      </c>
      <c r="L134" s="11">
        <f t="shared" si="2"/>
        <v>0</v>
      </c>
    </row>
    <row r="135" ht="15.75" customHeight="1">
      <c r="A135" s="10" t="s">
        <v>344</v>
      </c>
      <c r="B135" s="10" t="s">
        <v>345</v>
      </c>
      <c r="C135" s="11">
        <v>0.0</v>
      </c>
      <c r="D135" s="11">
        <v>0.0</v>
      </c>
      <c r="E135" s="11">
        <v>0.0</v>
      </c>
      <c r="F135" s="11">
        <v>0.0</v>
      </c>
      <c r="G135" s="11">
        <v>0.0</v>
      </c>
      <c r="H135" s="11">
        <v>0.0</v>
      </c>
      <c r="I135" s="11">
        <v>0.0</v>
      </c>
      <c r="J135" s="11">
        <v>0.0</v>
      </c>
      <c r="K135" s="11">
        <f t="shared" si="1"/>
        <v>0</v>
      </c>
      <c r="L135" s="11">
        <f t="shared" si="2"/>
        <v>0</v>
      </c>
    </row>
    <row r="136" ht="15.75" customHeight="1">
      <c r="A136" s="10" t="s">
        <v>346</v>
      </c>
      <c r="B136" s="10" t="s">
        <v>347</v>
      </c>
      <c r="C136" s="11">
        <v>0.0</v>
      </c>
      <c r="D136" s="11">
        <v>0.0</v>
      </c>
      <c r="E136" s="11">
        <v>0.0</v>
      </c>
      <c r="F136" s="11">
        <v>0.0</v>
      </c>
      <c r="G136" s="11">
        <v>0.0</v>
      </c>
      <c r="H136" s="11">
        <v>0.0</v>
      </c>
      <c r="I136" s="11">
        <v>0.0</v>
      </c>
      <c r="J136" s="11">
        <v>0.0</v>
      </c>
      <c r="K136" s="11">
        <f t="shared" si="1"/>
        <v>0</v>
      </c>
      <c r="L136" s="11">
        <f t="shared" si="2"/>
        <v>0</v>
      </c>
    </row>
    <row r="137" ht="15.75" customHeight="1">
      <c r="A137" s="10" t="s">
        <v>348</v>
      </c>
      <c r="B137" s="10" t="s">
        <v>349</v>
      </c>
      <c r="C137" s="11">
        <v>0.0</v>
      </c>
      <c r="D137" s="11">
        <v>0.0</v>
      </c>
      <c r="E137" s="11">
        <v>0.0</v>
      </c>
      <c r="F137" s="11">
        <v>0.0</v>
      </c>
      <c r="G137" s="11">
        <v>0.0</v>
      </c>
      <c r="H137" s="11">
        <v>0.0</v>
      </c>
      <c r="I137" s="11">
        <v>0.0</v>
      </c>
      <c r="J137" s="11">
        <v>0.0</v>
      </c>
      <c r="K137" s="11">
        <f t="shared" si="1"/>
        <v>0</v>
      </c>
      <c r="L137" s="11">
        <f t="shared" si="2"/>
        <v>0</v>
      </c>
    </row>
    <row r="138" ht="15.75" customHeight="1">
      <c r="A138" s="10" t="s">
        <v>350</v>
      </c>
      <c r="B138" s="10" t="s">
        <v>351</v>
      </c>
      <c r="C138" s="11">
        <v>0.0</v>
      </c>
      <c r="D138" s="11">
        <v>0.0</v>
      </c>
      <c r="E138" s="11">
        <v>0.0</v>
      </c>
      <c r="F138" s="11">
        <v>0.0</v>
      </c>
      <c r="G138" s="11">
        <v>0.0</v>
      </c>
      <c r="H138" s="11">
        <v>0.0</v>
      </c>
      <c r="I138" s="11">
        <v>0.0</v>
      </c>
      <c r="J138" s="11">
        <v>0.0</v>
      </c>
      <c r="K138" s="11">
        <f t="shared" si="1"/>
        <v>0</v>
      </c>
      <c r="L138" s="11">
        <f t="shared" si="2"/>
        <v>0</v>
      </c>
    </row>
    <row r="139" ht="15.75" customHeight="1">
      <c r="A139" s="10" t="s">
        <v>352</v>
      </c>
      <c r="B139" s="10" t="s">
        <v>353</v>
      </c>
      <c r="C139" s="11">
        <v>0.0</v>
      </c>
      <c r="D139" s="11">
        <v>0.0</v>
      </c>
      <c r="E139" s="11">
        <v>0.0</v>
      </c>
      <c r="F139" s="11">
        <v>0.0</v>
      </c>
      <c r="G139" s="11">
        <v>0.0</v>
      </c>
      <c r="H139" s="11">
        <v>0.0</v>
      </c>
      <c r="I139" s="11">
        <v>0.0</v>
      </c>
      <c r="J139" s="11">
        <v>0.0</v>
      </c>
      <c r="K139" s="11">
        <f t="shared" si="1"/>
        <v>0</v>
      </c>
      <c r="L139" s="11">
        <f t="shared" si="2"/>
        <v>0</v>
      </c>
    </row>
    <row r="140" ht="15.75" customHeight="1">
      <c r="A140" s="10" t="s">
        <v>354</v>
      </c>
      <c r="B140" s="10" t="s">
        <v>355</v>
      </c>
      <c r="C140" s="11">
        <v>0.0</v>
      </c>
      <c r="D140" s="11">
        <v>0.0</v>
      </c>
      <c r="E140" s="11">
        <v>0.0</v>
      </c>
      <c r="F140" s="11">
        <v>0.0</v>
      </c>
      <c r="G140" s="11">
        <v>0.0</v>
      </c>
      <c r="H140" s="11">
        <v>0.0</v>
      </c>
      <c r="I140" s="11">
        <v>0.0</v>
      </c>
      <c r="J140" s="11">
        <v>0.0</v>
      </c>
      <c r="K140" s="11">
        <f t="shared" si="1"/>
        <v>0</v>
      </c>
      <c r="L140" s="11">
        <f t="shared" si="2"/>
        <v>0</v>
      </c>
    </row>
    <row r="141" ht="15.75" customHeight="1">
      <c r="A141" s="10" t="s">
        <v>356</v>
      </c>
      <c r="B141" s="10" t="s">
        <v>357</v>
      </c>
      <c r="C141" s="11">
        <v>0.0</v>
      </c>
      <c r="D141" s="11">
        <v>0.0</v>
      </c>
      <c r="E141" s="11">
        <v>0.0</v>
      </c>
      <c r="F141" s="11">
        <v>0.0</v>
      </c>
      <c r="G141" s="11">
        <v>0.0</v>
      </c>
      <c r="H141" s="11">
        <v>0.0</v>
      </c>
      <c r="I141" s="11">
        <v>0.0</v>
      </c>
      <c r="J141" s="11">
        <v>0.0</v>
      </c>
      <c r="K141" s="11">
        <f t="shared" si="1"/>
        <v>0</v>
      </c>
      <c r="L141" s="11">
        <f t="shared" si="2"/>
        <v>0</v>
      </c>
    </row>
    <row r="142" ht="15.75" customHeight="1">
      <c r="A142" s="10" t="s">
        <v>358</v>
      </c>
      <c r="B142" s="10" t="s">
        <v>359</v>
      </c>
      <c r="C142" s="11">
        <v>0.0</v>
      </c>
      <c r="D142" s="11">
        <v>0.0</v>
      </c>
      <c r="E142" s="11">
        <v>0.0</v>
      </c>
      <c r="F142" s="11">
        <v>0.0</v>
      </c>
      <c r="G142" s="11">
        <v>0.0</v>
      </c>
      <c r="H142" s="11">
        <v>0.0</v>
      </c>
      <c r="I142" s="11">
        <v>0.0</v>
      </c>
      <c r="J142" s="11">
        <v>49995.0</v>
      </c>
      <c r="K142" s="11">
        <f t="shared" si="1"/>
        <v>49995</v>
      </c>
      <c r="L142" s="11">
        <f t="shared" si="2"/>
        <v>12498.75</v>
      </c>
    </row>
    <row r="143" ht="15.75" customHeight="1">
      <c r="A143" s="10" t="s">
        <v>360</v>
      </c>
      <c r="B143" s="10" t="s">
        <v>361</v>
      </c>
      <c r="C143" s="11">
        <v>0.0</v>
      </c>
      <c r="D143" s="11">
        <v>0.0</v>
      </c>
      <c r="E143" s="11">
        <v>0.0</v>
      </c>
      <c r="F143" s="11">
        <v>0.0</v>
      </c>
      <c r="G143" s="11">
        <v>0.0</v>
      </c>
      <c r="H143" s="11">
        <v>0.0</v>
      </c>
      <c r="I143" s="11">
        <v>0.0</v>
      </c>
      <c r="J143" s="11">
        <v>0.0</v>
      </c>
      <c r="K143" s="11">
        <f t="shared" si="1"/>
        <v>0</v>
      </c>
      <c r="L143" s="11">
        <f t="shared" si="2"/>
        <v>0</v>
      </c>
    </row>
    <row r="144" ht="15.75" customHeight="1">
      <c r="A144" s="10" t="s">
        <v>362</v>
      </c>
      <c r="B144" s="10" t="s">
        <v>363</v>
      </c>
      <c r="C144" s="11">
        <v>0.0</v>
      </c>
      <c r="D144" s="11">
        <v>0.0</v>
      </c>
      <c r="E144" s="11">
        <v>0.0</v>
      </c>
      <c r="F144" s="11">
        <v>0.0</v>
      </c>
      <c r="G144" s="11">
        <v>0.0</v>
      </c>
      <c r="H144" s="11">
        <v>0.0</v>
      </c>
      <c r="I144" s="11">
        <v>0.0</v>
      </c>
      <c r="J144" s="11">
        <v>0.0</v>
      </c>
      <c r="K144" s="11">
        <f t="shared" si="1"/>
        <v>0</v>
      </c>
      <c r="L144" s="11">
        <f t="shared" si="2"/>
        <v>0</v>
      </c>
    </row>
    <row r="145" ht="15.75" customHeight="1">
      <c r="A145" s="10" t="s">
        <v>364</v>
      </c>
      <c r="B145" s="10" t="s">
        <v>365</v>
      </c>
      <c r="C145" s="11">
        <v>0.0</v>
      </c>
      <c r="D145" s="11">
        <v>0.0</v>
      </c>
      <c r="E145" s="11">
        <v>0.0</v>
      </c>
      <c r="F145" s="11">
        <v>0.0</v>
      </c>
      <c r="G145" s="11">
        <v>0.0</v>
      </c>
      <c r="H145" s="11">
        <v>0.0</v>
      </c>
      <c r="I145" s="11">
        <v>0.0</v>
      </c>
      <c r="J145" s="11">
        <v>0.0</v>
      </c>
      <c r="K145" s="11">
        <f t="shared" si="1"/>
        <v>0</v>
      </c>
      <c r="L145" s="11">
        <f t="shared" si="2"/>
        <v>0</v>
      </c>
    </row>
    <row r="146" ht="15.75" customHeight="1">
      <c r="A146" s="10" t="s">
        <v>366</v>
      </c>
      <c r="B146" s="10" t="s">
        <v>367</v>
      </c>
      <c r="C146" s="11">
        <v>0.0</v>
      </c>
      <c r="D146" s="11">
        <v>0.0</v>
      </c>
      <c r="E146" s="11">
        <v>0.0</v>
      </c>
      <c r="F146" s="11">
        <v>0.0</v>
      </c>
      <c r="G146" s="11">
        <v>0.0</v>
      </c>
      <c r="H146" s="11">
        <v>0.0</v>
      </c>
      <c r="I146" s="11">
        <v>0.0</v>
      </c>
      <c r="J146" s="11">
        <v>0.0</v>
      </c>
      <c r="K146" s="11">
        <f t="shared" si="1"/>
        <v>0</v>
      </c>
      <c r="L146" s="11">
        <f t="shared" si="2"/>
        <v>0</v>
      </c>
    </row>
    <row r="147" ht="15.75" customHeight="1">
      <c r="A147" s="10" t="s">
        <v>368</v>
      </c>
      <c r="B147" s="10" t="s">
        <v>369</v>
      </c>
      <c r="C147" s="11">
        <v>0.0</v>
      </c>
      <c r="D147" s="11">
        <v>0.0</v>
      </c>
      <c r="E147" s="11">
        <v>0.0</v>
      </c>
      <c r="F147" s="11">
        <v>0.0</v>
      </c>
      <c r="G147" s="11">
        <v>0.0</v>
      </c>
      <c r="H147" s="11">
        <v>0.0</v>
      </c>
      <c r="I147" s="11">
        <v>0.0</v>
      </c>
      <c r="J147" s="11">
        <v>0.0</v>
      </c>
      <c r="K147" s="11">
        <f t="shared" si="1"/>
        <v>0</v>
      </c>
      <c r="L147" s="11">
        <f t="shared" si="2"/>
        <v>0</v>
      </c>
    </row>
    <row r="148" ht="15.75" customHeight="1">
      <c r="A148" s="10" t="s">
        <v>370</v>
      </c>
      <c r="B148" s="10" t="s">
        <v>371</v>
      </c>
      <c r="C148" s="11">
        <v>0.0</v>
      </c>
      <c r="D148" s="11">
        <v>0.0</v>
      </c>
      <c r="E148" s="11">
        <v>0.0</v>
      </c>
      <c r="F148" s="11">
        <v>0.0</v>
      </c>
      <c r="G148" s="11">
        <v>0.0</v>
      </c>
      <c r="H148" s="11">
        <v>0.0</v>
      </c>
      <c r="I148" s="11">
        <v>0.0</v>
      </c>
      <c r="J148" s="11">
        <v>0.0</v>
      </c>
      <c r="K148" s="11">
        <f t="shared" si="1"/>
        <v>0</v>
      </c>
      <c r="L148" s="11">
        <f t="shared" si="2"/>
        <v>0</v>
      </c>
    </row>
    <row r="149" ht="15.75" customHeight="1">
      <c r="A149" s="10" t="s">
        <v>372</v>
      </c>
      <c r="B149" s="10" t="s">
        <v>373</v>
      </c>
      <c r="C149" s="11">
        <v>0.0</v>
      </c>
      <c r="D149" s="11">
        <v>0.0</v>
      </c>
      <c r="E149" s="11">
        <v>0.0</v>
      </c>
      <c r="F149" s="11">
        <v>0.0</v>
      </c>
      <c r="G149" s="11">
        <v>0.0</v>
      </c>
      <c r="H149" s="11">
        <v>0.0</v>
      </c>
      <c r="I149" s="11">
        <v>0.0</v>
      </c>
      <c r="J149" s="11">
        <v>0.0</v>
      </c>
      <c r="K149" s="11">
        <f t="shared" si="1"/>
        <v>0</v>
      </c>
      <c r="L149" s="11">
        <f t="shared" si="2"/>
        <v>0</v>
      </c>
    </row>
    <row r="150" ht="15.75" customHeight="1">
      <c r="A150" s="10" t="s">
        <v>374</v>
      </c>
      <c r="B150" s="10" t="s">
        <v>375</v>
      </c>
      <c r="C150" s="11">
        <v>0.0</v>
      </c>
      <c r="D150" s="11">
        <v>0.0</v>
      </c>
      <c r="E150" s="11">
        <v>0.0</v>
      </c>
      <c r="F150" s="11">
        <v>0.0</v>
      </c>
      <c r="G150" s="11">
        <v>0.0</v>
      </c>
      <c r="H150" s="11">
        <v>0.0</v>
      </c>
      <c r="I150" s="11">
        <v>0.0</v>
      </c>
      <c r="J150" s="11">
        <v>0.0</v>
      </c>
      <c r="K150" s="11">
        <f t="shared" si="1"/>
        <v>0</v>
      </c>
      <c r="L150" s="11">
        <f t="shared" si="2"/>
        <v>0</v>
      </c>
    </row>
    <row r="151" ht="15.75" customHeight="1">
      <c r="A151" s="10" t="s">
        <v>376</v>
      </c>
      <c r="B151" s="10" t="s">
        <v>377</v>
      </c>
      <c r="C151" s="11">
        <v>0.0</v>
      </c>
      <c r="D151" s="11">
        <v>0.0</v>
      </c>
      <c r="E151" s="11">
        <v>0.0</v>
      </c>
      <c r="F151" s="11">
        <v>0.0</v>
      </c>
      <c r="G151" s="11">
        <v>0.0</v>
      </c>
      <c r="H151" s="11">
        <v>0.0</v>
      </c>
      <c r="I151" s="11">
        <v>0.0</v>
      </c>
      <c r="J151" s="11">
        <v>0.0</v>
      </c>
      <c r="K151" s="11">
        <f t="shared" si="1"/>
        <v>0</v>
      </c>
      <c r="L151" s="11">
        <f t="shared" si="2"/>
        <v>0</v>
      </c>
    </row>
    <row r="152" ht="15.75" customHeight="1">
      <c r="A152" s="10" t="s">
        <v>378</v>
      </c>
      <c r="B152" s="10" t="s">
        <v>379</v>
      </c>
      <c r="C152" s="11">
        <v>0.0</v>
      </c>
      <c r="D152" s="11">
        <v>0.0</v>
      </c>
      <c r="E152" s="11">
        <v>0.0</v>
      </c>
      <c r="F152" s="11">
        <v>0.0</v>
      </c>
      <c r="G152" s="11">
        <v>0.0</v>
      </c>
      <c r="H152" s="11">
        <v>0.0</v>
      </c>
      <c r="I152" s="11">
        <v>0.0</v>
      </c>
      <c r="J152" s="11">
        <v>0.0</v>
      </c>
      <c r="K152" s="11">
        <f t="shared" si="1"/>
        <v>0</v>
      </c>
      <c r="L152" s="11">
        <f t="shared" si="2"/>
        <v>0</v>
      </c>
    </row>
    <row r="153" ht="15.75" customHeight="1">
      <c r="A153" s="10" t="s">
        <v>380</v>
      </c>
      <c r="B153" s="10" t="s">
        <v>381</v>
      </c>
      <c r="C153" s="11">
        <v>0.0</v>
      </c>
      <c r="D153" s="11">
        <v>0.0</v>
      </c>
      <c r="E153" s="11">
        <v>0.0</v>
      </c>
      <c r="F153" s="11">
        <v>0.0</v>
      </c>
      <c r="G153" s="11">
        <v>0.0</v>
      </c>
      <c r="H153" s="11">
        <v>0.0</v>
      </c>
      <c r="I153" s="11">
        <v>0.0</v>
      </c>
      <c r="J153" s="11">
        <v>0.0</v>
      </c>
      <c r="K153" s="11">
        <f t="shared" si="1"/>
        <v>0</v>
      </c>
      <c r="L153" s="11">
        <f t="shared" si="2"/>
        <v>0</v>
      </c>
    </row>
    <row r="154" ht="15.75" customHeight="1">
      <c r="A154" s="10" t="s">
        <v>382</v>
      </c>
      <c r="B154" s="10" t="s">
        <v>383</v>
      </c>
      <c r="C154" s="11">
        <v>0.0</v>
      </c>
      <c r="D154" s="11">
        <v>0.0</v>
      </c>
      <c r="E154" s="11">
        <v>0.0</v>
      </c>
      <c r="F154" s="11">
        <v>0.0</v>
      </c>
      <c r="G154" s="11">
        <v>0.0</v>
      </c>
      <c r="H154" s="11">
        <v>0.0</v>
      </c>
      <c r="I154" s="11">
        <v>0.0</v>
      </c>
      <c r="J154" s="11">
        <v>0.0</v>
      </c>
      <c r="K154" s="11">
        <f t="shared" si="1"/>
        <v>0</v>
      </c>
      <c r="L154" s="11">
        <f t="shared" si="2"/>
        <v>0</v>
      </c>
    </row>
    <row r="155" ht="15.75" customHeight="1">
      <c r="A155" s="10" t="s">
        <v>384</v>
      </c>
      <c r="B155" s="10" t="s">
        <v>385</v>
      </c>
      <c r="C155" s="11">
        <v>0.0</v>
      </c>
      <c r="D155" s="11">
        <v>0.0</v>
      </c>
      <c r="E155" s="11">
        <v>0.0</v>
      </c>
      <c r="F155" s="11">
        <v>0.0</v>
      </c>
      <c r="G155" s="11">
        <v>0.0</v>
      </c>
      <c r="H155" s="11">
        <v>0.0</v>
      </c>
      <c r="I155" s="11">
        <v>0.0</v>
      </c>
      <c r="J155" s="11">
        <v>0.0</v>
      </c>
      <c r="K155" s="11">
        <f t="shared" si="1"/>
        <v>0</v>
      </c>
      <c r="L155" s="11">
        <f t="shared" si="2"/>
        <v>0</v>
      </c>
    </row>
    <row r="156" ht="15.75" customHeight="1">
      <c r="A156" s="10" t="s">
        <v>386</v>
      </c>
      <c r="B156" s="10" t="s">
        <v>387</v>
      </c>
      <c r="C156" s="11">
        <v>0.0</v>
      </c>
      <c r="D156" s="11">
        <v>0.0</v>
      </c>
      <c r="E156" s="11">
        <v>0.0</v>
      </c>
      <c r="F156" s="11">
        <v>0.0</v>
      </c>
      <c r="G156" s="11">
        <v>0.0</v>
      </c>
      <c r="H156" s="11">
        <v>0.0</v>
      </c>
      <c r="I156" s="11">
        <v>0.0</v>
      </c>
      <c r="J156" s="11">
        <v>0.0</v>
      </c>
      <c r="K156" s="11">
        <f t="shared" si="1"/>
        <v>0</v>
      </c>
      <c r="L156" s="11">
        <f t="shared" si="2"/>
        <v>0</v>
      </c>
    </row>
    <row r="157" ht="15.75" customHeight="1">
      <c r="A157" s="10" t="s">
        <v>388</v>
      </c>
      <c r="B157" s="10" t="s">
        <v>389</v>
      </c>
      <c r="C157" s="11">
        <v>0.0</v>
      </c>
      <c r="D157" s="11">
        <v>0.0</v>
      </c>
      <c r="E157" s="11">
        <v>0.0</v>
      </c>
      <c r="F157" s="11">
        <v>0.0</v>
      </c>
      <c r="G157" s="11">
        <v>0.0</v>
      </c>
      <c r="H157" s="11">
        <v>0.0</v>
      </c>
      <c r="I157" s="11">
        <v>0.0</v>
      </c>
      <c r="J157" s="11">
        <v>0.0</v>
      </c>
      <c r="K157" s="11">
        <f t="shared" si="1"/>
        <v>0</v>
      </c>
      <c r="L157" s="11">
        <f t="shared" si="2"/>
        <v>0</v>
      </c>
    </row>
    <row r="158" ht="15.75" customHeight="1">
      <c r="A158" s="10" t="s">
        <v>390</v>
      </c>
      <c r="B158" s="10" t="s">
        <v>391</v>
      </c>
      <c r="C158" s="11">
        <v>0.0</v>
      </c>
      <c r="D158" s="11">
        <v>0.0</v>
      </c>
      <c r="E158" s="11">
        <v>0.0</v>
      </c>
      <c r="F158" s="11">
        <v>0.0</v>
      </c>
      <c r="G158" s="11">
        <v>0.0</v>
      </c>
      <c r="H158" s="11">
        <v>0.0</v>
      </c>
      <c r="I158" s="11">
        <v>0.0</v>
      </c>
      <c r="J158" s="11">
        <v>0.0</v>
      </c>
      <c r="K158" s="11">
        <f t="shared" si="1"/>
        <v>0</v>
      </c>
      <c r="L158" s="11">
        <f t="shared" si="2"/>
        <v>0</v>
      </c>
    </row>
    <row r="159" ht="15.75" customHeight="1">
      <c r="A159" s="10" t="s">
        <v>392</v>
      </c>
      <c r="B159" s="10" t="s">
        <v>393</v>
      </c>
      <c r="C159" s="11">
        <v>0.0</v>
      </c>
      <c r="D159" s="11">
        <v>0.0</v>
      </c>
      <c r="E159" s="11">
        <v>0.0</v>
      </c>
      <c r="F159" s="11">
        <v>0.0</v>
      </c>
      <c r="G159" s="11">
        <v>0.0</v>
      </c>
      <c r="H159" s="11">
        <v>0.0</v>
      </c>
      <c r="I159" s="11">
        <v>0.0</v>
      </c>
      <c r="J159" s="11">
        <v>0.0</v>
      </c>
      <c r="K159" s="11">
        <f t="shared" si="1"/>
        <v>0</v>
      </c>
      <c r="L159" s="11">
        <f t="shared" si="2"/>
        <v>0</v>
      </c>
    </row>
    <row r="160" ht="15.75" customHeight="1">
      <c r="A160" s="10" t="s">
        <v>394</v>
      </c>
      <c r="B160" s="10" t="s">
        <v>395</v>
      </c>
      <c r="C160" s="11">
        <v>0.0</v>
      </c>
      <c r="D160" s="11">
        <v>0.0</v>
      </c>
      <c r="E160" s="11">
        <v>0.0</v>
      </c>
      <c r="F160" s="11">
        <v>0.0</v>
      </c>
      <c r="G160" s="11">
        <v>0.0</v>
      </c>
      <c r="H160" s="11">
        <v>0.0</v>
      </c>
      <c r="I160" s="11">
        <v>0.0</v>
      </c>
      <c r="J160" s="11">
        <v>0.0</v>
      </c>
      <c r="K160" s="11">
        <f t="shared" si="1"/>
        <v>0</v>
      </c>
      <c r="L160" s="11">
        <f t="shared" si="2"/>
        <v>0</v>
      </c>
    </row>
    <row r="161" ht="15.75" customHeight="1">
      <c r="A161" s="10" t="s">
        <v>396</v>
      </c>
      <c r="B161" s="10" t="s">
        <v>397</v>
      </c>
      <c r="C161" s="11">
        <v>0.0</v>
      </c>
      <c r="D161" s="11">
        <v>0.0</v>
      </c>
      <c r="E161" s="11">
        <v>0.0</v>
      </c>
      <c r="F161" s="11">
        <v>0.0</v>
      </c>
      <c r="G161" s="11">
        <v>0.0</v>
      </c>
      <c r="H161" s="11">
        <v>0.0</v>
      </c>
      <c r="I161" s="11">
        <v>0.0</v>
      </c>
      <c r="J161" s="11">
        <v>0.0</v>
      </c>
      <c r="K161" s="11">
        <f t="shared" si="1"/>
        <v>0</v>
      </c>
      <c r="L161" s="11">
        <f t="shared" si="2"/>
        <v>0</v>
      </c>
    </row>
    <row r="162" ht="15.75" customHeight="1">
      <c r="A162" s="10" t="s">
        <v>398</v>
      </c>
      <c r="B162" s="10" t="s">
        <v>399</v>
      </c>
      <c r="C162" s="11">
        <v>0.0</v>
      </c>
      <c r="D162" s="11">
        <v>0.0</v>
      </c>
      <c r="E162" s="11">
        <v>0.0</v>
      </c>
      <c r="F162" s="11">
        <v>0.0</v>
      </c>
      <c r="G162" s="11">
        <v>0.0</v>
      </c>
      <c r="H162" s="11">
        <v>0.0</v>
      </c>
      <c r="I162" s="11">
        <v>0.0</v>
      </c>
      <c r="J162" s="11">
        <v>0.0</v>
      </c>
      <c r="K162" s="11">
        <f t="shared" si="1"/>
        <v>0</v>
      </c>
      <c r="L162" s="11">
        <f t="shared" si="2"/>
        <v>0</v>
      </c>
    </row>
    <row r="163" ht="15.75" customHeight="1">
      <c r="A163" s="10" t="s">
        <v>400</v>
      </c>
      <c r="B163" s="10" t="s">
        <v>401</v>
      </c>
      <c r="C163" s="11">
        <v>0.0</v>
      </c>
      <c r="D163" s="11">
        <v>0.0</v>
      </c>
      <c r="E163" s="11">
        <v>0.0</v>
      </c>
      <c r="F163" s="11">
        <v>0.0</v>
      </c>
      <c r="G163" s="11">
        <v>0.0</v>
      </c>
      <c r="H163" s="11">
        <v>0.0</v>
      </c>
      <c r="I163" s="11">
        <v>0.0</v>
      </c>
      <c r="J163" s="11">
        <v>0.0</v>
      </c>
      <c r="K163" s="11">
        <f t="shared" si="1"/>
        <v>0</v>
      </c>
      <c r="L163" s="11">
        <f t="shared" si="2"/>
        <v>0</v>
      </c>
    </row>
    <row r="164" ht="15.75" customHeight="1">
      <c r="A164" s="10" t="s">
        <v>402</v>
      </c>
      <c r="B164" s="10" t="s">
        <v>403</v>
      </c>
      <c r="C164" s="11">
        <v>0.0</v>
      </c>
      <c r="D164" s="11">
        <v>0.0</v>
      </c>
      <c r="E164" s="11">
        <v>0.0</v>
      </c>
      <c r="F164" s="11">
        <v>0.0</v>
      </c>
      <c r="G164" s="11">
        <v>0.0</v>
      </c>
      <c r="H164" s="11">
        <v>0.0</v>
      </c>
      <c r="I164" s="11">
        <v>0.0</v>
      </c>
      <c r="J164" s="11">
        <v>0.0</v>
      </c>
      <c r="K164" s="11">
        <f t="shared" si="1"/>
        <v>0</v>
      </c>
      <c r="L164" s="11">
        <f t="shared" si="2"/>
        <v>0</v>
      </c>
    </row>
    <row r="165" ht="15.75" customHeight="1">
      <c r="A165" s="10" t="s">
        <v>406</v>
      </c>
      <c r="B165" s="10" t="s">
        <v>407</v>
      </c>
      <c r="C165" s="11">
        <v>0.0</v>
      </c>
      <c r="D165" s="11">
        <v>0.0</v>
      </c>
      <c r="E165" s="11">
        <v>0.0</v>
      </c>
      <c r="F165" s="11">
        <v>0.0</v>
      </c>
      <c r="G165" s="11">
        <v>0.0</v>
      </c>
      <c r="H165" s="11">
        <v>0.0</v>
      </c>
      <c r="I165" s="11">
        <v>0.0</v>
      </c>
      <c r="J165" s="11">
        <v>0.0</v>
      </c>
      <c r="K165" s="11">
        <f t="shared" si="1"/>
        <v>0</v>
      </c>
      <c r="L165" s="11">
        <f t="shared" si="2"/>
        <v>0</v>
      </c>
    </row>
    <row r="166" ht="15.75" customHeight="1">
      <c r="A166" s="10" t="s">
        <v>408</v>
      </c>
      <c r="B166" s="10" t="s">
        <v>409</v>
      </c>
      <c r="C166" s="11">
        <v>0.0</v>
      </c>
      <c r="D166" s="11">
        <v>0.0</v>
      </c>
      <c r="E166" s="11">
        <v>0.0</v>
      </c>
      <c r="F166" s="11">
        <v>0.0</v>
      </c>
      <c r="G166" s="11">
        <v>0.0</v>
      </c>
      <c r="H166" s="11">
        <v>0.0</v>
      </c>
      <c r="I166" s="11">
        <v>0.0</v>
      </c>
      <c r="J166" s="11">
        <v>0.0</v>
      </c>
      <c r="K166" s="11">
        <f t="shared" si="1"/>
        <v>0</v>
      </c>
      <c r="L166" s="11">
        <f t="shared" si="2"/>
        <v>0</v>
      </c>
    </row>
    <row r="167" ht="15.75" customHeight="1">
      <c r="A167" s="10" t="s">
        <v>410</v>
      </c>
      <c r="B167" s="10" t="s">
        <v>411</v>
      </c>
      <c r="C167" s="11">
        <v>0.0</v>
      </c>
      <c r="D167" s="11">
        <v>0.0</v>
      </c>
      <c r="E167" s="11">
        <v>0.0</v>
      </c>
      <c r="F167" s="11">
        <v>0.0</v>
      </c>
      <c r="G167" s="11">
        <v>0.0</v>
      </c>
      <c r="H167" s="11">
        <v>0.0</v>
      </c>
      <c r="I167" s="11">
        <v>0.0</v>
      </c>
      <c r="J167" s="11">
        <v>0.0</v>
      </c>
      <c r="K167" s="11">
        <f t="shared" si="1"/>
        <v>0</v>
      </c>
      <c r="L167" s="11">
        <f t="shared" si="2"/>
        <v>0</v>
      </c>
    </row>
    <row r="168" ht="15.75" customHeight="1">
      <c r="A168" s="10" t="s">
        <v>412</v>
      </c>
      <c r="B168" s="10" t="s">
        <v>413</v>
      </c>
      <c r="C168" s="11">
        <v>0.0</v>
      </c>
      <c r="D168" s="11">
        <v>0.0</v>
      </c>
      <c r="E168" s="11">
        <v>0.0</v>
      </c>
      <c r="F168" s="11">
        <v>0.0</v>
      </c>
      <c r="G168" s="11">
        <v>0.0</v>
      </c>
      <c r="H168" s="11">
        <v>0.0</v>
      </c>
      <c r="I168" s="11">
        <v>0.0</v>
      </c>
      <c r="J168" s="11">
        <v>0.0</v>
      </c>
      <c r="K168" s="11">
        <f t="shared" si="1"/>
        <v>0</v>
      </c>
      <c r="L168" s="11">
        <f t="shared" si="2"/>
        <v>0</v>
      </c>
    </row>
    <row r="169" ht="15.75" customHeight="1">
      <c r="A169" s="10" t="s">
        <v>414</v>
      </c>
      <c r="B169" s="10" t="s">
        <v>415</v>
      </c>
      <c r="C169" s="11">
        <v>0.0</v>
      </c>
      <c r="D169" s="11">
        <v>0.0</v>
      </c>
      <c r="E169" s="11">
        <v>0.0</v>
      </c>
      <c r="F169" s="11">
        <v>0.0</v>
      </c>
      <c r="G169" s="11">
        <v>0.0</v>
      </c>
      <c r="H169" s="11">
        <v>0.0</v>
      </c>
      <c r="I169" s="11">
        <v>0.0</v>
      </c>
      <c r="J169" s="11">
        <v>0.0</v>
      </c>
      <c r="K169" s="11">
        <f t="shared" si="1"/>
        <v>0</v>
      </c>
      <c r="L169" s="11">
        <f t="shared" si="2"/>
        <v>0</v>
      </c>
    </row>
    <row r="170" ht="15.75" customHeight="1">
      <c r="A170" s="10" t="s">
        <v>416</v>
      </c>
      <c r="B170" s="10" t="s">
        <v>417</v>
      </c>
      <c r="C170" s="11">
        <v>0.0</v>
      </c>
      <c r="D170" s="11">
        <v>0.0</v>
      </c>
      <c r="E170" s="11">
        <v>0.0</v>
      </c>
      <c r="F170" s="11">
        <v>0.0</v>
      </c>
      <c r="G170" s="11">
        <v>0.0</v>
      </c>
      <c r="H170" s="11">
        <v>0.0</v>
      </c>
      <c r="I170" s="11">
        <v>0.0</v>
      </c>
      <c r="J170" s="11">
        <v>0.0</v>
      </c>
      <c r="K170" s="11">
        <f t="shared" si="1"/>
        <v>0</v>
      </c>
      <c r="L170" s="11">
        <f t="shared" si="2"/>
        <v>0</v>
      </c>
    </row>
    <row r="171" ht="15.75" customHeight="1">
      <c r="A171" s="10" t="s">
        <v>418</v>
      </c>
      <c r="B171" s="10" t="s">
        <v>419</v>
      </c>
      <c r="C171" s="11">
        <v>0.0</v>
      </c>
      <c r="D171" s="11">
        <v>0.0</v>
      </c>
      <c r="E171" s="11">
        <v>0.0</v>
      </c>
      <c r="F171" s="11">
        <v>0.0</v>
      </c>
      <c r="G171" s="11">
        <v>0.0</v>
      </c>
      <c r="H171" s="11">
        <v>0.0</v>
      </c>
      <c r="I171" s="11">
        <v>0.0</v>
      </c>
      <c r="J171" s="11">
        <v>0.0</v>
      </c>
      <c r="K171" s="11">
        <f t="shared" si="1"/>
        <v>0</v>
      </c>
      <c r="L171" s="11">
        <f t="shared" si="2"/>
        <v>0</v>
      </c>
    </row>
    <row r="172" ht="15.75" customHeight="1">
      <c r="A172" s="10" t="s">
        <v>420</v>
      </c>
      <c r="B172" s="10" t="s">
        <v>421</v>
      </c>
      <c r="C172" s="11">
        <v>0.0</v>
      </c>
      <c r="D172" s="11">
        <v>0.0</v>
      </c>
      <c r="E172" s="11">
        <v>0.0</v>
      </c>
      <c r="F172" s="11">
        <v>0.0</v>
      </c>
      <c r="G172" s="11">
        <v>0.0</v>
      </c>
      <c r="H172" s="11">
        <v>0.0</v>
      </c>
      <c r="I172" s="11">
        <v>0.0</v>
      </c>
      <c r="J172" s="11">
        <v>0.0</v>
      </c>
      <c r="K172" s="11">
        <f t="shared" si="1"/>
        <v>0</v>
      </c>
      <c r="L172" s="11">
        <f t="shared" si="2"/>
        <v>0</v>
      </c>
    </row>
    <row r="173" ht="15.75" customHeight="1">
      <c r="A173" s="10" t="s">
        <v>422</v>
      </c>
      <c r="B173" s="10" t="s">
        <v>423</v>
      </c>
      <c r="C173" s="11">
        <v>0.0</v>
      </c>
      <c r="D173" s="11">
        <v>0.0</v>
      </c>
      <c r="E173" s="11">
        <v>0.0</v>
      </c>
      <c r="F173" s="11">
        <v>0.0</v>
      </c>
      <c r="G173" s="11">
        <v>0.0</v>
      </c>
      <c r="H173" s="11">
        <v>0.0</v>
      </c>
      <c r="I173" s="11">
        <v>0.0</v>
      </c>
      <c r="J173" s="11">
        <v>0.0</v>
      </c>
      <c r="K173" s="11">
        <f t="shared" si="1"/>
        <v>0</v>
      </c>
      <c r="L173" s="11">
        <f t="shared" si="2"/>
        <v>0</v>
      </c>
    </row>
    <row r="174" ht="15.75" customHeight="1">
      <c r="A174" s="10" t="s">
        <v>424</v>
      </c>
      <c r="B174" s="10" t="s">
        <v>425</v>
      </c>
      <c r="C174" s="11">
        <v>0.0</v>
      </c>
      <c r="D174" s="11">
        <v>0.0</v>
      </c>
      <c r="E174" s="11">
        <v>0.0</v>
      </c>
      <c r="F174" s="11">
        <v>0.0</v>
      </c>
      <c r="G174" s="11">
        <v>0.0</v>
      </c>
      <c r="H174" s="11">
        <v>0.0</v>
      </c>
      <c r="I174" s="11">
        <v>0.0</v>
      </c>
      <c r="J174" s="11">
        <v>0.0</v>
      </c>
      <c r="K174" s="11">
        <f t="shared" si="1"/>
        <v>0</v>
      </c>
      <c r="L174" s="11">
        <f t="shared" si="2"/>
        <v>0</v>
      </c>
    </row>
    <row r="175" ht="15.75" customHeight="1">
      <c r="A175" s="10" t="s">
        <v>426</v>
      </c>
      <c r="B175" s="10" t="s">
        <v>427</v>
      </c>
      <c r="C175" s="11">
        <v>0.0</v>
      </c>
      <c r="D175" s="11">
        <v>0.0</v>
      </c>
      <c r="E175" s="11">
        <v>0.0</v>
      </c>
      <c r="F175" s="11">
        <v>0.0</v>
      </c>
      <c r="G175" s="11">
        <v>0.0</v>
      </c>
      <c r="H175" s="11">
        <v>0.0</v>
      </c>
      <c r="I175" s="11">
        <v>0.0</v>
      </c>
      <c r="J175" s="11">
        <v>0.0</v>
      </c>
      <c r="K175" s="11">
        <f t="shared" si="1"/>
        <v>0</v>
      </c>
      <c r="L175" s="11">
        <f t="shared" si="2"/>
        <v>0</v>
      </c>
    </row>
    <row r="176" ht="15.75" customHeight="1">
      <c r="A176" s="10" t="s">
        <v>428</v>
      </c>
      <c r="B176" s="10" t="s">
        <v>429</v>
      </c>
      <c r="C176" s="11">
        <v>0.0</v>
      </c>
      <c r="D176" s="11">
        <v>0.0</v>
      </c>
      <c r="E176" s="11">
        <v>0.0</v>
      </c>
      <c r="F176" s="11">
        <v>0.0</v>
      </c>
      <c r="G176" s="11">
        <v>0.0</v>
      </c>
      <c r="H176" s="11">
        <v>0.0</v>
      </c>
      <c r="I176" s="11">
        <v>0.0</v>
      </c>
      <c r="J176" s="11">
        <v>0.0</v>
      </c>
      <c r="K176" s="11">
        <f t="shared" si="1"/>
        <v>0</v>
      </c>
      <c r="L176" s="11">
        <f t="shared" si="2"/>
        <v>0</v>
      </c>
    </row>
    <row r="177" ht="15.75" customHeight="1">
      <c r="A177" s="10" t="s">
        <v>430</v>
      </c>
      <c r="B177" s="10" t="s">
        <v>431</v>
      </c>
      <c r="C177" s="11">
        <v>0.0</v>
      </c>
      <c r="D177" s="11">
        <v>0.0</v>
      </c>
      <c r="E177" s="11">
        <v>0.0</v>
      </c>
      <c r="F177" s="11">
        <v>0.0</v>
      </c>
      <c r="G177" s="11">
        <v>0.0</v>
      </c>
      <c r="H177" s="11">
        <v>0.0</v>
      </c>
      <c r="I177" s="11">
        <v>0.0</v>
      </c>
      <c r="J177" s="11">
        <v>0.0</v>
      </c>
      <c r="K177" s="11">
        <f t="shared" si="1"/>
        <v>0</v>
      </c>
      <c r="L177" s="11">
        <f t="shared" si="2"/>
        <v>0</v>
      </c>
    </row>
    <row r="178" ht="15.75" customHeight="1">
      <c r="A178" s="10" t="s">
        <v>432</v>
      </c>
      <c r="B178" s="10" t="s">
        <v>433</v>
      </c>
      <c r="C178" s="11">
        <v>0.0</v>
      </c>
      <c r="D178" s="11">
        <v>0.0</v>
      </c>
      <c r="E178" s="11">
        <v>0.0</v>
      </c>
      <c r="F178" s="11">
        <v>0.0</v>
      </c>
      <c r="G178" s="11">
        <v>0.0</v>
      </c>
      <c r="H178" s="11">
        <v>0.0</v>
      </c>
      <c r="I178" s="11">
        <v>0.0</v>
      </c>
      <c r="J178" s="11">
        <v>0.0</v>
      </c>
      <c r="K178" s="11">
        <f t="shared" si="1"/>
        <v>0</v>
      </c>
      <c r="L178" s="11">
        <f t="shared" si="2"/>
        <v>0</v>
      </c>
    </row>
    <row r="179" ht="15.75" customHeight="1">
      <c r="A179" s="10" t="s">
        <v>434</v>
      </c>
      <c r="B179" s="10" t="s">
        <v>435</v>
      </c>
      <c r="C179" s="11">
        <v>0.0</v>
      </c>
      <c r="D179" s="11">
        <v>0.0</v>
      </c>
      <c r="E179" s="11">
        <v>0.0</v>
      </c>
      <c r="F179" s="11">
        <v>0.0</v>
      </c>
      <c r="G179" s="11">
        <v>0.0</v>
      </c>
      <c r="H179" s="11">
        <v>0.0</v>
      </c>
      <c r="I179" s="11">
        <v>0.0</v>
      </c>
      <c r="J179" s="11">
        <v>0.0</v>
      </c>
      <c r="K179" s="11">
        <f t="shared" si="1"/>
        <v>0</v>
      </c>
      <c r="L179" s="11">
        <f t="shared" si="2"/>
        <v>0</v>
      </c>
    </row>
    <row r="180" ht="15.75" customHeight="1">
      <c r="A180" s="10" t="s">
        <v>436</v>
      </c>
      <c r="B180" s="10" t="s">
        <v>437</v>
      </c>
      <c r="C180" s="11">
        <v>0.0</v>
      </c>
      <c r="D180" s="11">
        <v>0.0</v>
      </c>
      <c r="E180" s="11">
        <v>0.0</v>
      </c>
      <c r="F180" s="11">
        <v>0.0</v>
      </c>
      <c r="G180" s="11">
        <v>0.0</v>
      </c>
      <c r="H180" s="11">
        <v>0.0</v>
      </c>
      <c r="I180" s="11">
        <v>0.0</v>
      </c>
      <c r="J180" s="11">
        <v>0.0</v>
      </c>
      <c r="K180" s="11">
        <f t="shared" si="1"/>
        <v>0</v>
      </c>
      <c r="L180" s="11">
        <f t="shared" si="2"/>
        <v>0</v>
      </c>
    </row>
    <row r="181" ht="15.75" customHeight="1">
      <c r="A181" s="10" t="s">
        <v>438</v>
      </c>
      <c r="B181" s="10" t="s">
        <v>439</v>
      </c>
      <c r="C181" s="11">
        <v>0.0</v>
      </c>
      <c r="D181" s="11">
        <v>0.0</v>
      </c>
      <c r="E181" s="11">
        <v>0.0</v>
      </c>
      <c r="F181" s="11">
        <v>0.0</v>
      </c>
      <c r="G181" s="11">
        <v>0.0</v>
      </c>
      <c r="H181" s="11">
        <v>0.0</v>
      </c>
      <c r="I181" s="11">
        <v>0.0</v>
      </c>
      <c r="J181" s="11">
        <v>0.0</v>
      </c>
      <c r="K181" s="11">
        <f t="shared" si="1"/>
        <v>0</v>
      </c>
      <c r="L181" s="11">
        <f t="shared" si="2"/>
        <v>0</v>
      </c>
    </row>
    <row r="182" ht="15.75" customHeight="1">
      <c r="A182" s="10" t="s">
        <v>440</v>
      </c>
      <c r="B182" s="10" t="s">
        <v>441</v>
      </c>
      <c r="C182" s="11">
        <v>0.0</v>
      </c>
      <c r="D182" s="11">
        <v>0.0</v>
      </c>
      <c r="E182" s="11">
        <v>0.0</v>
      </c>
      <c r="F182" s="11">
        <v>0.0</v>
      </c>
      <c r="G182" s="11">
        <v>0.0</v>
      </c>
      <c r="H182" s="11">
        <v>19998.0</v>
      </c>
      <c r="I182" s="11">
        <v>19998.0</v>
      </c>
      <c r="J182" s="11">
        <v>0.0</v>
      </c>
      <c r="K182" s="11">
        <f t="shared" si="1"/>
        <v>39996</v>
      </c>
      <c r="L182" s="11">
        <f t="shared" si="2"/>
        <v>9999</v>
      </c>
    </row>
    <row r="183" ht="15.75" customHeight="1">
      <c r="A183" s="10" t="s">
        <v>442</v>
      </c>
      <c r="B183" s="10" t="s">
        <v>443</v>
      </c>
      <c r="C183" s="11">
        <v>0.0</v>
      </c>
      <c r="D183" s="11">
        <v>0.0</v>
      </c>
      <c r="E183" s="11">
        <v>0.0</v>
      </c>
      <c r="F183" s="11">
        <v>0.0</v>
      </c>
      <c r="G183" s="11">
        <v>0.0</v>
      </c>
      <c r="H183" s="11">
        <v>0.0</v>
      </c>
      <c r="I183" s="11">
        <v>0.0</v>
      </c>
      <c r="J183" s="11">
        <v>0.0</v>
      </c>
      <c r="K183" s="11">
        <f t="shared" si="1"/>
        <v>0</v>
      </c>
      <c r="L183" s="11">
        <f t="shared" si="2"/>
        <v>0</v>
      </c>
    </row>
    <row r="184" ht="15.75" customHeight="1">
      <c r="A184" s="10" t="s">
        <v>444</v>
      </c>
      <c r="B184" s="10" t="s">
        <v>445</v>
      </c>
      <c r="C184" s="11">
        <v>0.0</v>
      </c>
      <c r="D184" s="11">
        <v>0.0</v>
      </c>
      <c r="E184" s="11">
        <v>0.0</v>
      </c>
      <c r="F184" s="11">
        <v>0.0</v>
      </c>
      <c r="G184" s="11">
        <v>0.0</v>
      </c>
      <c r="H184" s="11">
        <v>0.0</v>
      </c>
      <c r="I184" s="11">
        <v>0.0</v>
      </c>
      <c r="J184" s="11">
        <v>0.0</v>
      </c>
      <c r="K184" s="11">
        <f t="shared" si="1"/>
        <v>0</v>
      </c>
      <c r="L184" s="11">
        <f t="shared" si="2"/>
        <v>0</v>
      </c>
    </row>
    <row r="185" ht="15.75" customHeight="1">
      <c r="A185" s="10" t="s">
        <v>446</v>
      </c>
      <c r="B185" s="10" t="s">
        <v>447</v>
      </c>
      <c r="C185" s="11">
        <v>0.0</v>
      </c>
      <c r="D185" s="11">
        <v>0.0</v>
      </c>
      <c r="E185" s="11">
        <v>0.0</v>
      </c>
      <c r="F185" s="11">
        <v>0.0</v>
      </c>
      <c r="G185" s="11">
        <v>0.0</v>
      </c>
      <c r="H185" s="11">
        <v>0.0</v>
      </c>
      <c r="I185" s="11">
        <v>0.0</v>
      </c>
      <c r="J185" s="11">
        <v>0.0</v>
      </c>
      <c r="K185" s="11">
        <f t="shared" si="1"/>
        <v>0</v>
      </c>
      <c r="L185" s="11">
        <f t="shared" si="2"/>
        <v>0</v>
      </c>
    </row>
    <row r="186" ht="15.75" customHeight="1">
      <c r="A186" s="10" t="s">
        <v>448</v>
      </c>
      <c r="B186" s="10" t="s">
        <v>449</v>
      </c>
      <c r="C186" s="11">
        <v>0.0</v>
      </c>
      <c r="D186" s="11">
        <v>0.0</v>
      </c>
      <c r="E186" s="11">
        <v>0.0</v>
      </c>
      <c r="F186" s="11">
        <v>0.0</v>
      </c>
      <c r="G186" s="11">
        <v>0.0</v>
      </c>
      <c r="H186" s="11">
        <v>0.0</v>
      </c>
      <c r="I186" s="11">
        <v>0.0</v>
      </c>
      <c r="J186" s="11">
        <v>0.0</v>
      </c>
      <c r="K186" s="11">
        <f t="shared" si="1"/>
        <v>0</v>
      </c>
      <c r="L186" s="11">
        <f t="shared" si="2"/>
        <v>0</v>
      </c>
    </row>
    <row r="187" ht="15.75" customHeight="1">
      <c r="A187" s="10" t="s">
        <v>450</v>
      </c>
      <c r="B187" s="10" t="s">
        <v>451</v>
      </c>
      <c r="C187" s="11">
        <v>0.0</v>
      </c>
      <c r="D187" s="11">
        <v>0.0</v>
      </c>
      <c r="E187" s="11">
        <v>0.0</v>
      </c>
      <c r="F187" s="11">
        <v>0.0</v>
      </c>
      <c r="G187" s="11">
        <v>0.0</v>
      </c>
      <c r="H187" s="11">
        <v>0.0</v>
      </c>
      <c r="I187" s="11">
        <v>0.0</v>
      </c>
      <c r="J187" s="11">
        <v>0.0</v>
      </c>
      <c r="K187" s="11">
        <f t="shared" si="1"/>
        <v>0</v>
      </c>
      <c r="L187" s="11">
        <f t="shared" si="2"/>
        <v>0</v>
      </c>
    </row>
    <row r="188" ht="15.75" customHeight="1">
      <c r="A188" s="10" t="s">
        <v>452</v>
      </c>
      <c r="B188" s="10" t="s">
        <v>453</v>
      </c>
      <c r="C188" s="11">
        <v>0.0</v>
      </c>
      <c r="D188" s="11">
        <v>0.0</v>
      </c>
      <c r="E188" s="11">
        <v>0.0</v>
      </c>
      <c r="F188" s="11">
        <v>0.0</v>
      </c>
      <c r="G188" s="11">
        <v>0.0</v>
      </c>
      <c r="H188" s="11">
        <v>0.0</v>
      </c>
      <c r="I188" s="11">
        <v>0.0</v>
      </c>
      <c r="J188" s="11">
        <v>0.0</v>
      </c>
      <c r="K188" s="11">
        <f t="shared" si="1"/>
        <v>0</v>
      </c>
      <c r="L188" s="11">
        <f t="shared" si="2"/>
        <v>0</v>
      </c>
    </row>
    <row r="189" ht="15.75" customHeight="1">
      <c r="A189" s="10" t="s">
        <v>454</v>
      </c>
      <c r="B189" s="10" t="s">
        <v>455</v>
      </c>
      <c r="C189" s="11">
        <v>0.0</v>
      </c>
      <c r="D189" s="11">
        <v>0.0</v>
      </c>
      <c r="E189" s="11">
        <v>0.0</v>
      </c>
      <c r="F189" s="11">
        <v>0.0</v>
      </c>
      <c r="G189" s="11">
        <v>0.0</v>
      </c>
      <c r="H189" s="11">
        <v>0.0</v>
      </c>
      <c r="I189" s="11">
        <v>0.0</v>
      </c>
      <c r="J189" s="11">
        <v>0.0</v>
      </c>
      <c r="K189" s="11">
        <f t="shared" si="1"/>
        <v>0</v>
      </c>
      <c r="L189" s="11">
        <f t="shared" si="2"/>
        <v>0</v>
      </c>
    </row>
    <row r="190" ht="15.75" customHeight="1">
      <c r="A190" s="10" t="s">
        <v>456</v>
      </c>
      <c r="B190" s="10" t="s">
        <v>457</v>
      </c>
      <c r="C190" s="11">
        <v>0.0</v>
      </c>
      <c r="D190" s="11">
        <v>0.0</v>
      </c>
      <c r="E190" s="11">
        <v>0.0</v>
      </c>
      <c r="F190" s="11">
        <v>0.0</v>
      </c>
      <c r="G190" s="11">
        <v>0.0</v>
      </c>
      <c r="H190" s="11">
        <v>0.0</v>
      </c>
      <c r="I190" s="11">
        <v>0.0</v>
      </c>
      <c r="J190" s="11">
        <v>0.0</v>
      </c>
      <c r="K190" s="11">
        <f t="shared" si="1"/>
        <v>0</v>
      </c>
      <c r="L190" s="11">
        <f t="shared" si="2"/>
        <v>0</v>
      </c>
    </row>
    <row r="191" ht="15.75" customHeight="1">
      <c r="A191" s="10" t="s">
        <v>460</v>
      </c>
      <c r="B191" s="10" t="s">
        <v>461</v>
      </c>
      <c r="C191" s="11">
        <v>0.0</v>
      </c>
      <c r="D191" s="11">
        <v>0.0</v>
      </c>
      <c r="E191" s="11">
        <v>0.0</v>
      </c>
      <c r="F191" s="11">
        <v>0.0</v>
      </c>
      <c r="G191" s="11">
        <v>0.0</v>
      </c>
      <c r="H191" s="11">
        <v>0.0</v>
      </c>
      <c r="I191" s="11">
        <v>0.0</v>
      </c>
      <c r="J191" s="11">
        <v>0.0</v>
      </c>
      <c r="K191" s="11">
        <f t="shared" si="1"/>
        <v>0</v>
      </c>
      <c r="L191" s="11">
        <f t="shared" si="2"/>
        <v>0</v>
      </c>
    </row>
    <row r="192" ht="15.75" customHeight="1">
      <c r="A192" s="10" t="s">
        <v>462</v>
      </c>
      <c r="B192" s="10" t="s">
        <v>463</v>
      </c>
      <c r="C192" s="11">
        <v>0.0</v>
      </c>
      <c r="D192" s="11">
        <v>0.0</v>
      </c>
      <c r="E192" s="11">
        <v>0.0</v>
      </c>
      <c r="F192" s="11">
        <v>0.0</v>
      </c>
      <c r="G192" s="11">
        <v>0.0</v>
      </c>
      <c r="H192" s="11">
        <v>0.0</v>
      </c>
      <c r="I192" s="11">
        <v>0.0</v>
      </c>
      <c r="J192" s="11">
        <v>0.0</v>
      </c>
      <c r="K192" s="11">
        <f t="shared" si="1"/>
        <v>0</v>
      </c>
      <c r="L192" s="11">
        <f t="shared" si="2"/>
        <v>0</v>
      </c>
    </row>
    <row r="193" ht="15.75" customHeight="1">
      <c r="A193" s="10" t="s">
        <v>464</v>
      </c>
      <c r="B193" s="10" t="s">
        <v>465</v>
      </c>
      <c r="C193" s="11">
        <v>0.0</v>
      </c>
      <c r="D193" s="11">
        <v>0.0</v>
      </c>
      <c r="E193" s="11">
        <v>0.0</v>
      </c>
      <c r="F193" s="11">
        <v>0.0</v>
      </c>
      <c r="G193" s="11">
        <v>0.0</v>
      </c>
      <c r="H193" s="11">
        <v>0.0</v>
      </c>
      <c r="I193" s="11">
        <v>0.0</v>
      </c>
      <c r="J193" s="11">
        <v>0.0</v>
      </c>
      <c r="K193" s="11">
        <f t="shared" si="1"/>
        <v>0</v>
      </c>
      <c r="L193" s="11">
        <f t="shared" si="2"/>
        <v>0</v>
      </c>
    </row>
    <row r="194" ht="15.75" customHeight="1">
      <c r="A194" s="10" t="s">
        <v>466</v>
      </c>
      <c r="B194" s="10" t="s">
        <v>467</v>
      </c>
      <c r="C194" s="11">
        <v>0.0</v>
      </c>
      <c r="D194" s="11">
        <v>0.0</v>
      </c>
      <c r="E194" s="11">
        <v>0.0</v>
      </c>
      <c r="F194" s="11">
        <v>9999.0</v>
      </c>
      <c r="G194" s="11">
        <v>0.0</v>
      </c>
      <c r="H194" s="11">
        <v>39996.0</v>
      </c>
      <c r="I194" s="11">
        <v>0.0</v>
      </c>
      <c r="J194" s="11">
        <v>0.0</v>
      </c>
      <c r="K194" s="11">
        <f t="shared" si="1"/>
        <v>49995</v>
      </c>
      <c r="L194" s="11">
        <f t="shared" si="2"/>
        <v>9999</v>
      </c>
    </row>
    <row r="195" ht="15.75" customHeight="1">
      <c r="A195" s="10" t="s">
        <v>468</v>
      </c>
      <c r="B195" s="10" t="s">
        <v>469</v>
      </c>
      <c r="C195" s="11">
        <v>0.0</v>
      </c>
      <c r="D195" s="11">
        <v>0.0</v>
      </c>
      <c r="E195" s="11">
        <v>0.0</v>
      </c>
      <c r="F195" s="11">
        <v>0.0</v>
      </c>
      <c r="G195" s="11">
        <v>0.0</v>
      </c>
      <c r="H195" s="11">
        <v>0.0</v>
      </c>
      <c r="I195" s="11">
        <v>0.0</v>
      </c>
      <c r="J195" s="11">
        <v>0.0</v>
      </c>
      <c r="K195" s="11">
        <f t="shared" si="1"/>
        <v>0</v>
      </c>
      <c r="L195" s="11">
        <f t="shared" si="2"/>
        <v>0</v>
      </c>
    </row>
    <row r="196" ht="15.75" customHeight="1">
      <c r="A196" s="10" t="s">
        <v>470</v>
      </c>
      <c r="B196" s="10" t="s">
        <v>471</v>
      </c>
      <c r="C196" s="11">
        <v>0.0</v>
      </c>
      <c r="D196" s="11">
        <v>0.0</v>
      </c>
      <c r="E196" s="11">
        <v>0.0</v>
      </c>
      <c r="F196" s="11">
        <v>0.0</v>
      </c>
      <c r="G196" s="11">
        <v>0.0</v>
      </c>
      <c r="H196" s="11">
        <v>0.0</v>
      </c>
      <c r="I196" s="11">
        <v>0.0</v>
      </c>
      <c r="J196" s="11">
        <v>0.0</v>
      </c>
      <c r="K196" s="11">
        <f t="shared" si="1"/>
        <v>0</v>
      </c>
      <c r="L196" s="11">
        <f t="shared" si="2"/>
        <v>0</v>
      </c>
    </row>
    <row r="197" ht="15.75" customHeight="1">
      <c r="A197" s="10" t="s">
        <v>472</v>
      </c>
      <c r="B197" s="10" t="s">
        <v>473</v>
      </c>
      <c r="C197" s="11">
        <v>0.0</v>
      </c>
      <c r="D197" s="11">
        <v>0.0</v>
      </c>
      <c r="E197" s="11">
        <v>0.0</v>
      </c>
      <c r="F197" s="11">
        <v>0.0</v>
      </c>
      <c r="G197" s="11">
        <v>0.0</v>
      </c>
      <c r="H197" s="11">
        <v>0.0</v>
      </c>
      <c r="I197" s="11">
        <v>0.0</v>
      </c>
      <c r="J197" s="11">
        <v>0.0</v>
      </c>
      <c r="K197" s="11">
        <f t="shared" si="1"/>
        <v>0</v>
      </c>
      <c r="L197" s="11">
        <f t="shared" si="2"/>
        <v>0</v>
      </c>
    </row>
    <row r="198" ht="15.75" customHeight="1">
      <c r="A198" s="10" t="s">
        <v>474</v>
      </c>
      <c r="B198" s="10" t="s">
        <v>475</v>
      </c>
      <c r="C198" s="11">
        <v>0.0</v>
      </c>
      <c r="D198" s="11">
        <v>0.0</v>
      </c>
      <c r="E198" s="11">
        <v>0.0</v>
      </c>
      <c r="F198" s="11">
        <v>0.0</v>
      </c>
      <c r="G198" s="11">
        <v>0.0</v>
      </c>
      <c r="H198" s="11">
        <v>0.0</v>
      </c>
      <c r="I198" s="11">
        <v>0.0</v>
      </c>
      <c r="J198" s="11">
        <v>0.0</v>
      </c>
      <c r="K198" s="11">
        <f t="shared" si="1"/>
        <v>0</v>
      </c>
      <c r="L198" s="11">
        <f t="shared" si="2"/>
        <v>0</v>
      </c>
    </row>
    <row r="199" ht="15.75" customHeight="1">
      <c r="A199" s="10" t="s">
        <v>476</v>
      </c>
      <c r="B199" s="10" t="s">
        <v>477</v>
      </c>
      <c r="C199" s="11">
        <v>0.0</v>
      </c>
      <c r="D199" s="11">
        <v>0.0</v>
      </c>
      <c r="E199" s="11">
        <v>0.0</v>
      </c>
      <c r="F199" s="11">
        <v>0.0</v>
      </c>
      <c r="G199" s="11">
        <v>0.0</v>
      </c>
      <c r="H199" s="11">
        <v>0.0</v>
      </c>
      <c r="I199" s="11">
        <v>0.0</v>
      </c>
      <c r="J199" s="11">
        <v>0.0</v>
      </c>
      <c r="K199" s="11">
        <f t="shared" si="1"/>
        <v>0</v>
      </c>
      <c r="L199" s="11">
        <f t="shared" si="2"/>
        <v>0</v>
      </c>
    </row>
    <row r="200" ht="15.75" customHeight="1">
      <c r="A200" s="10" t="s">
        <v>478</v>
      </c>
      <c r="B200" s="10" t="s">
        <v>479</v>
      </c>
      <c r="C200" s="11">
        <v>0.0</v>
      </c>
      <c r="D200" s="11">
        <v>0.0</v>
      </c>
      <c r="E200" s="11">
        <v>0.0</v>
      </c>
      <c r="F200" s="11">
        <v>0.0</v>
      </c>
      <c r="G200" s="11">
        <v>0.0</v>
      </c>
      <c r="H200" s="11">
        <v>0.0</v>
      </c>
      <c r="I200" s="11">
        <v>0.0</v>
      </c>
      <c r="J200" s="11">
        <v>0.0</v>
      </c>
      <c r="K200" s="11">
        <f t="shared" si="1"/>
        <v>0</v>
      </c>
      <c r="L200" s="11">
        <f t="shared" si="2"/>
        <v>0</v>
      </c>
    </row>
    <row r="201" ht="15.75" customHeight="1">
      <c r="A201" s="10" t="s">
        <v>480</v>
      </c>
      <c r="B201" s="10" t="s">
        <v>481</v>
      </c>
      <c r="C201" s="11">
        <v>0.0</v>
      </c>
      <c r="D201" s="11">
        <v>0.0</v>
      </c>
      <c r="E201" s="11">
        <v>0.0</v>
      </c>
      <c r="F201" s="11">
        <v>0.0</v>
      </c>
      <c r="G201" s="11">
        <v>0.0</v>
      </c>
      <c r="H201" s="11">
        <v>0.0</v>
      </c>
      <c r="I201" s="11">
        <v>0.0</v>
      </c>
      <c r="J201" s="11">
        <v>0.0</v>
      </c>
      <c r="K201" s="11">
        <f t="shared" si="1"/>
        <v>0</v>
      </c>
      <c r="L201" s="11">
        <f t="shared" si="2"/>
        <v>0</v>
      </c>
    </row>
    <row r="202" ht="15.75" customHeight="1">
      <c r="A202" s="10" t="s">
        <v>482</v>
      </c>
      <c r="B202" s="10" t="s">
        <v>483</v>
      </c>
      <c r="C202" s="11">
        <v>0.0</v>
      </c>
      <c r="D202" s="11">
        <v>0.0</v>
      </c>
      <c r="E202" s="11">
        <v>0.0</v>
      </c>
      <c r="F202" s="11">
        <v>0.0</v>
      </c>
      <c r="G202" s="11">
        <v>0.0</v>
      </c>
      <c r="H202" s="11">
        <v>0.0</v>
      </c>
      <c r="I202" s="11">
        <v>0.0</v>
      </c>
      <c r="J202" s="11">
        <v>0.0</v>
      </c>
      <c r="K202" s="11">
        <f t="shared" si="1"/>
        <v>0</v>
      </c>
      <c r="L202" s="11">
        <f t="shared" si="2"/>
        <v>0</v>
      </c>
    </row>
    <row r="203" ht="15.75" customHeight="1">
      <c r="A203" s="10" t="s">
        <v>484</v>
      </c>
      <c r="B203" s="10" t="s">
        <v>485</v>
      </c>
      <c r="C203" s="11">
        <v>0.0</v>
      </c>
      <c r="D203" s="11">
        <v>0.0</v>
      </c>
      <c r="E203" s="11">
        <v>0.0</v>
      </c>
      <c r="F203" s="11">
        <v>0.0</v>
      </c>
      <c r="G203" s="11">
        <v>0.0</v>
      </c>
      <c r="H203" s="11">
        <v>0.0</v>
      </c>
      <c r="I203" s="11">
        <v>0.0</v>
      </c>
      <c r="J203" s="11">
        <v>0.0</v>
      </c>
      <c r="K203" s="11">
        <f t="shared" si="1"/>
        <v>0</v>
      </c>
      <c r="L203" s="11">
        <f t="shared" si="2"/>
        <v>0</v>
      </c>
    </row>
    <row r="204" ht="15.75" customHeight="1">
      <c r="A204" s="10" t="s">
        <v>486</v>
      </c>
      <c r="B204" s="10" t="s">
        <v>487</v>
      </c>
      <c r="C204" s="11">
        <v>0.0</v>
      </c>
      <c r="D204" s="11">
        <v>0.0</v>
      </c>
      <c r="E204" s="11">
        <v>0.0</v>
      </c>
      <c r="F204" s="11">
        <v>0.0</v>
      </c>
      <c r="G204" s="11">
        <v>0.0</v>
      </c>
      <c r="H204" s="11">
        <v>0.0</v>
      </c>
      <c r="I204" s="11">
        <v>0.0</v>
      </c>
      <c r="J204" s="11">
        <v>0.0</v>
      </c>
      <c r="K204" s="11">
        <f t="shared" si="1"/>
        <v>0</v>
      </c>
      <c r="L204" s="11">
        <f t="shared" si="2"/>
        <v>0</v>
      </c>
    </row>
    <row r="205" ht="15.75" customHeight="1">
      <c r="A205" s="10" t="s">
        <v>488</v>
      </c>
      <c r="B205" s="10" t="s">
        <v>489</v>
      </c>
      <c r="C205" s="11">
        <v>0.0</v>
      </c>
      <c r="D205" s="11">
        <v>0.0</v>
      </c>
      <c r="E205" s="11">
        <v>0.0</v>
      </c>
      <c r="F205" s="11">
        <v>0.0</v>
      </c>
      <c r="G205" s="11">
        <v>0.0</v>
      </c>
      <c r="H205" s="11">
        <v>0.0</v>
      </c>
      <c r="I205" s="11">
        <v>0.0</v>
      </c>
      <c r="J205" s="11">
        <v>0.0</v>
      </c>
      <c r="K205" s="11">
        <f t="shared" si="1"/>
        <v>0</v>
      </c>
      <c r="L205" s="11">
        <f t="shared" si="2"/>
        <v>0</v>
      </c>
    </row>
    <row r="206" ht="15.75" customHeight="1">
      <c r="A206" s="10" t="s">
        <v>490</v>
      </c>
      <c r="B206" s="10" t="s">
        <v>491</v>
      </c>
      <c r="C206" s="11">
        <v>0.0</v>
      </c>
      <c r="D206" s="11">
        <v>0.0</v>
      </c>
      <c r="E206" s="11">
        <v>0.0</v>
      </c>
      <c r="F206" s="11">
        <v>0.0</v>
      </c>
      <c r="G206" s="11">
        <v>0.0</v>
      </c>
      <c r="H206" s="11">
        <v>0.0</v>
      </c>
      <c r="I206" s="11">
        <v>0.0</v>
      </c>
      <c r="J206" s="11">
        <v>0.0</v>
      </c>
      <c r="K206" s="11">
        <f t="shared" si="1"/>
        <v>0</v>
      </c>
      <c r="L206" s="11">
        <f t="shared" si="2"/>
        <v>0</v>
      </c>
    </row>
    <row r="207" ht="15.75" customHeight="1">
      <c r="A207" s="10" t="s">
        <v>492</v>
      </c>
      <c r="B207" s="10" t="s">
        <v>493</v>
      </c>
      <c r="C207" s="11">
        <v>0.0</v>
      </c>
      <c r="D207" s="11">
        <v>0.0</v>
      </c>
      <c r="E207" s="11">
        <v>0.0</v>
      </c>
      <c r="F207" s="11">
        <v>0.0</v>
      </c>
      <c r="G207" s="11">
        <v>0.0</v>
      </c>
      <c r="H207" s="11">
        <v>0.0</v>
      </c>
      <c r="I207" s="11">
        <v>0.0</v>
      </c>
      <c r="J207" s="11">
        <v>0.0</v>
      </c>
      <c r="K207" s="11">
        <f t="shared" si="1"/>
        <v>0</v>
      </c>
      <c r="L207" s="11">
        <f t="shared" si="2"/>
        <v>0</v>
      </c>
    </row>
    <row r="208" ht="15.75" customHeight="1">
      <c r="A208" s="10" t="s">
        <v>494</v>
      </c>
      <c r="B208" s="10" t="s">
        <v>495</v>
      </c>
      <c r="C208" s="11">
        <v>0.0</v>
      </c>
      <c r="D208" s="11">
        <v>0.0</v>
      </c>
      <c r="E208" s="11">
        <v>0.0</v>
      </c>
      <c r="F208" s="11">
        <v>0.0</v>
      </c>
      <c r="G208" s="11">
        <v>0.0</v>
      </c>
      <c r="H208" s="11">
        <v>0.0</v>
      </c>
      <c r="I208" s="11">
        <v>0.0</v>
      </c>
      <c r="J208" s="11">
        <v>0.0</v>
      </c>
      <c r="K208" s="11">
        <f t="shared" si="1"/>
        <v>0</v>
      </c>
      <c r="L208" s="11">
        <f t="shared" si="2"/>
        <v>0</v>
      </c>
    </row>
    <row r="209" ht="15.75" customHeight="1">
      <c r="A209" s="10" t="s">
        <v>496</v>
      </c>
      <c r="B209" s="10" t="s">
        <v>497</v>
      </c>
      <c r="C209" s="11">
        <v>0.0</v>
      </c>
      <c r="D209" s="11">
        <v>0.0</v>
      </c>
      <c r="E209" s="11">
        <v>0.0</v>
      </c>
      <c r="F209" s="11">
        <v>0.0</v>
      </c>
      <c r="G209" s="11">
        <v>0.0</v>
      </c>
      <c r="H209" s="11">
        <v>0.0</v>
      </c>
      <c r="I209" s="11">
        <v>0.0</v>
      </c>
      <c r="J209" s="11">
        <v>0.0</v>
      </c>
      <c r="K209" s="11">
        <f t="shared" si="1"/>
        <v>0</v>
      </c>
      <c r="L209" s="11">
        <f t="shared" si="2"/>
        <v>0</v>
      </c>
    </row>
    <row r="210" ht="15.75" customHeight="1">
      <c r="A210" s="10" t="s">
        <v>498</v>
      </c>
      <c r="B210" s="10" t="s">
        <v>499</v>
      </c>
      <c r="C210" s="11">
        <v>0.0</v>
      </c>
      <c r="D210" s="11">
        <v>0.0</v>
      </c>
      <c r="E210" s="11">
        <v>0.0</v>
      </c>
      <c r="F210" s="11">
        <v>0.0</v>
      </c>
      <c r="G210" s="11">
        <v>0.0</v>
      </c>
      <c r="H210" s="11">
        <v>0.0</v>
      </c>
      <c r="I210" s="11">
        <v>0.0</v>
      </c>
      <c r="J210" s="11">
        <v>0.0</v>
      </c>
      <c r="K210" s="11">
        <f t="shared" si="1"/>
        <v>0</v>
      </c>
      <c r="L210" s="11">
        <f t="shared" si="2"/>
        <v>0</v>
      </c>
    </row>
    <row r="211" ht="15.75" customHeight="1">
      <c r="A211" s="10" t="s">
        <v>500</v>
      </c>
      <c r="B211" s="10" t="s">
        <v>501</v>
      </c>
      <c r="C211" s="11">
        <v>0.0</v>
      </c>
      <c r="D211" s="11">
        <v>0.0</v>
      </c>
      <c r="E211" s="11">
        <v>0.0</v>
      </c>
      <c r="F211" s="11">
        <v>0.0</v>
      </c>
      <c r="G211" s="11">
        <v>0.0</v>
      </c>
      <c r="H211" s="11">
        <v>0.0</v>
      </c>
      <c r="I211" s="11">
        <v>0.0</v>
      </c>
      <c r="J211" s="11">
        <v>0.0</v>
      </c>
      <c r="K211" s="11">
        <f t="shared" si="1"/>
        <v>0</v>
      </c>
      <c r="L211" s="11">
        <f t="shared" si="2"/>
        <v>0</v>
      </c>
    </row>
    <row r="212" ht="15.75" customHeight="1">
      <c r="A212" s="10" t="s">
        <v>502</v>
      </c>
      <c r="B212" s="10" t="s">
        <v>503</v>
      </c>
      <c r="C212" s="11">
        <v>0.0</v>
      </c>
      <c r="D212" s="11">
        <v>0.0</v>
      </c>
      <c r="E212" s="11">
        <v>0.0</v>
      </c>
      <c r="F212" s="11">
        <v>0.0</v>
      </c>
      <c r="G212" s="11">
        <v>0.0</v>
      </c>
      <c r="H212" s="11">
        <v>0.0</v>
      </c>
      <c r="I212" s="11">
        <v>0.0</v>
      </c>
      <c r="J212" s="11">
        <v>0.0</v>
      </c>
      <c r="K212" s="11">
        <f t="shared" si="1"/>
        <v>0</v>
      </c>
      <c r="L212" s="11">
        <f t="shared" si="2"/>
        <v>0</v>
      </c>
    </row>
    <row r="213" ht="15.75" customHeight="1">
      <c r="A213" s="10" t="s">
        <v>504</v>
      </c>
      <c r="B213" s="10" t="s">
        <v>505</v>
      </c>
      <c r="C213" s="11">
        <v>0.0</v>
      </c>
      <c r="D213" s="11">
        <v>0.0</v>
      </c>
      <c r="E213" s="11">
        <v>0.0</v>
      </c>
      <c r="F213" s="11">
        <v>0.0</v>
      </c>
      <c r="G213" s="11">
        <v>0.0</v>
      </c>
      <c r="H213" s="11">
        <v>0.0</v>
      </c>
      <c r="I213" s="11">
        <v>0.0</v>
      </c>
      <c r="J213" s="11">
        <v>0.0</v>
      </c>
      <c r="K213" s="11">
        <f t="shared" si="1"/>
        <v>0</v>
      </c>
      <c r="L213" s="11">
        <f t="shared" si="2"/>
        <v>0</v>
      </c>
    </row>
    <row r="214" ht="15.75" customHeight="1">
      <c r="A214" s="10" t="s">
        <v>506</v>
      </c>
      <c r="B214" s="10" t="s">
        <v>507</v>
      </c>
      <c r="C214" s="11">
        <v>0.0</v>
      </c>
      <c r="D214" s="11">
        <v>0.0</v>
      </c>
      <c r="E214" s="11">
        <v>0.0</v>
      </c>
      <c r="F214" s="11">
        <v>0.0</v>
      </c>
      <c r="G214" s="11">
        <v>0.0</v>
      </c>
      <c r="H214" s="11">
        <v>0.0</v>
      </c>
      <c r="I214" s="11">
        <v>0.0</v>
      </c>
      <c r="J214" s="11">
        <v>0.0</v>
      </c>
      <c r="K214" s="11">
        <f t="shared" si="1"/>
        <v>0</v>
      </c>
      <c r="L214" s="11">
        <f t="shared" si="2"/>
        <v>0</v>
      </c>
    </row>
    <row r="215" ht="15.75" customHeight="1">
      <c r="A215" s="10" t="s">
        <v>508</v>
      </c>
      <c r="B215" s="10" t="s">
        <v>509</v>
      </c>
      <c r="C215" s="11">
        <v>0.0</v>
      </c>
      <c r="D215" s="11">
        <v>0.0</v>
      </c>
      <c r="E215" s="11">
        <v>0.0</v>
      </c>
      <c r="F215" s="11">
        <v>0.0</v>
      </c>
      <c r="G215" s="11">
        <v>0.0</v>
      </c>
      <c r="H215" s="11">
        <v>0.0</v>
      </c>
      <c r="I215" s="11">
        <v>0.0</v>
      </c>
      <c r="J215" s="11">
        <v>0.0</v>
      </c>
      <c r="K215" s="11">
        <f t="shared" si="1"/>
        <v>0</v>
      </c>
      <c r="L215" s="11">
        <f t="shared" si="2"/>
        <v>0</v>
      </c>
    </row>
    <row r="216" ht="15.75" customHeight="1">
      <c r="A216" s="10" t="s">
        <v>510</v>
      </c>
      <c r="B216" s="10" t="s">
        <v>511</v>
      </c>
      <c r="C216" s="11">
        <v>0.0</v>
      </c>
      <c r="D216" s="11">
        <v>0.0</v>
      </c>
      <c r="E216" s="11">
        <v>0.0</v>
      </c>
      <c r="F216" s="11">
        <v>0.0</v>
      </c>
      <c r="G216" s="11">
        <v>0.0</v>
      </c>
      <c r="H216" s="11">
        <v>0.0</v>
      </c>
      <c r="I216" s="11">
        <v>0.0</v>
      </c>
      <c r="J216" s="11">
        <v>0.0</v>
      </c>
      <c r="K216" s="11">
        <f t="shared" si="1"/>
        <v>0</v>
      </c>
      <c r="L216" s="11">
        <f t="shared" si="2"/>
        <v>0</v>
      </c>
    </row>
    <row r="217" ht="15.75" customHeight="1">
      <c r="A217" s="10" t="s">
        <v>512</v>
      </c>
      <c r="B217" s="10" t="s">
        <v>513</v>
      </c>
      <c r="C217" s="11">
        <v>0.0</v>
      </c>
      <c r="D217" s="11">
        <v>0.0</v>
      </c>
      <c r="E217" s="11">
        <v>0.0</v>
      </c>
      <c r="F217" s="11">
        <v>0.0</v>
      </c>
      <c r="G217" s="11">
        <v>0.0</v>
      </c>
      <c r="H217" s="11">
        <v>0.0</v>
      </c>
      <c r="I217" s="11">
        <v>0.0</v>
      </c>
      <c r="J217" s="11">
        <v>0.0</v>
      </c>
      <c r="K217" s="11">
        <f t="shared" si="1"/>
        <v>0</v>
      </c>
      <c r="L217" s="11">
        <f t="shared" si="2"/>
        <v>0</v>
      </c>
    </row>
    <row r="218" ht="15.75" customHeight="1">
      <c r="A218" s="10" t="s">
        <v>514</v>
      </c>
      <c r="B218" s="10" t="s">
        <v>515</v>
      </c>
      <c r="C218" s="11">
        <v>0.0</v>
      </c>
      <c r="D218" s="11">
        <v>0.0</v>
      </c>
      <c r="E218" s="11">
        <v>0.0</v>
      </c>
      <c r="F218" s="11">
        <v>0.0</v>
      </c>
      <c r="G218" s="11">
        <v>0.0</v>
      </c>
      <c r="H218" s="11">
        <v>0.0</v>
      </c>
      <c r="I218" s="11">
        <v>0.0</v>
      </c>
      <c r="J218" s="11">
        <v>0.0</v>
      </c>
      <c r="K218" s="11">
        <f t="shared" si="1"/>
        <v>0</v>
      </c>
      <c r="L218" s="11">
        <f t="shared" si="2"/>
        <v>0</v>
      </c>
    </row>
    <row r="219" ht="15.75" customHeight="1">
      <c r="A219" s="10" t="s">
        <v>516</v>
      </c>
      <c r="B219" s="10" t="s">
        <v>517</v>
      </c>
      <c r="C219" s="11">
        <v>0.0</v>
      </c>
      <c r="D219" s="11">
        <v>0.0</v>
      </c>
      <c r="E219" s="11">
        <v>0.0</v>
      </c>
      <c r="F219" s="11">
        <v>0.0</v>
      </c>
      <c r="G219" s="11">
        <v>0.0</v>
      </c>
      <c r="H219" s="11">
        <v>0.0</v>
      </c>
      <c r="I219" s="11">
        <v>0.0</v>
      </c>
      <c r="J219" s="11">
        <v>0.0</v>
      </c>
      <c r="K219" s="11">
        <f t="shared" si="1"/>
        <v>0</v>
      </c>
      <c r="L219" s="11">
        <f t="shared" si="2"/>
        <v>0</v>
      </c>
    </row>
    <row r="220" ht="15.75" customHeight="1">
      <c r="A220" s="10" t="s">
        <v>518</v>
      </c>
      <c r="B220" s="10" t="s">
        <v>519</v>
      </c>
      <c r="C220" s="11">
        <v>0.0</v>
      </c>
      <c r="D220" s="11">
        <v>0.0</v>
      </c>
      <c r="E220" s="11">
        <v>0.0</v>
      </c>
      <c r="F220" s="11">
        <v>0.0</v>
      </c>
      <c r="G220" s="11">
        <v>0.0</v>
      </c>
      <c r="H220" s="11">
        <v>0.0</v>
      </c>
      <c r="I220" s="11">
        <v>0.0</v>
      </c>
      <c r="J220" s="11">
        <v>0.0</v>
      </c>
      <c r="K220" s="11">
        <f t="shared" si="1"/>
        <v>0</v>
      </c>
      <c r="L220" s="11">
        <f t="shared" si="2"/>
        <v>0</v>
      </c>
    </row>
    <row r="221" ht="15.75" customHeight="1">
      <c r="A221" s="10" t="s">
        <v>520</v>
      </c>
      <c r="B221" s="10" t="s">
        <v>521</v>
      </c>
      <c r="C221" s="11">
        <v>0.0</v>
      </c>
      <c r="D221" s="11">
        <v>0.0</v>
      </c>
      <c r="E221" s="11">
        <v>0.0</v>
      </c>
      <c r="F221" s="11">
        <v>0.0</v>
      </c>
      <c r="G221" s="11">
        <v>0.0</v>
      </c>
      <c r="H221" s="11">
        <v>0.0</v>
      </c>
      <c r="I221" s="11">
        <v>0.0</v>
      </c>
      <c r="J221" s="11">
        <v>0.0</v>
      </c>
      <c r="K221" s="11">
        <f t="shared" si="1"/>
        <v>0</v>
      </c>
      <c r="L221" s="11">
        <f t="shared" si="2"/>
        <v>0</v>
      </c>
    </row>
    <row r="222" ht="15.75" customHeight="1">
      <c r="A222" s="10" t="s">
        <v>523</v>
      </c>
      <c r="B222" s="10" t="s">
        <v>525</v>
      </c>
      <c r="C222" s="11">
        <v>0.0</v>
      </c>
      <c r="D222" s="11">
        <v>0.0</v>
      </c>
      <c r="E222" s="11">
        <v>0.0</v>
      </c>
      <c r="F222" s="11">
        <v>0.0</v>
      </c>
      <c r="G222" s="11">
        <v>0.0</v>
      </c>
      <c r="H222" s="11">
        <v>0.0</v>
      </c>
      <c r="I222" s="11">
        <v>0.0</v>
      </c>
      <c r="J222" s="11">
        <v>0.0</v>
      </c>
      <c r="K222" s="11">
        <f t="shared" si="1"/>
        <v>0</v>
      </c>
      <c r="L222" s="11">
        <f t="shared" si="2"/>
        <v>0</v>
      </c>
    </row>
    <row r="223" ht="15.75" customHeight="1">
      <c r="A223" s="10" t="s">
        <v>526</v>
      </c>
      <c r="B223" s="10" t="s">
        <v>527</v>
      </c>
      <c r="C223" s="11">
        <v>0.0</v>
      </c>
      <c r="D223" s="11">
        <v>0.0</v>
      </c>
      <c r="E223" s="11">
        <v>0.0</v>
      </c>
      <c r="F223" s="11">
        <v>0.0</v>
      </c>
      <c r="G223" s="11">
        <v>0.0</v>
      </c>
      <c r="H223" s="11">
        <v>0.0</v>
      </c>
      <c r="I223" s="11">
        <v>0.0</v>
      </c>
      <c r="J223" s="11">
        <v>0.0</v>
      </c>
      <c r="K223" s="11">
        <f t="shared" si="1"/>
        <v>0</v>
      </c>
      <c r="L223" s="11">
        <f t="shared" si="2"/>
        <v>0</v>
      </c>
    </row>
    <row r="224" ht="15.75" customHeight="1">
      <c r="A224" s="10" t="s">
        <v>528</v>
      </c>
      <c r="B224" s="10" t="s">
        <v>529</v>
      </c>
      <c r="C224" s="11">
        <v>0.0</v>
      </c>
      <c r="D224" s="11">
        <v>0.0</v>
      </c>
      <c r="E224" s="11">
        <v>0.0</v>
      </c>
      <c r="F224" s="11">
        <v>0.0</v>
      </c>
      <c r="G224" s="11">
        <v>0.0</v>
      </c>
      <c r="H224" s="11">
        <v>0.0</v>
      </c>
      <c r="I224" s="11">
        <v>0.0</v>
      </c>
      <c r="J224" s="11">
        <v>0.0</v>
      </c>
      <c r="K224" s="11">
        <f t="shared" si="1"/>
        <v>0</v>
      </c>
      <c r="L224" s="11">
        <f t="shared" si="2"/>
        <v>0</v>
      </c>
    </row>
    <row r="225" ht="15.75" customHeight="1">
      <c r="A225" s="10" t="s">
        <v>530</v>
      </c>
      <c r="B225" s="10" t="s">
        <v>531</v>
      </c>
      <c r="C225" s="11">
        <v>0.0</v>
      </c>
      <c r="D225" s="11">
        <v>0.0</v>
      </c>
      <c r="E225" s="11">
        <v>0.0</v>
      </c>
      <c r="F225" s="11">
        <v>0.0</v>
      </c>
      <c r="G225" s="11">
        <v>0.0</v>
      </c>
      <c r="H225" s="11">
        <v>0.0</v>
      </c>
      <c r="I225" s="11">
        <v>0.0</v>
      </c>
      <c r="J225" s="11">
        <v>0.0</v>
      </c>
      <c r="K225" s="11">
        <f t="shared" si="1"/>
        <v>0</v>
      </c>
      <c r="L225" s="11">
        <f t="shared" si="2"/>
        <v>0</v>
      </c>
    </row>
    <row r="226" ht="15.75" customHeight="1">
      <c r="A226" s="10" t="s">
        <v>532</v>
      </c>
      <c r="B226" s="10" t="s">
        <v>533</v>
      </c>
      <c r="C226" s="11">
        <v>0.0</v>
      </c>
      <c r="D226" s="11">
        <v>0.0</v>
      </c>
      <c r="E226" s="11">
        <v>0.0</v>
      </c>
      <c r="F226" s="11">
        <v>0.0</v>
      </c>
      <c r="G226" s="11">
        <v>0.0</v>
      </c>
      <c r="H226" s="11">
        <v>0.0</v>
      </c>
      <c r="I226" s="11">
        <v>0.0</v>
      </c>
      <c r="J226" s="11">
        <v>0.0</v>
      </c>
      <c r="K226" s="11">
        <f t="shared" si="1"/>
        <v>0</v>
      </c>
      <c r="L226" s="11">
        <f t="shared" si="2"/>
        <v>0</v>
      </c>
    </row>
    <row r="227" ht="15.75" customHeight="1">
      <c r="A227" s="10" t="s">
        <v>534</v>
      </c>
      <c r="B227" s="10" t="s">
        <v>535</v>
      </c>
      <c r="C227" s="11">
        <v>0.0</v>
      </c>
      <c r="D227" s="11">
        <v>0.0</v>
      </c>
      <c r="E227" s="11">
        <v>0.0</v>
      </c>
      <c r="F227" s="11">
        <v>0.0</v>
      </c>
      <c r="G227" s="11">
        <v>0.0</v>
      </c>
      <c r="H227" s="11">
        <v>0.0</v>
      </c>
      <c r="I227" s="11">
        <v>0.0</v>
      </c>
      <c r="J227" s="11">
        <v>0.0</v>
      </c>
      <c r="K227" s="11">
        <f t="shared" si="1"/>
        <v>0</v>
      </c>
      <c r="L227" s="11">
        <f t="shared" si="2"/>
        <v>0</v>
      </c>
    </row>
    <row r="228" ht="15.75" customHeight="1">
      <c r="A228" s="10" t="s">
        <v>536</v>
      </c>
      <c r="B228" s="10" t="s">
        <v>537</v>
      </c>
      <c r="C228" s="11">
        <v>0.0</v>
      </c>
      <c r="D228" s="11">
        <v>0.0</v>
      </c>
      <c r="E228" s="11">
        <v>0.0</v>
      </c>
      <c r="F228" s="11">
        <v>0.0</v>
      </c>
      <c r="G228" s="11">
        <v>0.0</v>
      </c>
      <c r="H228" s="11">
        <v>0.0</v>
      </c>
      <c r="I228" s="11">
        <v>0.0</v>
      </c>
      <c r="J228" s="11">
        <v>0.0</v>
      </c>
      <c r="K228" s="11">
        <f t="shared" si="1"/>
        <v>0</v>
      </c>
      <c r="L228" s="11">
        <f t="shared" si="2"/>
        <v>0</v>
      </c>
    </row>
    <row r="229" ht="15.75" customHeight="1">
      <c r="A229" s="10" t="s">
        <v>538</v>
      </c>
      <c r="B229" s="10" t="s">
        <v>539</v>
      </c>
      <c r="C229" s="11">
        <v>0.0</v>
      </c>
      <c r="D229" s="11">
        <v>0.0</v>
      </c>
      <c r="E229" s="11">
        <v>0.0</v>
      </c>
      <c r="F229" s="11">
        <v>0.0</v>
      </c>
      <c r="G229" s="11">
        <v>0.0</v>
      </c>
      <c r="H229" s="11">
        <v>0.0</v>
      </c>
      <c r="I229" s="11">
        <v>0.0</v>
      </c>
      <c r="J229" s="11">
        <v>0.0</v>
      </c>
      <c r="K229" s="11">
        <f t="shared" si="1"/>
        <v>0</v>
      </c>
      <c r="L229" s="11">
        <f t="shared" si="2"/>
        <v>0</v>
      </c>
    </row>
    <row r="230" ht="15.75" customHeight="1">
      <c r="A230" s="10" t="s">
        <v>540</v>
      </c>
      <c r="B230" s="10" t="s">
        <v>541</v>
      </c>
      <c r="C230" s="11">
        <v>0.0</v>
      </c>
      <c r="D230" s="11">
        <v>0.0</v>
      </c>
      <c r="E230" s="11">
        <v>0.0</v>
      </c>
      <c r="F230" s="11">
        <v>0.0</v>
      </c>
      <c r="G230" s="11">
        <v>0.0</v>
      </c>
      <c r="H230" s="11">
        <v>0.0</v>
      </c>
      <c r="I230" s="11">
        <v>0.0</v>
      </c>
      <c r="J230" s="11">
        <v>0.0</v>
      </c>
      <c r="K230" s="11">
        <f t="shared" si="1"/>
        <v>0</v>
      </c>
      <c r="L230" s="11">
        <f t="shared" si="2"/>
        <v>0</v>
      </c>
    </row>
    <row r="231" ht="15.75" customHeight="1">
      <c r="A231" s="10" t="s">
        <v>542</v>
      </c>
      <c r="B231" s="10" t="s">
        <v>543</v>
      </c>
      <c r="C231" s="11">
        <v>0.0</v>
      </c>
      <c r="D231" s="11">
        <v>0.0</v>
      </c>
      <c r="E231" s="11">
        <v>0.0</v>
      </c>
      <c r="F231" s="11">
        <v>0.0</v>
      </c>
      <c r="G231" s="11">
        <v>0.0</v>
      </c>
      <c r="H231" s="11">
        <v>0.0</v>
      </c>
      <c r="I231" s="11">
        <v>0.0</v>
      </c>
      <c r="J231" s="11">
        <v>0.0</v>
      </c>
      <c r="K231" s="11">
        <f t="shared" si="1"/>
        <v>0</v>
      </c>
      <c r="L231" s="11">
        <f t="shared" si="2"/>
        <v>0</v>
      </c>
    </row>
    <row r="232" ht="15.75" customHeight="1">
      <c r="A232" s="10" t="s">
        <v>544</v>
      </c>
      <c r="B232" s="10" t="s">
        <v>545</v>
      </c>
      <c r="C232" s="11">
        <v>0.0</v>
      </c>
      <c r="D232" s="11">
        <v>0.0</v>
      </c>
      <c r="E232" s="11">
        <v>0.0</v>
      </c>
      <c r="F232" s="11">
        <v>0.0</v>
      </c>
      <c r="G232" s="11">
        <v>0.0</v>
      </c>
      <c r="H232" s="11">
        <v>0.0</v>
      </c>
      <c r="I232" s="11">
        <v>0.0</v>
      </c>
      <c r="J232" s="11">
        <v>0.0</v>
      </c>
      <c r="K232" s="11">
        <f t="shared" si="1"/>
        <v>0</v>
      </c>
      <c r="L232" s="11">
        <f t="shared" si="2"/>
        <v>0</v>
      </c>
    </row>
    <row r="233" ht="15.75" customHeight="1">
      <c r="A233" s="10" t="s">
        <v>546</v>
      </c>
      <c r="B233" s="10" t="s">
        <v>547</v>
      </c>
      <c r="C233" s="11">
        <v>0.0</v>
      </c>
      <c r="D233" s="11">
        <v>0.0</v>
      </c>
      <c r="E233" s="11">
        <v>0.0</v>
      </c>
      <c r="F233" s="11">
        <v>0.0</v>
      </c>
      <c r="G233" s="11">
        <v>0.0</v>
      </c>
      <c r="H233" s="11">
        <v>0.0</v>
      </c>
      <c r="I233" s="11">
        <v>0.0</v>
      </c>
      <c r="J233" s="11">
        <v>0.0</v>
      </c>
      <c r="K233" s="11">
        <f t="shared" si="1"/>
        <v>0</v>
      </c>
      <c r="L233" s="11">
        <f t="shared" si="2"/>
        <v>0</v>
      </c>
    </row>
    <row r="234" ht="15.75" customHeight="1">
      <c r="A234" s="10" t="s">
        <v>548</v>
      </c>
      <c r="B234" s="10" t="s">
        <v>549</v>
      </c>
      <c r="C234" s="11">
        <v>0.0</v>
      </c>
      <c r="D234" s="11">
        <v>0.0</v>
      </c>
      <c r="E234" s="11">
        <v>0.0</v>
      </c>
      <c r="F234" s="11">
        <v>0.0</v>
      </c>
      <c r="G234" s="11">
        <v>0.0</v>
      </c>
      <c r="H234" s="11">
        <v>0.0</v>
      </c>
      <c r="I234" s="11">
        <v>0.0</v>
      </c>
      <c r="J234" s="11">
        <v>0.0</v>
      </c>
      <c r="K234" s="11">
        <f t="shared" si="1"/>
        <v>0</v>
      </c>
      <c r="L234" s="11">
        <f t="shared" si="2"/>
        <v>0</v>
      </c>
    </row>
    <row r="235" ht="15.75" customHeight="1">
      <c r="A235" s="10" t="s">
        <v>550</v>
      </c>
      <c r="B235" s="10" t="s">
        <v>551</v>
      </c>
      <c r="C235" s="11">
        <v>0.0</v>
      </c>
      <c r="D235" s="11">
        <v>0.0</v>
      </c>
      <c r="E235" s="11">
        <v>0.0</v>
      </c>
      <c r="F235" s="11">
        <v>0.0</v>
      </c>
      <c r="G235" s="11">
        <v>0.0</v>
      </c>
      <c r="H235" s="11">
        <v>0.0</v>
      </c>
      <c r="I235" s="11">
        <v>0.0</v>
      </c>
      <c r="J235" s="11">
        <v>0.0</v>
      </c>
      <c r="K235" s="11">
        <f t="shared" si="1"/>
        <v>0</v>
      </c>
      <c r="L235" s="11">
        <f t="shared" si="2"/>
        <v>0</v>
      </c>
    </row>
    <row r="236" ht="15.75" customHeight="1">
      <c r="A236" s="10" t="s">
        <v>552</v>
      </c>
      <c r="B236" s="10" t="s">
        <v>553</v>
      </c>
      <c r="C236" s="11">
        <v>0.0</v>
      </c>
      <c r="D236" s="11">
        <v>0.0</v>
      </c>
      <c r="E236" s="11">
        <v>0.0</v>
      </c>
      <c r="F236" s="11">
        <v>0.0</v>
      </c>
      <c r="G236" s="11">
        <v>0.0</v>
      </c>
      <c r="H236" s="11">
        <v>0.0</v>
      </c>
      <c r="I236" s="11">
        <v>0.0</v>
      </c>
      <c r="J236" s="11">
        <v>0.0</v>
      </c>
      <c r="K236" s="11">
        <f t="shared" si="1"/>
        <v>0</v>
      </c>
      <c r="L236" s="11">
        <f t="shared" si="2"/>
        <v>0</v>
      </c>
    </row>
    <row r="237" ht="15.75" customHeight="1">
      <c r="A237" s="10" t="s">
        <v>554</v>
      </c>
      <c r="B237" s="10" t="s">
        <v>555</v>
      </c>
      <c r="C237" s="11">
        <v>0.0</v>
      </c>
      <c r="D237" s="11">
        <v>0.0</v>
      </c>
      <c r="E237" s="11">
        <v>0.0</v>
      </c>
      <c r="F237" s="11">
        <v>0.0</v>
      </c>
      <c r="G237" s="11">
        <v>0.0</v>
      </c>
      <c r="H237" s="11">
        <v>0.0</v>
      </c>
      <c r="I237" s="11">
        <v>0.0</v>
      </c>
      <c r="J237" s="11">
        <v>0.0</v>
      </c>
      <c r="K237" s="11">
        <f t="shared" si="1"/>
        <v>0</v>
      </c>
      <c r="L237" s="11">
        <f t="shared" si="2"/>
        <v>0</v>
      </c>
    </row>
    <row r="238" ht="15.75" customHeight="1">
      <c r="A238" s="10" t="s">
        <v>556</v>
      </c>
      <c r="B238" s="10" t="s">
        <v>557</v>
      </c>
      <c r="C238" s="11">
        <v>0.0</v>
      </c>
      <c r="D238" s="11">
        <v>0.0</v>
      </c>
      <c r="E238" s="11">
        <v>0.0</v>
      </c>
      <c r="F238" s="11">
        <v>0.0</v>
      </c>
      <c r="G238" s="11">
        <v>0.0</v>
      </c>
      <c r="H238" s="11">
        <v>0.0</v>
      </c>
      <c r="I238" s="11">
        <v>0.0</v>
      </c>
      <c r="J238" s="11">
        <v>9999.0</v>
      </c>
      <c r="K238" s="11">
        <f t="shared" si="1"/>
        <v>9999</v>
      </c>
      <c r="L238" s="11">
        <f t="shared" si="2"/>
        <v>2499.75</v>
      </c>
    </row>
    <row r="239" ht="15.75" customHeight="1">
      <c r="A239" s="10" t="s">
        <v>558</v>
      </c>
      <c r="B239" s="10" t="s">
        <v>559</v>
      </c>
      <c r="C239" s="11">
        <v>0.0</v>
      </c>
      <c r="D239" s="11">
        <v>0.0</v>
      </c>
      <c r="E239" s="11">
        <v>0.0</v>
      </c>
      <c r="F239" s="11">
        <v>0.0</v>
      </c>
      <c r="G239" s="11">
        <v>0.0</v>
      </c>
      <c r="H239" s="11">
        <v>0.0</v>
      </c>
      <c r="I239" s="11">
        <v>0.0</v>
      </c>
      <c r="J239" s="11">
        <v>0.0</v>
      </c>
      <c r="K239" s="11">
        <f t="shared" si="1"/>
        <v>0</v>
      </c>
      <c r="L239" s="11">
        <f t="shared" si="2"/>
        <v>0</v>
      </c>
    </row>
    <row r="240" ht="15.75" customHeight="1">
      <c r="A240" s="10" t="s">
        <v>560</v>
      </c>
      <c r="B240" s="10" t="s">
        <v>561</v>
      </c>
      <c r="C240" s="11">
        <v>0.0</v>
      </c>
      <c r="D240" s="11">
        <v>0.0</v>
      </c>
      <c r="E240" s="11">
        <v>0.0</v>
      </c>
      <c r="F240" s="11">
        <v>0.0</v>
      </c>
      <c r="G240" s="11">
        <v>0.0</v>
      </c>
      <c r="H240" s="11">
        <v>0.0</v>
      </c>
      <c r="I240" s="11">
        <v>0.0</v>
      </c>
      <c r="J240" s="11">
        <v>0.0</v>
      </c>
      <c r="K240" s="11">
        <f t="shared" si="1"/>
        <v>0</v>
      </c>
      <c r="L240" s="11">
        <f t="shared" si="2"/>
        <v>0</v>
      </c>
    </row>
    <row r="241" ht="15.75" customHeight="1">
      <c r="A241" s="10" t="s">
        <v>562</v>
      </c>
      <c r="B241" s="10" t="s">
        <v>563</v>
      </c>
      <c r="C241" s="11">
        <v>0.0</v>
      </c>
      <c r="D241" s="11">
        <v>0.0</v>
      </c>
      <c r="E241" s="11">
        <v>0.0</v>
      </c>
      <c r="F241" s="11">
        <v>0.0</v>
      </c>
      <c r="G241" s="11">
        <v>0.0</v>
      </c>
      <c r="H241" s="11">
        <v>0.0</v>
      </c>
      <c r="I241" s="11">
        <v>0.0</v>
      </c>
      <c r="J241" s="11">
        <v>0.0</v>
      </c>
      <c r="K241" s="11">
        <f t="shared" si="1"/>
        <v>0</v>
      </c>
      <c r="L241" s="11">
        <f t="shared" si="2"/>
        <v>0</v>
      </c>
    </row>
    <row r="242" ht="15.75" customHeight="1">
      <c r="A242" s="10" t="s">
        <v>564</v>
      </c>
      <c r="B242" s="10" t="s">
        <v>565</v>
      </c>
      <c r="C242" s="11">
        <v>0.0</v>
      </c>
      <c r="D242" s="11">
        <v>0.0</v>
      </c>
      <c r="E242" s="11">
        <v>0.0</v>
      </c>
      <c r="F242" s="11">
        <v>0.0</v>
      </c>
      <c r="G242" s="11">
        <v>0.0</v>
      </c>
      <c r="H242" s="11">
        <v>0.0</v>
      </c>
      <c r="I242" s="11">
        <v>0.0</v>
      </c>
      <c r="J242" s="11">
        <v>0.0</v>
      </c>
      <c r="K242" s="11">
        <f t="shared" si="1"/>
        <v>0</v>
      </c>
      <c r="L242" s="11">
        <f t="shared" si="2"/>
        <v>0</v>
      </c>
    </row>
    <row r="243" ht="15.75" customHeight="1">
      <c r="A243" s="10" t="s">
        <v>566</v>
      </c>
      <c r="B243" s="10" t="s">
        <v>567</v>
      </c>
      <c r="C243" s="11">
        <v>0.0</v>
      </c>
      <c r="D243" s="11">
        <v>0.0</v>
      </c>
      <c r="E243" s="11">
        <v>0.0</v>
      </c>
      <c r="F243" s="11">
        <v>0.0</v>
      </c>
      <c r="G243" s="11">
        <v>0.0</v>
      </c>
      <c r="H243" s="11">
        <v>0.0</v>
      </c>
      <c r="I243" s="11">
        <v>0.0</v>
      </c>
      <c r="J243" s="11">
        <v>0.0</v>
      </c>
      <c r="K243" s="11">
        <f t="shared" si="1"/>
        <v>0</v>
      </c>
      <c r="L243" s="11">
        <f t="shared" si="2"/>
        <v>0</v>
      </c>
    </row>
    <row r="244" ht="15.75" customHeight="1">
      <c r="A244" s="10" t="s">
        <v>568</v>
      </c>
      <c r="B244" s="10" t="s">
        <v>569</v>
      </c>
      <c r="C244" s="11">
        <v>0.0</v>
      </c>
      <c r="D244" s="11">
        <v>0.0</v>
      </c>
      <c r="E244" s="11">
        <v>0.0</v>
      </c>
      <c r="F244" s="11">
        <v>0.0</v>
      </c>
      <c r="G244" s="11">
        <v>0.0</v>
      </c>
      <c r="H244" s="11">
        <v>0.0</v>
      </c>
      <c r="I244" s="11">
        <v>0.0</v>
      </c>
      <c r="J244" s="11">
        <v>0.0</v>
      </c>
      <c r="K244" s="11">
        <f t="shared" si="1"/>
        <v>0</v>
      </c>
      <c r="L244" s="11">
        <f t="shared" si="2"/>
        <v>0</v>
      </c>
    </row>
    <row r="245" ht="15.75" customHeight="1">
      <c r="A245" s="10" t="s">
        <v>570</v>
      </c>
      <c r="B245" s="10" t="s">
        <v>571</v>
      </c>
      <c r="C245" s="11">
        <v>0.0</v>
      </c>
      <c r="D245" s="11">
        <v>0.0</v>
      </c>
      <c r="E245" s="11">
        <v>0.0</v>
      </c>
      <c r="F245" s="11">
        <v>0.0</v>
      </c>
      <c r="G245" s="11">
        <v>0.0</v>
      </c>
      <c r="H245" s="11">
        <v>0.0</v>
      </c>
      <c r="I245" s="11">
        <v>0.0</v>
      </c>
      <c r="J245" s="11">
        <v>0.0</v>
      </c>
      <c r="K245" s="11">
        <f t="shared" si="1"/>
        <v>0</v>
      </c>
      <c r="L245" s="11">
        <f t="shared" si="2"/>
        <v>0</v>
      </c>
    </row>
    <row r="246" ht="15.75" customHeight="1">
      <c r="A246" s="10" t="s">
        <v>572</v>
      </c>
      <c r="B246" s="10" t="s">
        <v>573</v>
      </c>
      <c r="C246" s="11">
        <v>0.0</v>
      </c>
      <c r="D246" s="11">
        <v>0.0</v>
      </c>
      <c r="E246" s="11">
        <v>0.0</v>
      </c>
      <c r="F246" s="11">
        <v>0.0</v>
      </c>
      <c r="G246" s="11">
        <v>0.0</v>
      </c>
      <c r="H246" s="11">
        <v>0.0</v>
      </c>
      <c r="I246" s="11">
        <v>0.0</v>
      </c>
      <c r="J246" s="11">
        <v>0.0</v>
      </c>
      <c r="K246" s="11">
        <f t="shared" si="1"/>
        <v>0</v>
      </c>
      <c r="L246" s="11">
        <f t="shared" si="2"/>
        <v>0</v>
      </c>
    </row>
    <row r="247" ht="15.75" customHeight="1">
      <c r="A247" s="10" t="s">
        <v>574</v>
      </c>
      <c r="B247" s="10" t="s">
        <v>575</v>
      </c>
      <c r="C247" s="11">
        <v>0.0</v>
      </c>
      <c r="D247" s="11">
        <v>0.0</v>
      </c>
      <c r="E247" s="11">
        <v>0.0</v>
      </c>
      <c r="F247" s="11">
        <v>0.0</v>
      </c>
      <c r="G247" s="11">
        <v>0.0</v>
      </c>
      <c r="H247" s="11">
        <v>0.0</v>
      </c>
      <c r="I247" s="11">
        <v>0.0</v>
      </c>
      <c r="J247" s="11">
        <v>0.0</v>
      </c>
      <c r="K247" s="11">
        <f t="shared" si="1"/>
        <v>0</v>
      </c>
      <c r="L247" s="11">
        <f t="shared" si="2"/>
        <v>0</v>
      </c>
    </row>
    <row r="248" ht="15.75" customHeight="1">
      <c r="A248" s="10" t="s">
        <v>576</v>
      </c>
      <c r="B248" s="10" t="s">
        <v>577</v>
      </c>
      <c r="C248" s="11">
        <v>0.0</v>
      </c>
      <c r="D248" s="11">
        <v>0.0</v>
      </c>
      <c r="E248" s="11">
        <v>0.0</v>
      </c>
      <c r="F248" s="11">
        <v>0.0</v>
      </c>
      <c r="G248" s="11">
        <v>0.0</v>
      </c>
      <c r="H248" s="11">
        <v>0.0</v>
      </c>
      <c r="I248" s="11">
        <v>0.0</v>
      </c>
      <c r="J248" s="11">
        <v>0.0</v>
      </c>
      <c r="K248" s="11">
        <f t="shared" si="1"/>
        <v>0</v>
      </c>
      <c r="L248" s="11">
        <f t="shared" si="2"/>
        <v>0</v>
      </c>
    </row>
    <row r="249" ht="15.75" customHeight="1">
      <c r="A249" s="10" t="s">
        <v>578</v>
      </c>
      <c r="B249" s="10" t="s">
        <v>579</v>
      </c>
      <c r="C249" s="11">
        <v>0.0</v>
      </c>
      <c r="D249" s="11">
        <v>0.0</v>
      </c>
      <c r="E249" s="11">
        <v>0.0</v>
      </c>
      <c r="F249" s="11">
        <v>0.0</v>
      </c>
      <c r="G249" s="11">
        <v>0.0</v>
      </c>
      <c r="H249" s="11">
        <v>0.0</v>
      </c>
      <c r="I249" s="11">
        <v>0.0</v>
      </c>
      <c r="J249" s="11">
        <v>0.0</v>
      </c>
      <c r="K249" s="11">
        <f t="shared" si="1"/>
        <v>0</v>
      </c>
      <c r="L249" s="11">
        <f t="shared" si="2"/>
        <v>0</v>
      </c>
    </row>
    <row r="250" ht="15.75" customHeight="1">
      <c r="A250" s="10" t="s">
        <v>580</v>
      </c>
      <c r="B250" s="10" t="s">
        <v>581</v>
      </c>
      <c r="C250" s="11">
        <v>0.0</v>
      </c>
      <c r="D250" s="11">
        <v>0.0</v>
      </c>
      <c r="E250" s="11">
        <v>0.0</v>
      </c>
      <c r="F250" s="11">
        <v>0.0</v>
      </c>
      <c r="G250" s="11">
        <v>0.0</v>
      </c>
      <c r="H250" s="11">
        <v>0.0</v>
      </c>
      <c r="I250" s="11">
        <v>0.0</v>
      </c>
      <c r="J250" s="11">
        <v>0.0</v>
      </c>
      <c r="K250" s="11">
        <f t="shared" si="1"/>
        <v>0</v>
      </c>
      <c r="L250" s="11">
        <f t="shared" si="2"/>
        <v>0</v>
      </c>
    </row>
    <row r="251" ht="15.75" customHeight="1">
      <c r="A251" s="10" t="s">
        <v>582</v>
      </c>
      <c r="B251" s="10" t="s">
        <v>583</v>
      </c>
      <c r="C251" s="11">
        <v>0.0</v>
      </c>
      <c r="D251" s="11">
        <v>0.0</v>
      </c>
      <c r="E251" s="11">
        <v>0.0</v>
      </c>
      <c r="F251" s="11">
        <v>0.0</v>
      </c>
      <c r="G251" s="11">
        <v>0.0</v>
      </c>
      <c r="H251" s="11">
        <v>0.0</v>
      </c>
      <c r="I251" s="11">
        <v>0.0</v>
      </c>
      <c r="J251" s="11">
        <v>0.0</v>
      </c>
      <c r="K251" s="11">
        <f t="shared" si="1"/>
        <v>0</v>
      </c>
      <c r="L251" s="11">
        <f t="shared" si="2"/>
        <v>0</v>
      </c>
    </row>
    <row r="252" ht="15.75" customHeight="1">
      <c r="A252" s="10" t="s">
        <v>584</v>
      </c>
      <c r="B252" s="10" t="s">
        <v>585</v>
      </c>
      <c r="C252" s="11">
        <v>0.0</v>
      </c>
      <c r="D252" s="11">
        <v>0.0</v>
      </c>
      <c r="E252" s="11">
        <v>0.0</v>
      </c>
      <c r="F252" s="11">
        <v>0.0</v>
      </c>
      <c r="G252" s="11">
        <v>0.0</v>
      </c>
      <c r="H252" s="11">
        <v>0.0</v>
      </c>
      <c r="I252" s="11">
        <v>0.0</v>
      </c>
      <c r="J252" s="11">
        <v>0.0</v>
      </c>
      <c r="K252" s="11">
        <f t="shared" si="1"/>
        <v>0</v>
      </c>
      <c r="L252" s="11">
        <f t="shared" si="2"/>
        <v>0</v>
      </c>
    </row>
    <row r="253" ht="15.75" customHeight="1">
      <c r="A253" s="10" t="s">
        <v>586</v>
      </c>
      <c r="B253" s="10" t="s">
        <v>587</v>
      </c>
      <c r="C253" s="11">
        <v>0.0</v>
      </c>
      <c r="D253" s="11">
        <v>0.0</v>
      </c>
      <c r="E253" s="11">
        <v>0.0</v>
      </c>
      <c r="F253" s="11">
        <v>0.0</v>
      </c>
      <c r="G253" s="11">
        <v>0.0</v>
      </c>
      <c r="H253" s="11">
        <v>0.0</v>
      </c>
      <c r="I253" s="11">
        <v>0.0</v>
      </c>
      <c r="J253" s="11">
        <v>0.0</v>
      </c>
      <c r="K253" s="11">
        <f t="shared" si="1"/>
        <v>0</v>
      </c>
      <c r="L253" s="11">
        <f t="shared" si="2"/>
        <v>0</v>
      </c>
    </row>
    <row r="254" ht="15.75" customHeight="1">
      <c r="A254" s="10" t="s">
        <v>588</v>
      </c>
      <c r="B254" s="10" t="s">
        <v>589</v>
      </c>
      <c r="C254" s="11">
        <v>0.0</v>
      </c>
      <c r="D254" s="11">
        <v>0.0</v>
      </c>
      <c r="E254" s="11">
        <v>0.0</v>
      </c>
      <c r="F254" s="11">
        <v>0.0</v>
      </c>
      <c r="G254" s="11">
        <v>0.0</v>
      </c>
      <c r="H254" s="11">
        <v>0.0</v>
      </c>
      <c r="I254" s="11">
        <v>0.0</v>
      </c>
      <c r="J254" s="11">
        <v>0.0</v>
      </c>
      <c r="K254" s="11">
        <f t="shared" si="1"/>
        <v>0</v>
      </c>
      <c r="L254" s="11">
        <f t="shared" si="2"/>
        <v>0</v>
      </c>
    </row>
    <row r="255" ht="15.75" customHeight="1">
      <c r="A255" s="10" t="s">
        <v>591</v>
      </c>
      <c r="B255" s="10" t="s">
        <v>592</v>
      </c>
      <c r="C255" s="11">
        <v>0.0</v>
      </c>
      <c r="D255" s="11">
        <v>0.0</v>
      </c>
      <c r="E255" s="11">
        <v>0.0</v>
      </c>
      <c r="F255" s="11">
        <v>0.0</v>
      </c>
      <c r="G255" s="11">
        <v>0.0</v>
      </c>
      <c r="H255" s="11">
        <v>0.0</v>
      </c>
      <c r="I255" s="11">
        <v>0.0</v>
      </c>
      <c r="J255" s="11">
        <v>0.0</v>
      </c>
      <c r="K255" s="11">
        <f t="shared" si="1"/>
        <v>0</v>
      </c>
      <c r="L255" s="11">
        <f t="shared" si="2"/>
        <v>0</v>
      </c>
    </row>
    <row r="256" ht="15.75" customHeight="1">
      <c r="A256" s="10" t="s">
        <v>593</v>
      </c>
      <c r="B256" s="10" t="s">
        <v>594</v>
      </c>
      <c r="C256" s="11">
        <v>0.0</v>
      </c>
      <c r="D256" s="11">
        <v>0.0</v>
      </c>
      <c r="E256" s="11">
        <v>0.0</v>
      </c>
      <c r="F256" s="11">
        <v>0.0</v>
      </c>
      <c r="G256" s="11">
        <v>0.0</v>
      </c>
      <c r="H256" s="11">
        <v>0.0</v>
      </c>
      <c r="I256" s="11">
        <v>0.0</v>
      </c>
      <c r="J256" s="11">
        <v>0.0</v>
      </c>
      <c r="K256" s="11">
        <f t="shared" si="1"/>
        <v>0</v>
      </c>
      <c r="L256" s="11">
        <f t="shared" si="2"/>
        <v>0</v>
      </c>
    </row>
    <row r="257" ht="15.75" customHeight="1">
      <c r="A257" s="10" t="s">
        <v>595</v>
      </c>
      <c r="B257" s="10" t="s">
        <v>596</v>
      </c>
      <c r="C257" s="11">
        <v>0.0</v>
      </c>
      <c r="D257" s="11">
        <v>0.0</v>
      </c>
      <c r="E257" s="11">
        <v>0.0</v>
      </c>
      <c r="F257" s="11">
        <v>0.0</v>
      </c>
      <c r="G257" s="11">
        <v>0.0</v>
      </c>
      <c r="H257" s="11">
        <v>0.0</v>
      </c>
      <c r="I257" s="11">
        <v>0.0</v>
      </c>
      <c r="J257" s="11">
        <v>0.0</v>
      </c>
      <c r="K257" s="11">
        <f t="shared" si="1"/>
        <v>0</v>
      </c>
      <c r="L257" s="11">
        <f t="shared" si="2"/>
        <v>0</v>
      </c>
    </row>
    <row r="258" ht="15.75" customHeight="1">
      <c r="A258" s="10" t="s">
        <v>597</v>
      </c>
      <c r="B258" s="10" t="s">
        <v>598</v>
      </c>
      <c r="C258" s="11">
        <v>0.0</v>
      </c>
      <c r="D258" s="11">
        <v>0.0</v>
      </c>
      <c r="E258" s="11">
        <v>0.0</v>
      </c>
      <c r="F258" s="11">
        <v>0.0</v>
      </c>
      <c r="G258" s="11">
        <v>0.0</v>
      </c>
      <c r="H258" s="11">
        <v>0.0</v>
      </c>
      <c r="I258" s="11">
        <v>0.0</v>
      </c>
      <c r="J258" s="11">
        <v>0.0</v>
      </c>
      <c r="K258" s="11">
        <f t="shared" si="1"/>
        <v>0</v>
      </c>
      <c r="L258" s="11">
        <f t="shared" si="2"/>
        <v>0</v>
      </c>
    </row>
    <row r="259" ht="15.75" customHeight="1">
      <c r="A259" s="10" t="s">
        <v>599</v>
      </c>
      <c r="B259" s="10" t="s">
        <v>600</v>
      </c>
      <c r="C259" s="11">
        <v>0.0</v>
      </c>
      <c r="D259" s="11">
        <v>0.0</v>
      </c>
      <c r="E259" s="11">
        <v>0.0</v>
      </c>
      <c r="F259" s="11">
        <v>0.0</v>
      </c>
      <c r="G259" s="11">
        <v>0.0</v>
      </c>
      <c r="H259" s="11">
        <v>0.0</v>
      </c>
      <c r="I259" s="11">
        <v>0.0</v>
      </c>
      <c r="J259" s="11">
        <v>0.0</v>
      </c>
      <c r="K259" s="11">
        <f t="shared" si="1"/>
        <v>0</v>
      </c>
      <c r="L259" s="11">
        <f t="shared" si="2"/>
        <v>0</v>
      </c>
    </row>
    <row r="260" ht="15.75" customHeight="1">
      <c r="A260" s="10" t="s">
        <v>601</v>
      </c>
      <c r="B260" s="10" t="s">
        <v>602</v>
      </c>
      <c r="C260" s="11">
        <v>0.0</v>
      </c>
      <c r="D260" s="11">
        <v>0.0</v>
      </c>
      <c r="E260" s="11">
        <v>0.0</v>
      </c>
      <c r="F260" s="11">
        <v>0.0</v>
      </c>
      <c r="G260" s="11">
        <v>0.0</v>
      </c>
      <c r="H260" s="11">
        <v>0.0</v>
      </c>
      <c r="I260" s="11">
        <v>0.0</v>
      </c>
      <c r="J260" s="11">
        <v>0.0</v>
      </c>
      <c r="K260" s="11">
        <f t="shared" si="1"/>
        <v>0</v>
      </c>
      <c r="L260" s="11">
        <f t="shared" si="2"/>
        <v>0</v>
      </c>
    </row>
    <row r="261" ht="15.75" customHeight="1">
      <c r="A261" s="10" t="s">
        <v>603</v>
      </c>
      <c r="B261" s="10" t="s">
        <v>604</v>
      </c>
      <c r="C261" s="11">
        <v>0.0</v>
      </c>
      <c r="D261" s="11">
        <v>0.0</v>
      </c>
      <c r="E261" s="11">
        <v>0.0</v>
      </c>
      <c r="F261" s="11">
        <v>0.0</v>
      </c>
      <c r="G261" s="11">
        <v>0.0</v>
      </c>
      <c r="H261" s="11">
        <v>0.0</v>
      </c>
      <c r="I261" s="11">
        <v>0.0</v>
      </c>
      <c r="J261" s="11">
        <v>0.0</v>
      </c>
      <c r="K261" s="11">
        <f t="shared" si="1"/>
        <v>0</v>
      </c>
      <c r="L261" s="11">
        <f t="shared" si="2"/>
        <v>0</v>
      </c>
    </row>
    <row r="262" ht="15.75" customHeight="1">
      <c r="A262" s="10" t="s">
        <v>605</v>
      </c>
      <c r="B262" s="10" t="s">
        <v>606</v>
      </c>
      <c r="C262" s="11">
        <v>0.0</v>
      </c>
      <c r="D262" s="11">
        <v>0.0</v>
      </c>
      <c r="E262" s="11">
        <v>0.0</v>
      </c>
      <c r="F262" s="11">
        <v>0.0</v>
      </c>
      <c r="G262" s="11">
        <v>0.0</v>
      </c>
      <c r="H262" s="11">
        <v>0.0</v>
      </c>
      <c r="I262" s="11">
        <v>0.0</v>
      </c>
      <c r="J262" s="11">
        <v>0.0</v>
      </c>
      <c r="K262" s="11">
        <f t="shared" si="1"/>
        <v>0</v>
      </c>
      <c r="L262" s="11">
        <f t="shared" si="2"/>
        <v>0</v>
      </c>
    </row>
    <row r="263" ht="15.75" customHeight="1">
      <c r="A263" s="10" t="s">
        <v>607</v>
      </c>
      <c r="B263" s="10" t="s">
        <v>608</v>
      </c>
      <c r="C263" s="11">
        <v>0.0</v>
      </c>
      <c r="D263" s="11">
        <v>0.0</v>
      </c>
      <c r="E263" s="11">
        <v>0.0</v>
      </c>
      <c r="F263" s="11">
        <v>0.0</v>
      </c>
      <c r="G263" s="11">
        <v>0.0</v>
      </c>
      <c r="H263" s="11">
        <v>0.0</v>
      </c>
      <c r="I263" s="11">
        <v>0.0</v>
      </c>
      <c r="J263" s="11">
        <v>0.0</v>
      </c>
      <c r="K263" s="11">
        <f t="shared" si="1"/>
        <v>0</v>
      </c>
      <c r="L263" s="11">
        <f t="shared" si="2"/>
        <v>0</v>
      </c>
    </row>
    <row r="264" ht="15.75" customHeight="1">
      <c r="A264" s="10" t="s">
        <v>609</v>
      </c>
      <c r="B264" s="10" t="s">
        <v>610</v>
      </c>
      <c r="C264" s="11">
        <v>0.0</v>
      </c>
      <c r="D264" s="11">
        <v>0.0</v>
      </c>
      <c r="E264" s="11">
        <v>0.0</v>
      </c>
      <c r="F264" s="11">
        <v>0.0</v>
      </c>
      <c r="G264" s="11">
        <v>0.0</v>
      </c>
      <c r="H264" s="11">
        <v>0.0</v>
      </c>
      <c r="I264" s="11">
        <v>0.0</v>
      </c>
      <c r="J264" s="11">
        <v>0.0</v>
      </c>
      <c r="K264" s="11">
        <f t="shared" si="1"/>
        <v>0</v>
      </c>
      <c r="L264" s="11">
        <f t="shared" si="2"/>
        <v>0</v>
      </c>
    </row>
    <row r="265" ht="15.75" customHeight="1">
      <c r="A265" s="10" t="s">
        <v>611</v>
      </c>
      <c r="B265" s="10" t="s">
        <v>612</v>
      </c>
      <c r="C265" s="11">
        <v>0.0</v>
      </c>
      <c r="D265" s="11">
        <v>0.0</v>
      </c>
      <c r="E265" s="11">
        <v>0.0</v>
      </c>
      <c r="F265" s="11">
        <v>0.0</v>
      </c>
      <c r="G265" s="11">
        <v>0.0</v>
      </c>
      <c r="H265" s="11">
        <v>0.0</v>
      </c>
      <c r="I265" s="11">
        <v>0.0</v>
      </c>
      <c r="J265" s="11">
        <v>0.0</v>
      </c>
      <c r="K265" s="11">
        <f t="shared" si="1"/>
        <v>0</v>
      </c>
      <c r="L265" s="11">
        <f t="shared" si="2"/>
        <v>0</v>
      </c>
    </row>
    <row r="266" ht="15.75" customHeight="1">
      <c r="A266" s="10" t="s">
        <v>613</v>
      </c>
      <c r="B266" s="10" t="s">
        <v>614</v>
      </c>
      <c r="C266" s="11">
        <v>0.0</v>
      </c>
      <c r="D266" s="11">
        <v>0.0</v>
      </c>
      <c r="E266" s="11">
        <v>0.0</v>
      </c>
      <c r="F266" s="11">
        <v>0.0</v>
      </c>
      <c r="G266" s="11">
        <v>0.0</v>
      </c>
      <c r="H266" s="11">
        <v>0.0</v>
      </c>
      <c r="I266" s="11">
        <v>0.0</v>
      </c>
      <c r="J266" s="11">
        <v>0.0</v>
      </c>
      <c r="K266" s="11">
        <f t="shared" si="1"/>
        <v>0</v>
      </c>
      <c r="L266" s="11">
        <f t="shared" si="2"/>
        <v>0</v>
      </c>
    </row>
    <row r="267" ht="15.75" customHeight="1">
      <c r="A267" s="10" t="s">
        <v>615</v>
      </c>
      <c r="B267" s="10" t="s">
        <v>616</v>
      </c>
      <c r="C267" s="11">
        <v>0.0</v>
      </c>
      <c r="D267" s="11">
        <v>0.0</v>
      </c>
      <c r="E267" s="11">
        <v>0.0</v>
      </c>
      <c r="F267" s="11">
        <v>0.0</v>
      </c>
      <c r="G267" s="11">
        <v>0.0</v>
      </c>
      <c r="H267" s="11">
        <v>0.0</v>
      </c>
      <c r="I267" s="11">
        <v>0.0</v>
      </c>
      <c r="J267" s="11">
        <v>0.0</v>
      </c>
      <c r="K267" s="11">
        <f t="shared" si="1"/>
        <v>0</v>
      </c>
      <c r="L267" s="11">
        <f t="shared" si="2"/>
        <v>0</v>
      </c>
    </row>
    <row r="268" ht="15.75" customHeight="1">
      <c r="A268" s="10" t="s">
        <v>617</v>
      </c>
      <c r="B268" s="10" t="s">
        <v>618</v>
      </c>
      <c r="C268" s="11">
        <v>0.0</v>
      </c>
      <c r="D268" s="11">
        <v>0.0</v>
      </c>
      <c r="E268" s="11">
        <v>0.0</v>
      </c>
      <c r="F268" s="11">
        <v>0.0</v>
      </c>
      <c r="G268" s="11">
        <v>0.0</v>
      </c>
      <c r="H268" s="11">
        <v>0.0</v>
      </c>
      <c r="I268" s="11">
        <v>0.0</v>
      </c>
      <c r="J268" s="11">
        <v>0.0</v>
      </c>
      <c r="K268" s="11">
        <f t="shared" si="1"/>
        <v>0</v>
      </c>
      <c r="L268" s="11">
        <f t="shared" si="2"/>
        <v>0</v>
      </c>
    </row>
    <row r="269" ht="15.75" customHeight="1">
      <c r="A269" s="10" t="s">
        <v>619</v>
      </c>
      <c r="B269" s="10" t="s">
        <v>620</v>
      </c>
      <c r="C269" s="11">
        <v>0.0</v>
      </c>
      <c r="D269" s="11">
        <v>0.0</v>
      </c>
      <c r="E269" s="11">
        <v>0.0</v>
      </c>
      <c r="F269" s="11">
        <v>0.0</v>
      </c>
      <c r="G269" s="11">
        <v>0.0</v>
      </c>
      <c r="H269" s="11">
        <v>0.0</v>
      </c>
      <c r="I269" s="11">
        <v>0.0</v>
      </c>
      <c r="J269" s="11">
        <v>0.0</v>
      </c>
      <c r="K269" s="11">
        <f t="shared" si="1"/>
        <v>0</v>
      </c>
      <c r="L269" s="11">
        <f t="shared" si="2"/>
        <v>0</v>
      </c>
    </row>
    <row r="270" ht="15.75" customHeight="1">
      <c r="A270" s="10" t="s">
        <v>621</v>
      </c>
      <c r="B270" s="10" t="s">
        <v>622</v>
      </c>
      <c r="C270" s="11">
        <v>0.0</v>
      </c>
      <c r="D270" s="11">
        <v>0.0</v>
      </c>
      <c r="E270" s="11">
        <v>0.0</v>
      </c>
      <c r="F270" s="11">
        <v>0.0</v>
      </c>
      <c r="G270" s="11">
        <v>0.0</v>
      </c>
      <c r="H270" s="11">
        <v>0.0</v>
      </c>
      <c r="I270" s="11">
        <v>0.0</v>
      </c>
      <c r="J270" s="11">
        <v>0.0</v>
      </c>
      <c r="K270" s="11">
        <f t="shared" si="1"/>
        <v>0</v>
      </c>
      <c r="L270" s="11">
        <f t="shared" si="2"/>
        <v>0</v>
      </c>
    </row>
    <row r="271" ht="15.75" customHeight="1">
      <c r="A271" s="10" t="s">
        <v>623</v>
      </c>
      <c r="B271" s="10" t="s">
        <v>624</v>
      </c>
      <c r="C271" s="11">
        <v>0.0</v>
      </c>
      <c r="D271" s="11">
        <v>0.0</v>
      </c>
      <c r="E271" s="11">
        <v>0.0</v>
      </c>
      <c r="F271" s="11">
        <v>0.0</v>
      </c>
      <c r="G271" s="11">
        <v>0.0</v>
      </c>
      <c r="H271" s="11">
        <v>0.0</v>
      </c>
      <c r="I271" s="11">
        <v>0.0</v>
      </c>
      <c r="J271" s="11">
        <v>0.0</v>
      </c>
      <c r="K271" s="11">
        <f t="shared" si="1"/>
        <v>0</v>
      </c>
      <c r="L271" s="11">
        <f t="shared" si="2"/>
        <v>0</v>
      </c>
    </row>
    <row r="272" ht="15.75" customHeight="1">
      <c r="A272" s="10" t="s">
        <v>625</v>
      </c>
      <c r="B272" s="10" t="s">
        <v>626</v>
      </c>
      <c r="C272" s="11">
        <v>0.0</v>
      </c>
      <c r="D272" s="11">
        <v>0.0</v>
      </c>
      <c r="E272" s="11">
        <v>0.0</v>
      </c>
      <c r="F272" s="11">
        <v>0.0</v>
      </c>
      <c r="G272" s="11">
        <v>0.0</v>
      </c>
      <c r="H272" s="11">
        <v>0.0</v>
      </c>
      <c r="I272" s="11">
        <v>0.0</v>
      </c>
      <c r="J272" s="11">
        <v>0.0</v>
      </c>
      <c r="K272" s="11">
        <f t="shared" si="1"/>
        <v>0</v>
      </c>
      <c r="L272" s="11">
        <f t="shared" si="2"/>
        <v>0</v>
      </c>
    </row>
    <row r="273" ht="15.75" customHeight="1">
      <c r="A273" s="10" t="s">
        <v>627</v>
      </c>
      <c r="B273" s="10" t="s">
        <v>628</v>
      </c>
      <c r="C273" s="11">
        <v>0.0</v>
      </c>
      <c r="D273" s="11">
        <v>0.0</v>
      </c>
      <c r="E273" s="11">
        <v>0.0</v>
      </c>
      <c r="F273" s="11">
        <v>0.0</v>
      </c>
      <c r="G273" s="11">
        <v>0.0</v>
      </c>
      <c r="H273" s="11">
        <v>0.0</v>
      </c>
      <c r="I273" s="11">
        <v>0.0</v>
      </c>
      <c r="J273" s="11">
        <v>0.0</v>
      </c>
      <c r="K273" s="11">
        <f t="shared" si="1"/>
        <v>0</v>
      </c>
      <c r="L273" s="11">
        <f t="shared" si="2"/>
        <v>0</v>
      </c>
    </row>
    <row r="274" ht="15.75" customHeight="1">
      <c r="A274" s="10" t="s">
        <v>629</v>
      </c>
      <c r="B274" s="10" t="s">
        <v>630</v>
      </c>
      <c r="C274" s="11">
        <v>0.0</v>
      </c>
      <c r="D274" s="11">
        <v>0.0</v>
      </c>
      <c r="E274" s="11">
        <v>0.0</v>
      </c>
      <c r="F274" s="11">
        <v>0.0</v>
      </c>
      <c r="G274" s="11">
        <v>0.0</v>
      </c>
      <c r="H274" s="11">
        <v>0.0</v>
      </c>
      <c r="I274" s="11">
        <v>0.0</v>
      </c>
      <c r="J274" s="11">
        <v>0.0</v>
      </c>
      <c r="K274" s="11">
        <f t="shared" si="1"/>
        <v>0</v>
      </c>
      <c r="L274" s="11">
        <f t="shared" si="2"/>
        <v>0</v>
      </c>
    </row>
    <row r="275" ht="15.75" customHeight="1">
      <c r="A275" s="10" t="s">
        <v>631</v>
      </c>
      <c r="B275" s="10" t="s">
        <v>632</v>
      </c>
      <c r="C275" s="11">
        <v>0.0</v>
      </c>
      <c r="D275" s="11">
        <v>0.0</v>
      </c>
      <c r="E275" s="11">
        <v>0.0</v>
      </c>
      <c r="F275" s="11">
        <v>0.0</v>
      </c>
      <c r="G275" s="11">
        <v>0.0</v>
      </c>
      <c r="H275" s="11">
        <v>0.0</v>
      </c>
      <c r="I275" s="11">
        <v>0.0</v>
      </c>
      <c r="J275" s="11">
        <v>0.0</v>
      </c>
      <c r="K275" s="11">
        <f t="shared" si="1"/>
        <v>0</v>
      </c>
      <c r="L275" s="11">
        <f t="shared" si="2"/>
        <v>0</v>
      </c>
    </row>
    <row r="276" ht="15.75" customHeight="1">
      <c r="A276" s="10" t="s">
        <v>633</v>
      </c>
      <c r="B276" s="10" t="s">
        <v>634</v>
      </c>
      <c r="C276" s="11">
        <v>0.0</v>
      </c>
      <c r="D276" s="11">
        <v>0.0</v>
      </c>
      <c r="E276" s="11">
        <v>0.0</v>
      </c>
      <c r="F276" s="11">
        <v>0.0</v>
      </c>
      <c r="G276" s="11">
        <v>0.0</v>
      </c>
      <c r="H276" s="11">
        <v>0.0</v>
      </c>
      <c r="I276" s="11">
        <v>0.0</v>
      </c>
      <c r="J276" s="11">
        <v>0.0</v>
      </c>
      <c r="K276" s="11">
        <f t="shared" si="1"/>
        <v>0</v>
      </c>
      <c r="L276" s="11">
        <f t="shared" si="2"/>
        <v>0</v>
      </c>
    </row>
    <row r="277" ht="15.75" customHeight="1">
      <c r="A277" s="10" t="s">
        <v>635</v>
      </c>
      <c r="B277" s="10" t="s">
        <v>636</v>
      </c>
      <c r="C277" s="11">
        <v>0.0</v>
      </c>
      <c r="D277" s="11">
        <v>0.0</v>
      </c>
      <c r="E277" s="11">
        <v>0.0</v>
      </c>
      <c r="F277" s="11">
        <v>0.0</v>
      </c>
      <c r="G277" s="11">
        <v>0.0</v>
      </c>
      <c r="H277" s="11">
        <v>0.0</v>
      </c>
      <c r="I277" s="11">
        <v>0.0</v>
      </c>
      <c r="J277" s="11">
        <v>0.0</v>
      </c>
      <c r="K277" s="11">
        <f t="shared" si="1"/>
        <v>0</v>
      </c>
      <c r="L277" s="11">
        <f t="shared" si="2"/>
        <v>0</v>
      </c>
    </row>
    <row r="278" ht="15.75" customHeight="1">
      <c r="A278" s="10" t="s">
        <v>637</v>
      </c>
      <c r="B278" s="10" t="s">
        <v>638</v>
      </c>
      <c r="C278" s="11">
        <v>0.0</v>
      </c>
      <c r="D278" s="11">
        <v>0.0</v>
      </c>
      <c r="E278" s="11">
        <v>0.0</v>
      </c>
      <c r="F278" s="11">
        <v>0.0</v>
      </c>
      <c r="G278" s="11">
        <v>0.0</v>
      </c>
      <c r="H278" s="11">
        <v>0.0</v>
      </c>
      <c r="I278" s="11">
        <v>0.0</v>
      </c>
      <c r="J278" s="11">
        <v>0.0</v>
      </c>
      <c r="K278" s="11">
        <f t="shared" si="1"/>
        <v>0</v>
      </c>
      <c r="L278" s="11">
        <f t="shared" si="2"/>
        <v>0</v>
      </c>
    </row>
    <row r="279" ht="15.75" customHeight="1">
      <c r="A279" s="10" t="s">
        <v>639</v>
      </c>
      <c r="B279" s="10" t="s">
        <v>640</v>
      </c>
      <c r="C279" s="11">
        <v>0.0</v>
      </c>
      <c r="D279" s="11">
        <v>0.0</v>
      </c>
      <c r="E279" s="11">
        <v>0.0</v>
      </c>
      <c r="F279" s="11">
        <v>0.0</v>
      </c>
      <c r="G279" s="11">
        <v>0.0</v>
      </c>
      <c r="H279" s="11">
        <v>0.0</v>
      </c>
      <c r="I279" s="11">
        <v>0.0</v>
      </c>
      <c r="J279" s="11">
        <v>0.0</v>
      </c>
      <c r="K279" s="11">
        <f t="shared" si="1"/>
        <v>0</v>
      </c>
      <c r="L279" s="11">
        <f t="shared" si="2"/>
        <v>0</v>
      </c>
    </row>
    <row r="280" ht="15.75" customHeight="1">
      <c r="A280" s="10" t="s">
        <v>641</v>
      </c>
      <c r="B280" s="10" t="s">
        <v>642</v>
      </c>
      <c r="C280" s="11">
        <v>0.0</v>
      </c>
      <c r="D280" s="11">
        <v>0.0</v>
      </c>
      <c r="E280" s="11">
        <v>0.0</v>
      </c>
      <c r="F280" s="11">
        <v>0.0</v>
      </c>
      <c r="G280" s="11">
        <v>0.0</v>
      </c>
      <c r="H280" s="11">
        <v>0.0</v>
      </c>
      <c r="I280" s="11">
        <v>0.0</v>
      </c>
      <c r="J280" s="11">
        <v>0.0</v>
      </c>
      <c r="K280" s="11">
        <f t="shared" si="1"/>
        <v>0</v>
      </c>
      <c r="L280" s="11">
        <f t="shared" si="2"/>
        <v>0</v>
      </c>
    </row>
    <row r="281" ht="15.75" customHeight="1">
      <c r="A281" s="10" t="s">
        <v>644</v>
      </c>
      <c r="B281" s="10" t="s">
        <v>645</v>
      </c>
      <c r="C281" s="11">
        <v>0.0</v>
      </c>
      <c r="D281" s="11">
        <v>0.0</v>
      </c>
      <c r="E281" s="11">
        <v>0.0</v>
      </c>
      <c r="F281" s="11">
        <v>0.0</v>
      </c>
      <c r="G281" s="11">
        <v>0.0</v>
      </c>
      <c r="H281" s="11">
        <v>0.0</v>
      </c>
      <c r="I281" s="11">
        <v>0.0</v>
      </c>
      <c r="J281" s="11">
        <v>0.0</v>
      </c>
      <c r="K281" s="11">
        <f t="shared" si="1"/>
        <v>0</v>
      </c>
      <c r="L281" s="11">
        <f t="shared" si="2"/>
        <v>0</v>
      </c>
    </row>
    <row r="282" ht="15.75" customHeight="1">
      <c r="A282" s="10" t="s">
        <v>647</v>
      </c>
      <c r="B282" s="10" t="s">
        <v>648</v>
      </c>
      <c r="C282" s="11">
        <v>250.0</v>
      </c>
      <c r="D282" s="11">
        <v>0.0</v>
      </c>
      <c r="E282" s="11">
        <v>49.0</v>
      </c>
      <c r="F282" s="11">
        <v>48.0</v>
      </c>
      <c r="G282" s="11">
        <v>0.0</v>
      </c>
      <c r="H282" s="11">
        <v>50.0</v>
      </c>
      <c r="I282" s="11">
        <v>98.0</v>
      </c>
      <c r="J282" s="11">
        <v>269.0</v>
      </c>
      <c r="K282" s="11">
        <f t="shared" si="1"/>
        <v>764</v>
      </c>
      <c r="L282" s="11">
        <f t="shared" si="2"/>
        <v>104.25</v>
      </c>
    </row>
    <row r="283" ht="15.75" customHeight="1">
      <c r="A283" s="10" t="s">
        <v>649</v>
      </c>
      <c r="B283" s="10" t="s">
        <v>650</v>
      </c>
      <c r="C283" s="11">
        <v>0.0</v>
      </c>
      <c r="D283" s="11">
        <v>0.0</v>
      </c>
      <c r="E283" s="11">
        <v>0.0</v>
      </c>
      <c r="F283" s="11">
        <v>0.0</v>
      </c>
      <c r="G283" s="11">
        <v>0.0</v>
      </c>
      <c r="H283" s="11">
        <v>0.0</v>
      </c>
      <c r="I283" s="11">
        <v>100.0</v>
      </c>
      <c r="J283" s="11">
        <v>0.0</v>
      </c>
      <c r="K283" s="11">
        <f t="shared" si="1"/>
        <v>100</v>
      </c>
      <c r="L283" s="11">
        <f t="shared" si="2"/>
        <v>25</v>
      </c>
    </row>
    <row r="284" ht="15.75" customHeight="1">
      <c r="A284" s="10" t="s">
        <v>651</v>
      </c>
      <c r="B284" s="10" t="s">
        <v>652</v>
      </c>
      <c r="C284" s="11">
        <v>50.0</v>
      </c>
      <c r="D284" s="11">
        <v>0.0</v>
      </c>
      <c r="E284" s="11">
        <v>100.0</v>
      </c>
      <c r="F284" s="11">
        <v>0.0</v>
      </c>
      <c r="G284" s="11">
        <v>50.0</v>
      </c>
      <c r="H284" s="11">
        <v>0.0</v>
      </c>
      <c r="I284" s="11">
        <v>0.0</v>
      </c>
      <c r="J284" s="11">
        <v>50.0</v>
      </c>
      <c r="K284" s="11">
        <f t="shared" si="1"/>
        <v>250</v>
      </c>
      <c r="L284" s="11">
        <f t="shared" si="2"/>
        <v>25</v>
      </c>
    </row>
    <row r="285" ht="15.75" customHeight="1">
      <c r="A285" s="10" t="s">
        <v>653</v>
      </c>
      <c r="B285" s="10" t="s">
        <v>654</v>
      </c>
      <c r="C285" s="11">
        <v>50.0</v>
      </c>
      <c r="D285" s="11">
        <v>0.0</v>
      </c>
      <c r="E285" s="11">
        <v>100.0</v>
      </c>
      <c r="F285" s="11">
        <v>0.0</v>
      </c>
      <c r="G285" s="11">
        <v>0.0</v>
      </c>
      <c r="H285" s="11">
        <v>0.0</v>
      </c>
      <c r="I285" s="11">
        <v>50.0</v>
      </c>
      <c r="J285" s="11">
        <v>83.0</v>
      </c>
      <c r="K285" s="11">
        <f t="shared" si="1"/>
        <v>283</v>
      </c>
      <c r="L285" s="11">
        <f t="shared" si="2"/>
        <v>33.25</v>
      </c>
    </row>
    <row r="286" ht="15.75" customHeight="1">
      <c r="A286" s="10" t="s">
        <v>655</v>
      </c>
      <c r="B286" s="10" t="s">
        <v>656</v>
      </c>
      <c r="C286" s="11">
        <v>100.0</v>
      </c>
      <c r="D286" s="11">
        <v>50.0</v>
      </c>
      <c r="E286" s="11">
        <v>50.0</v>
      </c>
      <c r="F286" s="11">
        <v>50.0</v>
      </c>
      <c r="G286" s="11">
        <v>0.0</v>
      </c>
      <c r="H286" s="11">
        <v>57.0</v>
      </c>
      <c r="I286" s="11">
        <v>0.0</v>
      </c>
      <c r="J286" s="11">
        <v>0.0</v>
      </c>
      <c r="K286" s="11">
        <f t="shared" si="1"/>
        <v>307</v>
      </c>
      <c r="L286" s="11">
        <f t="shared" si="2"/>
        <v>14.25</v>
      </c>
    </row>
    <row r="287" ht="15.75" customHeight="1">
      <c r="A287" s="10" t="s">
        <v>657</v>
      </c>
      <c r="B287" s="10" t="s">
        <v>658</v>
      </c>
      <c r="C287" s="11">
        <v>0.0</v>
      </c>
      <c r="D287" s="11">
        <v>0.0</v>
      </c>
      <c r="E287" s="11">
        <v>0.0</v>
      </c>
      <c r="F287" s="11">
        <v>0.0</v>
      </c>
      <c r="G287" s="11">
        <v>0.0</v>
      </c>
      <c r="H287" s="11">
        <v>30.0</v>
      </c>
      <c r="I287" s="11">
        <v>30.0</v>
      </c>
      <c r="J287" s="11">
        <v>0.0</v>
      </c>
      <c r="K287" s="11">
        <f t="shared" si="1"/>
        <v>60</v>
      </c>
      <c r="L287" s="11">
        <f t="shared" si="2"/>
        <v>15</v>
      </c>
    </row>
    <row r="288" ht="15.75" customHeight="1">
      <c r="A288" s="10" t="s">
        <v>659</v>
      </c>
      <c r="B288" s="10" t="s">
        <v>660</v>
      </c>
      <c r="C288" s="11">
        <v>0.0</v>
      </c>
      <c r="D288" s="11">
        <v>0.0</v>
      </c>
      <c r="E288" s="11">
        <v>0.0</v>
      </c>
      <c r="F288" s="11">
        <v>0.0</v>
      </c>
      <c r="G288" s="11">
        <v>0.0</v>
      </c>
      <c r="H288" s="11">
        <v>0.0</v>
      </c>
      <c r="I288" s="11">
        <v>0.0</v>
      </c>
      <c r="J288" s="11">
        <v>0.0</v>
      </c>
      <c r="K288" s="11">
        <f t="shared" si="1"/>
        <v>0</v>
      </c>
      <c r="L288" s="11">
        <f t="shared" si="2"/>
        <v>0</v>
      </c>
    </row>
    <row r="289" ht="15.75" customHeight="1">
      <c r="A289" s="10" t="s">
        <v>661</v>
      </c>
      <c r="B289" s="10" t="s">
        <v>662</v>
      </c>
      <c r="C289" s="11">
        <v>0.0</v>
      </c>
      <c r="D289" s="11">
        <v>0.0</v>
      </c>
      <c r="E289" s="11">
        <v>40.0</v>
      </c>
      <c r="F289" s="11">
        <v>0.0</v>
      </c>
      <c r="G289" s="11">
        <v>0.0</v>
      </c>
      <c r="H289" s="11">
        <v>0.0</v>
      </c>
      <c r="I289" s="11">
        <v>315.5</v>
      </c>
      <c r="J289" s="11">
        <v>70.0</v>
      </c>
      <c r="K289" s="11">
        <f t="shared" si="1"/>
        <v>425.5</v>
      </c>
      <c r="L289" s="11">
        <f t="shared" si="2"/>
        <v>96.375</v>
      </c>
    </row>
    <row r="290" ht="15.75" customHeight="1">
      <c r="A290" s="10" t="s">
        <v>663</v>
      </c>
      <c r="B290" s="10" t="s">
        <v>664</v>
      </c>
      <c r="C290" s="11">
        <v>0.0</v>
      </c>
      <c r="D290" s="11">
        <v>0.0</v>
      </c>
      <c r="E290" s="11">
        <v>0.0</v>
      </c>
      <c r="F290" s="11">
        <v>0.0</v>
      </c>
      <c r="G290" s="11">
        <v>0.0</v>
      </c>
      <c r="H290" s="11">
        <v>0.0</v>
      </c>
      <c r="I290" s="11">
        <v>0.0</v>
      </c>
      <c r="J290" s="11">
        <v>0.0</v>
      </c>
      <c r="K290" s="11">
        <f t="shared" si="1"/>
        <v>0</v>
      </c>
      <c r="L290" s="11">
        <f t="shared" si="2"/>
        <v>0</v>
      </c>
    </row>
    <row r="291" ht="15.75" customHeight="1">
      <c r="A291" s="10" t="s">
        <v>665</v>
      </c>
      <c r="B291" s="10" t="s">
        <v>666</v>
      </c>
      <c r="C291" s="11">
        <v>0.0</v>
      </c>
      <c r="D291" s="11">
        <v>38.9</v>
      </c>
      <c r="E291" s="11">
        <v>0.0</v>
      </c>
      <c r="F291" s="11">
        <v>68.4</v>
      </c>
      <c r="G291" s="11">
        <v>0.0</v>
      </c>
      <c r="H291" s="11">
        <v>0.0</v>
      </c>
      <c r="I291" s="11">
        <v>61.0</v>
      </c>
      <c r="J291" s="11">
        <v>70.0</v>
      </c>
      <c r="K291" s="11">
        <f t="shared" si="1"/>
        <v>238.3</v>
      </c>
      <c r="L291" s="11">
        <f t="shared" si="2"/>
        <v>32.75</v>
      </c>
    </row>
    <row r="292" ht="15.75" customHeight="1">
      <c r="A292" s="10" t="s">
        <v>667</v>
      </c>
      <c r="B292" s="10" t="s">
        <v>668</v>
      </c>
      <c r="C292" s="11">
        <v>0.0</v>
      </c>
      <c r="D292" s="11">
        <v>0.0</v>
      </c>
      <c r="E292" s="11">
        <v>0.0</v>
      </c>
      <c r="F292" s="11">
        <v>0.0</v>
      </c>
      <c r="G292" s="11">
        <v>0.0</v>
      </c>
      <c r="H292" s="11">
        <v>0.0</v>
      </c>
      <c r="I292" s="11">
        <v>0.0</v>
      </c>
      <c r="J292" s="11">
        <v>0.0</v>
      </c>
      <c r="K292" s="11">
        <f t="shared" si="1"/>
        <v>0</v>
      </c>
      <c r="L292" s="11">
        <f t="shared" si="2"/>
        <v>0</v>
      </c>
    </row>
    <row r="293" ht="15.75" customHeight="1">
      <c r="A293" s="10" t="s">
        <v>669</v>
      </c>
      <c r="B293" s="10" t="s">
        <v>670</v>
      </c>
      <c r="C293" s="11">
        <v>0.0</v>
      </c>
      <c r="D293" s="11">
        <v>0.0</v>
      </c>
      <c r="E293" s="11">
        <v>0.0</v>
      </c>
      <c r="F293" s="11">
        <v>0.0</v>
      </c>
      <c r="G293" s="11">
        <v>0.0</v>
      </c>
      <c r="H293" s="11">
        <v>0.0</v>
      </c>
      <c r="I293" s="11">
        <v>0.0</v>
      </c>
      <c r="J293" s="11">
        <v>0.0</v>
      </c>
      <c r="K293" s="11">
        <f t="shared" si="1"/>
        <v>0</v>
      </c>
      <c r="L293" s="11">
        <f t="shared" si="2"/>
        <v>0</v>
      </c>
    </row>
    <row r="294" ht="15.75" customHeight="1">
      <c r="A294" s="10" t="s">
        <v>671</v>
      </c>
      <c r="B294" s="10" t="s">
        <v>672</v>
      </c>
      <c r="C294" s="11">
        <v>0.0</v>
      </c>
      <c r="D294" s="11">
        <v>0.0</v>
      </c>
      <c r="E294" s="11">
        <v>0.0</v>
      </c>
      <c r="F294" s="11">
        <v>0.0</v>
      </c>
      <c r="G294" s="11">
        <v>0.0</v>
      </c>
      <c r="H294" s="11">
        <v>0.0</v>
      </c>
      <c r="I294" s="11">
        <v>0.0</v>
      </c>
      <c r="J294" s="11">
        <v>0.0</v>
      </c>
      <c r="K294" s="11">
        <f t="shared" si="1"/>
        <v>0</v>
      </c>
      <c r="L294" s="11">
        <f t="shared" si="2"/>
        <v>0</v>
      </c>
    </row>
    <row r="295" ht="15.75" customHeight="1">
      <c r="A295" s="10" t="s">
        <v>673</v>
      </c>
      <c r="B295" s="10" t="s">
        <v>674</v>
      </c>
      <c r="C295" s="11">
        <v>0.0</v>
      </c>
      <c r="D295" s="11">
        <v>0.0</v>
      </c>
      <c r="E295" s="11">
        <v>0.0</v>
      </c>
      <c r="F295" s="11">
        <v>0.0</v>
      </c>
      <c r="G295" s="11">
        <v>0.0</v>
      </c>
      <c r="H295" s="11">
        <v>160.0</v>
      </c>
      <c r="I295" s="11">
        <v>80.0</v>
      </c>
      <c r="J295" s="11">
        <v>50.0</v>
      </c>
      <c r="K295" s="11">
        <f t="shared" si="1"/>
        <v>290</v>
      </c>
      <c r="L295" s="11">
        <f t="shared" si="2"/>
        <v>72.5</v>
      </c>
    </row>
    <row r="296" ht="15.75" customHeight="1">
      <c r="A296" s="10" t="s">
        <v>675</v>
      </c>
      <c r="B296" s="10" t="s">
        <v>676</v>
      </c>
      <c r="C296" s="11">
        <v>0.0</v>
      </c>
      <c r="D296" s="11">
        <v>0.0</v>
      </c>
      <c r="E296" s="11">
        <v>0.0</v>
      </c>
      <c r="F296" s="11">
        <v>0.0</v>
      </c>
      <c r="G296" s="11">
        <v>0.0</v>
      </c>
      <c r="H296" s="11">
        <v>240.0</v>
      </c>
      <c r="I296" s="11">
        <v>0.0</v>
      </c>
      <c r="J296" s="11">
        <v>0.0</v>
      </c>
      <c r="K296" s="11">
        <f t="shared" si="1"/>
        <v>240</v>
      </c>
      <c r="L296" s="11">
        <f t="shared" si="2"/>
        <v>60</v>
      </c>
    </row>
    <row r="297" ht="15.75" customHeight="1">
      <c r="A297" s="10" t="s">
        <v>677</v>
      </c>
      <c r="B297" s="10" t="s">
        <v>678</v>
      </c>
      <c r="C297" s="11">
        <v>0.0</v>
      </c>
      <c r="D297" s="11">
        <v>0.0</v>
      </c>
      <c r="E297" s="11">
        <v>0.0</v>
      </c>
      <c r="F297" s="11">
        <v>0.0</v>
      </c>
      <c r="G297" s="11">
        <v>0.0</v>
      </c>
      <c r="H297" s="11">
        <v>200.0</v>
      </c>
      <c r="I297" s="11">
        <v>60.0</v>
      </c>
      <c r="J297" s="11">
        <v>50.0</v>
      </c>
      <c r="K297" s="11">
        <f t="shared" si="1"/>
        <v>310</v>
      </c>
      <c r="L297" s="11">
        <f t="shared" si="2"/>
        <v>77.5</v>
      </c>
    </row>
    <row r="298" ht="15.75" customHeight="1">
      <c r="A298" s="10" t="s">
        <v>679</v>
      </c>
      <c r="B298" s="10" t="s">
        <v>680</v>
      </c>
      <c r="C298" s="11">
        <v>0.0</v>
      </c>
      <c r="D298" s="11">
        <v>0.0</v>
      </c>
      <c r="E298" s="11">
        <v>0.0</v>
      </c>
      <c r="F298" s="11">
        <v>0.0</v>
      </c>
      <c r="G298" s="11">
        <v>0.0</v>
      </c>
      <c r="H298" s="11">
        <v>240.0</v>
      </c>
      <c r="I298" s="11">
        <v>0.0</v>
      </c>
      <c r="J298" s="11">
        <v>0.0</v>
      </c>
      <c r="K298" s="11">
        <f t="shared" si="1"/>
        <v>240</v>
      </c>
      <c r="L298" s="11">
        <f t="shared" si="2"/>
        <v>60</v>
      </c>
    </row>
    <row r="299" ht="15.75" customHeight="1">
      <c r="A299" s="10" t="s">
        <v>681</v>
      </c>
      <c r="B299" s="10" t="s">
        <v>682</v>
      </c>
      <c r="C299" s="11">
        <v>0.0</v>
      </c>
      <c r="D299" s="11">
        <v>0.0</v>
      </c>
      <c r="E299" s="11">
        <v>0.0</v>
      </c>
      <c r="F299" s="11">
        <v>0.0</v>
      </c>
      <c r="G299" s="11">
        <v>0.0</v>
      </c>
      <c r="H299" s="11">
        <v>90.0</v>
      </c>
      <c r="I299" s="11">
        <v>20.0</v>
      </c>
      <c r="J299" s="11">
        <v>0.0</v>
      </c>
      <c r="K299" s="11">
        <f t="shared" si="1"/>
        <v>110</v>
      </c>
      <c r="L299" s="11">
        <f t="shared" si="2"/>
        <v>27.5</v>
      </c>
    </row>
    <row r="300" ht="15.75" customHeight="1">
      <c r="A300" s="10" t="s">
        <v>683</v>
      </c>
      <c r="B300" s="10" t="s">
        <v>684</v>
      </c>
      <c r="C300" s="11">
        <v>0.0</v>
      </c>
      <c r="D300" s="11">
        <v>0.0</v>
      </c>
      <c r="E300" s="11">
        <v>0.0</v>
      </c>
      <c r="F300" s="11">
        <v>0.0</v>
      </c>
      <c r="G300" s="11">
        <v>0.0</v>
      </c>
      <c r="H300" s="11">
        <v>190.0</v>
      </c>
      <c r="I300" s="11">
        <v>0.0</v>
      </c>
      <c r="J300" s="11">
        <v>0.0</v>
      </c>
      <c r="K300" s="11">
        <f t="shared" si="1"/>
        <v>190</v>
      </c>
      <c r="L300" s="11">
        <f t="shared" si="2"/>
        <v>47.5</v>
      </c>
    </row>
    <row r="301" ht="15.75" customHeight="1">
      <c r="A301" s="10" t="s">
        <v>685</v>
      </c>
      <c r="B301" s="10" t="s">
        <v>686</v>
      </c>
      <c r="C301" s="11">
        <v>0.0</v>
      </c>
      <c r="D301" s="11">
        <v>0.0</v>
      </c>
      <c r="E301" s="11">
        <v>0.0</v>
      </c>
      <c r="F301" s="11">
        <v>0.0</v>
      </c>
      <c r="G301" s="11">
        <v>0.0</v>
      </c>
      <c r="H301" s="11">
        <v>0.0</v>
      </c>
      <c r="I301" s="11">
        <v>0.0</v>
      </c>
      <c r="J301" s="11">
        <v>0.0</v>
      </c>
      <c r="K301" s="11">
        <f t="shared" si="1"/>
        <v>0</v>
      </c>
      <c r="L301" s="11">
        <f t="shared" si="2"/>
        <v>0</v>
      </c>
    </row>
    <row r="302" ht="15.75" customHeight="1">
      <c r="A302" s="10" t="s">
        <v>687</v>
      </c>
      <c r="B302" s="10" t="s">
        <v>688</v>
      </c>
      <c r="C302" s="11">
        <v>0.0</v>
      </c>
      <c r="D302" s="11">
        <v>0.0</v>
      </c>
      <c r="E302" s="11">
        <v>0.0</v>
      </c>
      <c r="F302" s="11">
        <v>0.0</v>
      </c>
      <c r="G302" s="11">
        <v>0.0</v>
      </c>
      <c r="H302" s="11">
        <v>40.0</v>
      </c>
      <c r="I302" s="11">
        <v>0.0</v>
      </c>
      <c r="J302" s="11">
        <v>0.0</v>
      </c>
      <c r="K302" s="11">
        <f t="shared" si="1"/>
        <v>40</v>
      </c>
      <c r="L302" s="11">
        <f t="shared" si="2"/>
        <v>10</v>
      </c>
    </row>
    <row r="303" ht="15.75" customHeight="1">
      <c r="A303" s="10" t="s">
        <v>689</v>
      </c>
      <c r="B303" s="10" t="s">
        <v>690</v>
      </c>
      <c r="C303" s="11">
        <v>0.0</v>
      </c>
      <c r="D303" s="11">
        <v>0.0</v>
      </c>
      <c r="E303" s="11">
        <v>0.0</v>
      </c>
      <c r="F303" s="11">
        <v>0.0</v>
      </c>
      <c r="G303" s="11">
        <v>0.0</v>
      </c>
      <c r="H303" s="11">
        <v>0.0</v>
      </c>
      <c r="I303" s="11">
        <v>10.0</v>
      </c>
      <c r="J303" s="11">
        <v>0.0</v>
      </c>
      <c r="K303" s="11">
        <f t="shared" si="1"/>
        <v>10</v>
      </c>
      <c r="L303" s="11">
        <f t="shared" si="2"/>
        <v>2.5</v>
      </c>
    </row>
    <row r="304" ht="15.75" customHeight="1">
      <c r="A304" s="10" t="s">
        <v>691</v>
      </c>
      <c r="B304" s="10" t="s">
        <v>693</v>
      </c>
      <c r="C304" s="11">
        <v>0.0</v>
      </c>
      <c r="D304" s="11">
        <v>0.0</v>
      </c>
      <c r="E304" s="11">
        <v>0.0</v>
      </c>
      <c r="F304" s="11">
        <v>0.0</v>
      </c>
      <c r="G304" s="11">
        <v>0.0</v>
      </c>
      <c r="H304" s="11">
        <v>40.0</v>
      </c>
      <c r="I304" s="11">
        <v>0.0</v>
      </c>
      <c r="J304" s="11">
        <v>0.0</v>
      </c>
      <c r="K304" s="11">
        <f t="shared" si="1"/>
        <v>40</v>
      </c>
      <c r="L304" s="11">
        <f t="shared" si="2"/>
        <v>10</v>
      </c>
    </row>
    <row r="305" ht="15.75" customHeight="1">
      <c r="A305" s="10" t="s">
        <v>695</v>
      </c>
      <c r="B305" s="10" t="s">
        <v>696</v>
      </c>
      <c r="C305" s="11">
        <v>0.0</v>
      </c>
      <c r="D305" s="11">
        <v>0.0</v>
      </c>
      <c r="E305" s="11">
        <v>0.0</v>
      </c>
      <c r="F305" s="11">
        <v>0.0</v>
      </c>
      <c r="G305" s="11">
        <v>0.0</v>
      </c>
      <c r="H305" s="11">
        <v>10.0</v>
      </c>
      <c r="I305" s="11">
        <v>0.0</v>
      </c>
      <c r="J305" s="11">
        <v>0.0</v>
      </c>
      <c r="K305" s="11">
        <f t="shared" si="1"/>
        <v>10</v>
      </c>
      <c r="L305" s="11">
        <f t="shared" si="2"/>
        <v>2.5</v>
      </c>
    </row>
    <row r="306" ht="15.75" customHeight="1">
      <c r="A306" s="10" t="s">
        <v>697</v>
      </c>
      <c r="B306" s="10" t="s">
        <v>698</v>
      </c>
      <c r="C306" s="11">
        <v>0.0</v>
      </c>
      <c r="D306" s="11">
        <v>0.0</v>
      </c>
      <c r="E306" s="11">
        <v>0.0</v>
      </c>
      <c r="F306" s="11">
        <v>0.0</v>
      </c>
      <c r="G306" s="11">
        <v>0.0</v>
      </c>
      <c r="H306" s="11">
        <v>20.0</v>
      </c>
      <c r="I306" s="11">
        <v>0.0</v>
      </c>
      <c r="J306" s="11">
        <v>0.0</v>
      </c>
      <c r="K306" s="11">
        <f t="shared" si="1"/>
        <v>20</v>
      </c>
      <c r="L306" s="11">
        <f t="shared" si="2"/>
        <v>5</v>
      </c>
    </row>
    <row r="307" ht="15.75" customHeight="1">
      <c r="A307" s="10" t="s">
        <v>699</v>
      </c>
      <c r="B307" s="10" t="s">
        <v>700</v>
      </c>
      <c r="C307" s="11">
        <v>0.0</v>
      </c>
      <c r="D307" s="11">
        <v>0.0</v>
      </c>
      <c r="E307" s="11">
        <v>0.0</v>
      </c>
      <c r="F307" s="11">
        <v>0.0</v>
      </c>
      <c r="G307" s="11">
        <v>0.0</v>
      </c>
      <c r="H307" s="11">
        <v>10.0</v>
      </c>
      <c r="I307" s="11">
        <v>0.0</v>
      </c>
      <c r="J307" s="11">
        <v>10.0</v>
      </c>
      <c r="K307" s="11">
        <f t="shared" si="1"/>
        <v>20</v>
      </c>
      <c r="L307" s="11">
        <f t="shared" si="2"/>
        <v>5</v>
      </c>
    </row>
    <row r="308" ht="15.75" customHeight="1">
      <c r="A308" s="10" t="s">
        <v>701</v>
      </c>
      <c r="B308" s="10" t="s">
        <v>702</v>
      </c>
      <c r="C308" s="11">
        <v>0.0</v>
      </c>
      <c r="D308" s="11">
        <v>0.0</v>
      </c>
      <c r="E308" s="11">
        <v>0.0</v>
      </c>
      <c r="F308" s="11">
        <v>0.0</v>
      </c>
      <c r="G308" s="11">
        <v>0.0</v>
      </c>
      <c r="H308" s="11">
        <v>10.0</v>
      </c>
      <c r="I308" s="11">
        <v>40.0</v>
      </c>
      <c r="J308" s="11">
        <v>30.0</v>
      </c>
      <c r="K308" s="11">
        <f t="shared" si="1"/>
        <v>80</v>
      </c>
      <c r="L308" s="11">
        <f t="shared" si="2"/>
        <v>20</v>
      </c>
    </row>
    <row r="309" ht="15.75" customHeight="1">
      <c r="A309" s="10" t="s">
        <v>703</v>
      </c>
      <c r="B309" s="10" t="s">
        <v>704</v>
      </c>
      <c r="C309" s="11">
        <v>0.0</v>
      </c>
      <c r="D309" s="11">
        <v>0.0</v>
      </c>
      <c r="E309" s="11">
        <v>0.0</v>
      </c>
      <c r="F309" s="11">
        <v>0.0</v>
      </c>
      <c r="G309" s="11">
        <v>0.0</v>
      </c>
      <c r="H309" s="11">
        <v>0.0</v>
      </c>
      <c r="I309" s="11">
        <v>10.0</v>
      </c>
      <c r="J309" s="11">
        <v>0.0</v>
      </c>
      <c r="K309" s="11">
        <f t="shared" si="1"/>
        <v>10</v>
      </c>
      <c r="L309" s="11">
        <f t="shared" si="2"/>
        <v>2.5</v>
      </c>
    </row>
    <row r="310" ht="15.75" customHeight="1">
      <c r="A310" s="10" t="s">
        <v>705</v>
      </c>
      <c r="B310" s="10" t="s">
        <v>706</v>
      </c>
      <c r="C310" s="11">
        <v>0.0</v>
      </c>
      <c r="D310" s="11">
        <v>0.0</v>
      </c>
      <c r="E310" s="11">
        <v>0.0</v>
      </c>
      <c r="F310" s="11">
        <v>0.0</v>
      </c>
      <c r="G310" s="11">
        <v>0.0</v>
      </c>
      <c r="H310" s="11">
        <v>10.0</v>
      </c>
      <c r="I310" s="11">
        <v>40.0</v>
      </c>
      <c r="J310" s="11">
        <v>40.0</v>
      </c>
      <c r="K310" s="11">
        <f t="shared" si="1"/>
        <v>90</v>
      </c>
      <c r="L310" s="11">
        <f t="shared" si="2"/>
        <v>22.5</v>
      </c>
    </row>
    <row r="311" ht="15.75" customHeight="1">
      <c r="A311" s="10" t="s">
        <v>707</v>
      </c>
      <c r="B311" s="10" t="s">
        <v>708</v>
      </c>
      <c r="C311" s="11">
        <v>0.0</v>
      </c>
      <c r="D311" s="11">
        <v>0.0</v>
      </c>
      <c r="E311" s="11">
        <v>0.0</v>
      </c>
      <c r="F311" s="11">
        <v>0.0</v>
      </c>
      <c r="G311" s="11">
        <v>0.0</v>
      </c>
      <c r="H311" s="11">
        <v>20.0</v>
      </c>
      <c r="I311" s="11">
        <v>50.0</v>
      </c>
      <c r="J311" s="11">
        <v>10.0</v>
      </c>
      <c r="K311" s="11">
        <f t="shared" si="1"/>
        <v>80</v>
      </c>
      <c r="L311" s="11">
        <f t="shared" si="2"/>
        <v>20</v>
      </c>
    </row>
    <row r="312" ht="15.75" customHeight="1">
      <c r="A312" s="10" t="s">
        <v>709</v>
      </c>
      <c r="B312" s="10" t="s">
        <v>710</v>
      </c>
      <c r="C312" s="11">
        <v>0.0</v>
      </c>
      <c r="D312" s="11">
        <v>0.0</v>
      </c>
      <c r="E312" s="11">
        <v>0.0</v>
      </c>
      <c r="F312" s="11">
        <v>0.0</v>
      </c>
      <c r="G312" s="11">
        <v>0.0</v>
      </c>
      <c r="H312" s="11">
        <v>60.0</v>
      </c>
      <c r="I312" s="11">
        <v>70.0</v>
      </c>
      <c r="J312" s="11">
        <v>60.0</v>
      </c>
      <c r="K312" s="11">
        <f t="shared" si="1"/>
        <v>190</v>
      </c>
      <c r="L312" s="11">
        <f t="shared" si="2"/>
        <v>47.5</v>
      </c>
    </row>
    <row r="313" ht="15.75" customHeight="1">
      <c r="A313" s="10" t="s">
        <v>711</v>
      </c>
      <c r="B313" s="10" t="s">
        <v>712</v>
      </c>
      <c r="C313" s="11">
        <v>0.0</v>
      </c>
      <c r="D313" s="11">
        <v>0.0</v>
      </c>
      <c r="E313" s="11">
        <v>0.0</v>
      </c>
      <c r="F313" s="11">
        <v>0.0</v>
      </c>
      <c r="G313" s="11">
        <v>0.0</v>
      </c>
      <c r="H313" s="11">
        <v>10.0</v>
      </c>
      <c r="I313" s="11">
        <v>10.0</v>
      </c>
      <c r="J313" s="11">
        <v>5.0</v>
      </c>
      <c r="K313" s="11">
        <f t="shared" si="1"/>
        <v>25</v>
      </c>
      <c r="L313" s="11">
        <f t="shared" si="2"/>
        <v>6.25</v>
      </c>
    </row>
    <row r="314" ht="15.75" customHeight="1">
      <c r="A314" s="10" t="s">
        <v>713</v>
      </c>
      <c r="B314" s="10" t="s">
        <v>714</v>
      </c>
      <c r="C314" s="11">
        <v>0.0</v>
      </c>
      <c r="D314" s="11">
        <v>0.0</v>
      </c>
      <c r="E314" s="11">
        <v>0.0</v>
      </c>
      <c r="F314" s="11">
        <v>0.0</v>
      </c>
      <c r="G314" s="11">
        <v>0.0</v>
      </c>
      <c r="H314" s="11">
        <v>30.0</v>
      </c>
      <c r="I314" s="11">
        <v>0.0</v>
      </c>
      <c r="J314" s="11">
        <v>10.0</v>
      </c>
      <c r="K314" s="11">
        <f t="shared" si="1"/>
        <v>40</v>
      </c>
      <c r="L314" s="11">
        <f t="shared" si="2"/>
        <v>10</v>
      </c>
    </row>
    <row r="315" ht="15.75" customHeight="1">
      <c r="A315" s="10" t="s">
        <v>715</v>
      </c>
      <c r="B315" s="10" t="s">
        <v>716</v>
      </c>
      <c r="C315" s="11">
        <v>0.0</v>
      </c>
      <c r="D315" s="11">
        <v>0.0</v>
      </c>
      <c r="E315" s="11">
        <v>0.0</v>
      </c>
      <c r="F315" s="11">
        <v>0.0</v>
      </c>
      <c r="G315" s="11">
        <v>0.0</v>
      </c>
      <c r="H315" s="11">
        <v>10.0</v>
      </c>
      <c r="I315" s="11">
        <v>0.0</v>
      </c>
      <c r="J315" s="11">
        <v>10.0</v>
      </c>
      <c r="K315" s="11">
        <f t="shared" si="1"/>
        <v>20</v>
      </c>
      <c r="L315" s="11">
        <f t="shared" si="2"/>
        <v>5</v>
      </c>
    </row>
    <row r="316" ht="15.75" customHeight="1">
      <c r="A316" s="10" t="s">
        <v>717</v>
      </c>
      <c r="B316" s="10" t="s">
        <v>718</v>
      </c>
      <c r="C316" s="11">
        <v>0.0</v>
      </c>
      <c r="D316" s="11">
        <v>0.0</v>
      </c>
      <c r="E316" s="11">
        <v>0.0</v>
      </c>
      <c r="F316" s="11">
        <v>0.0</v>
      </c>
      <c r="G316" s="11">
        <v>0.0</v>
      </c>
      <c r="H316" s="11">
        <v>50.0</v>
      </c>
      <c r="I316" s="11">
        <v>10.0</v>
      </c>
      <c r="J316" s="11">
        <v>0.0</v>
      </c>
      <c r="K316" s="11">
        <f t="shared" si="1"/>
        <v>60</v>
      </c>
      <c r="L316" s="11">
        <f t="shared" si="2"/>
        <v>15</v>
      </c>
    </row>
    <row r="317" ht="15.75" customHeight="1">
      <c r="A317" s="10" t="s">
        <v>719</v>
      </c>
      <c r="B317" s="10" t="s">
        <v>720</v>
      </c>
      <c r="C317" s="11">
        <v>0.0</v>
      </c>
      <c r="D317" s="11">
        <v>0.0</v>
      </c>
      <c r="E317" s="11">
        <v>0.0</v>
      </c>
      <c r="F317" s="11">
        <v>0.0</v>
      </c>
      <c r="G317" s="11">
        <v>0.0</v>
      </c>
      <c r="H317" s="11">
        <v>0.0</v>
      </c>
      <c r="I317" s="11">
        <v>0.0</v>
      </c>
      <c r="J317" s="11">
        <v>10.0</v>
      </c>
      <c r="K317" s="11">
        <f t="shared" si="1"/>
        <v>10</v>
      </c>
      <c r="L317" s="11">
        <f t="shared" si="2"/>
        <v>2.5</v>
      </c>
    </row>
    <row r="318" ht="15.75" customHeight="1">
      <c r="A318" s="10" t="s">
        <v>721</v>
      </c>
      <c r="B318" s="10" t="s">
        <v>722</v>
      </c>
      <c r="C318" s="11">
        <v>0.0</v>
      </c>
      <c r="D318" s="11">
        <v>0.0</v>
      </c>
      <c r="E318" s="11">
        <v>0.0</v>
      </c>
      <c r="F318" s="11">
        <v>0.0</v>
      </c>
      <c r="G318" s="11">
        <v>0.0</v>
      </c>
      <c r="H318" s="11">
        <v>80.0</v>
      </c>
      <c r="I318" s="11">
        <v>10.0</v>
      </c>
      <c r="J318" s="11">
        <v>0.0</v>
      </c>
      <c r="K318" s="11">
        <f t="shared" si="1"/>
        <v>90</v>
      </c>
      <c r="L318" s="11">
        <f t="shared" si="2"/>
        <v>22.5</v>
      </c>
    </row>
    <row r="319" ht="15.75" customHeight="1">
      <c r="A319" s="10" t="s">
        <v>723</v>
      </c>
      <c r="B319" s="10" t="s">
        <v>724</v>
      </c>
      <c r="C319" s="11">
        <v>0.0</v>
      </c>
      <c r="D319" s="11">
        <v>0.0</v>
      </c>
      <c r="E319" s="11">
        <v>0.0</v>
      </c>
      <c r="F319" s="11">
        <v>0.0</v>
      </c>
      <c r="G319" s="11">
        <v>0.0</v>
      </c>
      <c r="H319" s="11">
        <v>0.0</v>
      </c>
      <c r="I319" s="11">
        <v>0.0</v>
      </c>
      <c r="J319" s="11">
        <v>10.0</v>
      </c>
      <c r="K319" s="11">
        <f t="shared" si="1"/>
        <v>10</v>
      </c>
      <c r="L319" s="11">
        <f t="shared" si="2"/>
        <v>2.5</v>
      </c>
    </row>
    <row r="320" ht="15.75" customHeight="1">
      <c r="A320" s="10" t="s">
        <v>725</v>
      </c>
      <c r="B320" s="10" t="s">
        <v>726</v>
      </c>
      <c r="C320" s="11">
        <v>0.0</v>
      </c>
      <c r="D320" s="11">
        <v>0.0</v>
      </c>
      <c r="E320" s="11">
        <v>0.0</v>
      </c>
      <c r="F320" s="11">
        <v>0.0</v>
      </c>
      <c r="G320" s="11">
        <v>0.0</v>
      </c>
      <c r="H320" s="11">
        <v>80.0</v>
      </c>
      <c r="I320" s="11">
        <v>20.0</v>
      </c>
      <c r="J320" s="11">
        <v>0.0</v>
      </c>
      <c r="K320" s="11">
        <f t="shared" si="1"/>
        <v>100</v>
      </c>
      <c r="L320" s="11">
        <f t="shared" si="2"/>
        <v>25</v>
      </c>
    </row>
    <row r="321" ht="15.75" customHeight="1">
      <c r="A321" s="10" t="s">
        <v>727</v>
      </c>
      <c r="B321" s="10" t="s">
        <v>728</v>
      </c>
      <c r="C321" s="11">
        <v>0.0</v>
      </c>
      <c r="D321" s="11">
        <v>0.0</v>
      </c>
      <c r="E321" s="11">
        <v>0.0</v>
      </c>
      <c r="F321" s="11">
        <v>0.0</v>
      </c>
      <c r="G321" s="11">
        <v>0.0</v>
      </c>
      <c r="H321" s="11">
        <v>0.0</v>
      </c>
      <c r="I321" s="11">
        <v>0.0</v>
      </c>
      <c r="J321" s="11">
        <v>0.0</v>
      </c>
      <c r="K321" s="11">
        <f t="shared" si="1"/>
        <v>0</v>
      </c>
      <c r="L321" s="11">
        <f t="shared" si="2"/>
        <v>0</v>
      </c>
    </row>
    <row r="322" ht="15.75" customHeight="1">
      <c r="A322" s="10" t="s">
        <v>729</v>
      </c>
      <c r="B322" s="10" t="s">
        <v>730</v>
      </c>
      <c r="C322" s="11">
        <v>0.0</v>
      </c>
      <c r="D322" s="11">
        <v>0.0</v>
      </c>
      <c r="E322" s="11">
        <v>0.0</v>
      </c>
      <c r="F322" s="11">
        <v>0.0</v>
      </c>
      <c r="G322" s="11">
        <v>0.0</v>
      </c>
      <c r="H322" s="11">
        <v>0.0</v>
      </c>
      <c r="I322" s="11">
        <v>0.0</v>
      </c>
      <c r="J322" s="11">
        <v>0.0</v>
      </c>
      <c r="K322" s="11">
        <f t="shared" si="1"/>
        <v>0</v>
      </c>
      <c r="L322" s="11">
        <f t="shared" si="2"/>
        <v>0</v>
      </c>
    </row>
    <row r="323" ht="15.75" customHeight="1">
      <c r="A323" s="10" t="s">
        <v>731</v>
      </c>
      <c r="B323" s="10" t="s">
        <v>732</v>
      </c>
      <c r="C323" s="11">
        <v>0.0</v>
      </c>
      <c r="D323" s="11">
        <v>0.0</v>
      </c>
      <c r="E323" s="11">
        <v>0.0</v>
      </c>
      <c r="F323" s="11">
        <v>0.0</v>
      </c>
      <c r="G323" s="11">
        <v>0.0</v>
      </c>
      <c r="H323" s="11">
        <v>0.0</v>
      </c>
      <c r="I323" s="11">
        <v>0.0</v>
      </c>
      <c r="J323" s="11">
        <v>0.0</v>
      </c>
      <c r="K323" s="11">
        <f t="shared" si="1"/>
        <v>0</v>
      </c>
      <c r="L323" s="11">
        <f t="shared" si="2"/>
        <v>0</v>
      </c>
    </row>
    <row r="324" ht="15.75" customHeight="1">
      <c r="A324" s="10" t="s">
        <v>733</v>
      </c>
      <c r="B324" s="10" t="s">
        <v>734</v>
      </c>
      <c r="C324" s="11">
        <v>0.0</v>
      </c>
      <c r="D324" s="11">
        <v>0.0</v>
      </c>
      <c r="E324" s="11">
        <v>0.0</v>
      </c>
      <c r="F324" s="11">
        <v>0.0</v>
      </c>
      <c r="G324" s="11">
        <v>0.0</v>
      </c>
      <c r="H324" s="11">
        <v>0.0</v>
      </c>
      <c r="I324" s="11">
        <v>0.0</v>
      </c>
      <c r="J324" s="11">
        <v>0.0</v>
      </c>
      <c r="K324" s="11">
        <f t="shared" si="1"/>
        <v>0</v>
      </c>
      <c r="L324" s="11">
        <f t="shared" si="2"/>
        <v>0</v>
      </c>
    </row>
    <row r="325" ht="15.75" customHeight="1">
      <c r="A325" s="10" t="s">
        <v>735</v>
      </c>
      <c r="B325" s="10" t="s">
        <v>736</v>
      </c>
      <c r="C325" s="11">
        <v>0.0</v>
      </c>
      <c r="D325" s="11">
        <v>0.0</v>
      </c>
      <c r="E325" s="11">
        <v>0.0</v>
      </c>
      <c r="F325" s="11">
        <v>0.0</v>
      </c>
      <c r="G325" s="11">
        <v>0.0</v>
      </c>
      <c r="H325" s="11">
        <v>0.0</v>
      </c>
      <c r="I325" s="11">
        <v>10.0</v>
      </c>
      <c r="J325" s="11">
        <v>0.0</v>
      </c>
      <c r="K325" s="11">
        <f t="shared" si="1"/>
        <v>10</v>
      </c>
      <c r="L325" s="11">
        <f t="shared" si="2"/>
        <v>2.5</v>
      </c>
    </row>
    <row r="326" ht="15.75" customHeight="1">
      <c r="A326" s="10" t="s">
        <v>737</v>
      </c>
      <c r="B326" s="10" t="s">
        <v>738</v>
      </c>
      <c r="C326" s="11">
        <v>0.0</v>
      </c>
      <c r="D326" s="11">
        <v>0.0</v>
      </c>
      <c r="E326" s="11">
        <v>0.0</v>
      </c>
      <c r="F326" s="11">
        <v>0.0</v>
      </c>
      <c r="G326" s="11">
        <v>0.0</v>
      </c>
      <c r="H326" s="11">
        <v>30.0</v>
      </c>
      <c r="I326" s="11">
        <v>0.0</v>
      </c>
      <c r="J326" s="11">
        <v>10.0</v>
      </c>
      <c r="K326" s="11">
        <f t="shared" si="1"/>
        <v>40</v>
      </c>
      <c r="L326" s="11">
        <f t="shared" si="2"/>
        <v>10</v>
      </c>
    </row>
    <row r="327" ht="15.75" customHeight="1">
      <c r="A327" s="10" t="s">
        <v>739</v>
      </c>
      <c r="B327" s="10" t="s">
        <v>740</v>
      </c>
      <c r="C327" s="11">
        <v>0.0</v>
      </c>
      <c r="D327" s="11">
        <v>0.0</v>
      </c>
      <c r="E327" s="11">
        <v>0.0</v>
      </c>
      <c r="F327" s="11">
        <v>0.0</v>
      </c>
      <c r="G327" s="11">
        <v>0.0</v>
      </c>
      <c r="H327" s="11">
        <v>0.0</v>
      </c>
      <c r="I327" s="11">
        <v>0.0</v>
      </c>
      <c r="J327" s="11">
        <v>10.0</v>
      </c>
      <c r="K327" s="11">
        <f t="shared" si="1"/>
        <v>10</v>
      </c>
      <c r="L327" s="11">
        <f t="shared" si="2"/>
        <v>2.5</v>
      </c>
    </row>
    <row r="328" ht="15.75" customHeight="1">
      <c r="A328" s="10" t="s">
        <v>741</v>
      </c>
      <c r="B328" s="10" t="s">
        <v>742</v>
      </c>
      <c r="C328" s="11">
        <v>0.0</v>
      </c>
      <c r="D328" s="11">
        <v>0.0</v>
      </c>
      <c r="E328" s="11">
        <v>0.0</v>
      </c>
      <c r="F328" s="11">
        <v>0.0</v>
      </c>
      <c r="G328" s="11">
        <v>0.0</v>
      </c>
      <c r="H328" s="11">
        <v>10.0</v>
      </c>
      <c r="I328" s="11">
        <v>10.0</v>
      </c>
      <c r="J328" s="11">
        <v>30.0</v>
      </c>
      <c r="K328" s="11">
        <f t="shared" si="1"/>
        <v>50</v>
      </c>
      <c r="L328" s="11">
        <f t="shared" si="2"/>
        <v>12.5</v>
      </c>
    </row>
    <row r="329" ht="15.75" customHeight="1">
      <c r="A329" s="10" t="s">
        <v>743</v>
      </c>
      <c r="B329" s="10" t="s">
        <v>744</v>
      </c>
      <c r="C329" s="11">
        <v>0.0</v>
      </c>
      <c r="D329" s="11">
        <v>0.0</v>
      </c>
      <c r="E329" s="11">
        <v>0.0</v>
      </c>
      <c r="F329" s="11">
        <v>0.0</v>
      </c>
      <c r="G329" s="11">
        <v>0.0</v>
      </c>
      <c r="H329" s="11">
        <v>0.0</v>
      </c>
      <c r="I329" s="11">
        <v>0.0</v>
      </c>
      <c r="J329" s="11">
        <v>10.0</v>
      </c>
      <c r="K329" s="11">
        <f t="shared" si="1"/>
        <v>10</v>
      </c>
      <c r="L329" s="11">
        <f t="shared" si="2"/>
        <v>2.5</v>
      </c>
    </row>
    <row r="330" ht="15.75" customHeight="1">
      <c r="A330" s="10" t="s">
        <v>746</v>
      </c>
      <c r="B330" s="10" t="s">
        <v>747</v>
      </c>
      <c r="C330" s="11">
        <v>0.0</v>
      </c>
      <c r="D330" s="11">
        <v>0.0</v>
      </c>
      <c r="E330" s="11">
        <v>0.0</v>
      </c>
      <c r="F330" s="11">
        <v>0.0</v>
      </c>
      <c r="G330" s="11">
        <v>0.0</v>
      </c>
      <c r="H330" s="11">
        <v>30.0</v>
      </c>
      <c r="I330" s="11">
        <v>30.0</v>
      </c>
      <c r="J330" s="11">
        <v>30.0</v>
      </c>
      <c r="K330" s="11">
        <f t="shared" si="1"/>
        <v>90</v>
      </c>
      <c r="L330" s="11">
        <f t="shared" si="2"/>
        <v>22.5</v>
      </c>
    </row>
    <row r="331" ht="15.75" customHeight="1">
      <c r="A331" s="10" t="s">
        <v>749</v>
      </c>
      <c r="B331" s="10" t="s">
        <v>750</v>
      </c>
      <c r="C331" s="11">
        <v>0.0</v>
      </c>
      <c r="D331" s="11">
        <v>0.0</v>
      </c>
      <c r="E331" s="11">
        <v>0.0</v>
      </c>
      <c r="F331" s="11">
        <v>0.0</v>
      </c>
      <c r="G331" s="11">
        <v>0.0</v>
      </c>
      <c r="H331" s="11">
        <v>0.0</v>
      </c>
      <c r="I331" s="11">
        <v>20.0</v>
      </c>
      <c r="J331" s="11">
        <v>0.0</v>
      </c>
      <c r="K331" s="11">
        <f t="shared" si="1"/>
        <v>20</v>
      </c>
      <c r="L331" s="11">
        <f t="shared" si="2"/>
        <v>5</v>
      </c>
    </row>
    <row r="332" ht="15.75" customHeight="1">
      <c r="A332" s="10" t="s">
        <v>751</v>
      </c>
      <c r="B332" s="10" t="s">
        <v>752</v>
      </c>
      <c r="C332" s="11">
        <v>0.0</v>
      </c>
      <c r="D332" s="11">
        <v>0.0</v>
      </c>
      <c r="E332" s="11">
        <v>0.0</v>
      </c>
      <c r="F332" s="11">
        <v>0.0</v>
      </c>
      <c r="G332" s="11">
        <v>0.0</v>
      </c>
      <c r="H332" s="11">
        <v>50.0</v>
      </c>
      <c r="I332" s="11">
        <v>20.0</v>
      </c>
      <c r="J332" s="11">
        <v>20.0</v>
      </c>
      <c r="K332" s="11">
        <f t="shared" si="1"/>
        <v>90</v>
      </c>
      <c r="L332" s="11">
        <f t="shared" si="2"/>
        <v>22.5</v>
      </c>
    </row>
    <row r="333" ht="15.75" customHeight="1">
      <c r="A333" s="10" t="s">
        <v>753</v>
      </c>
      <c r="B333" s="10" t="s">
        <v>754</v>
      </c>
      <c r="C333" s="11">
        <v>0.0</v>
      </c>
      <c r="D333" s="11">
        <v>0.0</v>
      </c>
      <c r="E333" s="11">
        <v>0.0</v>
      </c>
      <c r="F333" s="11">
        <v>0.0</v>
      </c>
      <c r="G333" s="11">
        <v>0.0</v>
      </c>
      <c r="H333" s="11">
        <v>10.0</v>
      </c>
      <c r="I333" s="11">
        <v>10.0</v>
      </c>
      <c r="J333" s="11">
        <v>0.0</v>
      </c>
      <c r="K333" s="11">
        <f t="shared" si="1"/>
        <v>20</v>
      </c>
      <c r="L333" s="11">
        <f t="shared" si="2"/>
        <v>5</v>
      </c>
    </row>
    <row r="334" ht="15.75" customHeight="1">
      <c r="A334" s="10" t="s">
        <v>755</v>
      </c>
      <c r="B334" s="10" t="s">
        <v>756</v>
      </c>
      <c r="C334" s="11">
        <v>0.0</v>
      </c>
      <c r="D334" s="11">
        <v>0.0</v>
      </c>
      <c r="E334" s="11">
        <v>0.0</v>
      </c>
      <c r="F334" s="11">
        <v>0.0</v>
      </c>
      <c r="G334" s="11">
        <v>0.0</v>
      </c>
      <c r="H334" s="11">
        <v>30.0</v>
      </c>
      <c r="I334" s="11">
        <v>0.0</v>
      </c>
      <c r="J334" s="11">
        <v>0.0</v>
      </c>
      <c r="K334" s="11">
        <f t="shared" si="1"/>
        <v>30</v>
      </c>
      <c r="L334" s="11">
        <f t="shared" si="2"/>
        <v>7.5</v>
      </c>
    </row>
    <row r="335" ht="15.75" customHeight="1">
      <c r="A335" s="10" t="s">
        <v>757</v>
      </c>
      <c r="B335" s="10" t="s">
        <v>758</v>
      </c>
      <c r="C335" s="11">
        <v>0.0</v>
      </c>
      <c r="D335" s="11">
        <v>0.0</v>
      </c>
      <c r="E335" s="11">
        <v>0.0</v>
      </c>
      <c r="F335" s="11">
        <v>0.0</v>
      </c>
      <c r="G335" s="11">
        <v>0.0</v>
      </c>
      <c r="H335" s="11">
        <v>20.0</v>
      </c>
      <c r="I335" s="11">
        <v>0.0</v>
      </c>
      <c r="J335" s="11">
        <v>0.0</v>
      </c>
      <c r="K335" s="11">
        <f t="shared" si="1"/>
        <v>20</v>
      </c>
      <c r="L335" s="11">
        <f t="shared" si="2"/>
        <v>5</v>
      </c>
    </row>
    <row r="336" ht="15.75" customHeight="1">
      <c r="A336" s="10" t="s">
        <v>759</v>
      </c>
      <c r="B336" s="10" t="s">
        <v>760</v>
      </c>
      <c r="C336" s="11">
        <v>0.0</v>
      </c>
      <c r="D336" s="11">
        <v>0.0</v>
      </c>
      <c r="E336" s="11">
        <v>0.0</v>
      </c>
      <c r="F336" s="11">
        <v>0.0</v>
      </c>
      <c r="G336" s="11">
        <v>0.0</v>
      </c>
      <c r="H336" s="11">
        <v>30.0</v>
      </c>
      <c r="I336" s="11">
        <v>10.0</v>
      </c>
      <c r="J336" s="11">
        <v>0.0</v>
      </c>
      <c r="K336" s="11">
        <f t="shared" si="1"/>
        <v>40</v>
      </c>
      <c r="L336" s="11">
        <f t="shared" si="2"/>
        <v>10</v>
      </c>
    </row>
    <row r="337" ht="15.75" customHeight="1">
      <c r="A337" s="10" t="s">
        <v>761</v>
      </c>
      <c r="B337" s="10" t="s">
        <v>762</v>
      </c>
      <c r="C337" s="11">
        <v>0.0</v>
      </c>
      <c r="D337" s="11">
        <v>0.0</v>
      </c>
      <c r="E337" s="11">
        <v>0.0</v>
      </c>
      <c r="F337" s="11">
        <v>0.0</v>
      </c>
      <c r="G337" s="11">
        <v>0.0</v>
      </c>
      <c r="H337" s="11">
        <v>0.0</v>
      </c>
      <c r="I337" s="11">
        <v>10.0</v>
      </c>
      <c r="J337" s="11">
        <v>10.0</v>
      </c>
      <c r="K337" s="11">
        <f t="shared" si="1"/>
        <v>20</v>
      </c>
      <c r="L337" s="11">
        <f t="shared" si="2"/>
        <v>5</v>
      </c>
    </row>
    <row r="338" ht="15.75" customHeight="1">
      <c r="A338" s="10" t="s">
        <v>763</v>
      </c>
      <c r="B338" s="10" t="s">
        <v>764</v>
      </c>
      <c r="C338" s="11">
        <v>0.0</v>
      </c>
      <c r="D338" s="11">
        <v>0.0</v>
      </c>
      <c r="E338" s="11">
        <v>0.0</v>
      </c>
      <c r="F338" s="11">
        <v>0.0</v>
      </c>
      <c r="G338" s="11">
        <v>0.0</v>
      </c>
      <c r="H338" s="11">
        <v>50.0</v>
      </c>
      <c r="I338" s="11">
        <v>10.0</v>
      </c>
      <c r="J338" s="11">
        <v>20.0</v>
      </c>
      <c r="K338" s="11">
        <f t="shared" si="1"/>
        <v>80</v>
      </c>
      <c r="L338" s="11">
        <f t="shared" si="2"/>
        <v>20</v>
      </c>
    </row>
    <row r="339" ht="15.75" customHeight="1">
      <c r="A339" s="10" t="s">
        <v>765</v>
      </c>
      <c r="B339" s="10" t="s">
        <v>766</v>
      </c>
      <c r="C339" s="11">
        <v>0.0</v>
      </c>
      <c r="D339" s="11">
        <v>0.0</v>
      </c>
      <c r="E339" s="11">
        <v>0.0</v>
      </c>
      <c r="F339" s="11">
        <v>0.0</v>
      </c>
      <c r="G339" s="11">
        <v>0.0</v>
      </c>
      <c r="H339" s="11">
        <v>50.0</v>
      </c>
      <c r="I339" s="11">
        <v>10.0</v>
      </c>
      <c r="J339" s="11">
        <v>10.0</v>
      </c>
      <c r="K339" s="11">
        <f t="shared" si="1"/>
        <v>70</v>
      </c>
      <c r="L339" s="11">
        <f t="shared" si="2"/>
        <v>17.5</v>
      </c>
    </row>
    <row r="340" ht="15.75" customHeight="1">
      <c r="A340" s="10" t="s">
        <v>767</v>
      </c>
      <c r="B340" s="10" t="s">
        <v>768</v>
      </c>
      <c r="C340" s="11">
        <v>0.0</v>
      </c>
      <c r="D340" s="11">
        <v>0.0</v>
      </c>
      <c r="E340" s="11">
        <v>0.0</v>
      </c>
      <c r="F340" s="11">
        <v>0.0</v>
      </c>
      <c r="G340" s="11">
        <v>0.0</v>
      </c>
      <c r="H340" s="11">
        <v>130.0</v>
      </c>
      <c r="I340" s="11">
        <v>0.0</v>
      </c>
      <c r="J340" s="11">
        <v>20.0</v>
      </c>
      <c r="K340" s="11">
        <f t="shared" si="1"/>
        <v>150</v>
      </c>
      <c r="L340" s="11">
        <f t="shared" si="2"/>
        <v>37.5</v>
      </c>
    </row>
    <row r="341" ht="15.75" customHeight="1">
      <c r="A341" s="10" t="s">
        <v>769</v>
      </c>
      <c r="B341" s="10" t="s">
        <v>770</v>
      </c>
      <c r="C341" s="11">
        <v>0.0</v>
      </c>
      <c r="D341" s="11">
        <v>0.0</v>
      </c>
      <c r="E341" s="11">
        <v>0.0</v>
      </c>
      <c r="F341" s="11">
        <v>0.0</v>
      </c>
      <c r="G341" s="11">
        <v>0.0</v>
      </c>
      <c r="H341" s="11">
        <v>40.0</v>
      </c>
      <c r="I341" s="11">
        <v>0.0</v>
      </c>
      <c r="J341" s="11">
        <v>40.0</v>
      </c>
      <c r="K341" s="11">
        <f t="shared" si="1"/>
        <v>80</v>
      </c>
      <c r="L341" s="11">
        <f t="shared" si="2"/>
        <v>20</v>
      </c>
    </row>
    <row r="342" ht="15.75" customHeight="1">
      <c r="A342" s="10" t="s">
        <v>771</v>
      </c>
      <c r="B342" s="10" t="s">
        <v>772</v>
      </c>
      <c r="C342" s="11">
        <v>0.0</v>
      </c>
      <c r="D342" s="11">
        <v>0.0</v>
      </c>
      <c r="E342" s="11">
        <v>0.0</v>
      </c>
      <c r="F342" s="11">
        <v>0.0</v>
      </c>
      <c r="G342" s="11">
        <v>0.0</v>
      </c>
      <c r="H342" s="11">
        <v>230.0</v>
      </c>
      <c r="I342" s="11">
        <v>20.0</v>
      </c>
      <c r="J342" s="11">
        <v>10.0</v>
      </c>
      <c r="K342" s="11">
        <f t="shared" si="1"/>
        <v>260</v>
      </c>
      <c r="L342" s="11">
        <f t="shared" si="2"/>
        <v>65</v>
      </c>
    </row>
    <row r="343" ht="15.75" customHeight="1">
      <c r="A343" s="10" t="s">
        <v>773</v>
      </c>
      <c r="B343" s="10" t="s">
        <v>774</v>
      </c>
      <c r="C343" s="11">
        <v>0.0</v>
      </c>
      <c r="D343" s="11">
        <v>0.0</v>
      </c>
      <c r="E343" s="11">
        <v>0.0</v>
      </c>
      <c r="F343" s="11">
        <v>0.0</v>
      </c>
      <c r="G343" s="11">
        <v>0.0</v>
      </c>
      <c r="H343" s="11">
        <v>0.0</v>
      </c>
      <c r="I343" s="11">
        <v>0.0</v>
      </c>
      <c r="J343" s="11">
        <v>0.0</v>
      </c>
      <c r="K343" s="11">
        <f t="shared" si="1"/>
        <v>0</v>
      </c>
      <c r="L343" s="11">
        <f t="shared" si="2"/>
        <v>0</v>
      </c>
    </row>
    <row r="344" ht="15.75" customHeight="1">
      <c r="A344" s="10" t="s">
        <v>775</v>
      </c>
      <c r="B344" s="10" t="s">
        <v>776</v>
      </c>
      <c r="C344" s="11">
        <v>0.0</v>
      </c>
      <c r="D344" s="11">
        <v>0.0</v>
      </c>
      <c r="E344" s="11">
        <v>0.0</v>
      </c>
      <c r="F344" s="11">
        <v>0.0</v>
      </c>
      <c r="G344" s="11">
        <v>0.0</v>
      </c>
      <c r="H344" s="11">
        <v>0.0</v>
      </c>
      <c r="I344" s="11">
        <v>0.0</v>
      </c>
      <c r="J344" s="11">
        <v>0.0</v>
      </c>
      <c r="K344" s="11">
        <f t="shared" si="1"/>
        <v>0</v>
      </c>
      <c r="L344" s="11">
        <f t="shared" si="2"/>
        <v>0</v>
      </c>
    </row>
    <row r="345" ht="15.75" customHeight="1">
      <c r="A345" s="10" t="s">
        <v>777</v>
      </c>
      <c r="B345" s="10" t="s">
        <v>778</v>
      </c>
      <c r="C345" s="11">
        <v>0.0</v>
      </c>
      <c r="D345" s="11">
        <v>0.0</v>
      </c>
      <c r="E345" s="11">
        <v>0.0</v>
      </c>
      <c r="F345" s="11">
        <v>50.0</v>
      </c>
      <c r="G345" s="11">
        <v>0.0</v>
      </c>
      <c r="H345" s="11">
        <v>0.0</v>
      </c>
      <c r="I345" s="11">
        <v>0.0</v>
      </c>
      <c r="J345" s="11">
        <v>0.0</v>
      </c>
      <c r="K345" s="11">
        <f t="shared" si="1"/>
        <v>50</v>
      </c>
      <c r="L345" s="11">
        <f t="shared" si="2"/>
        <v>0</v>
      </c>
    </row>
    <row r="346" ht="15.75" customHeight="1">
      <c r="A346" s="10" t="s">
        <v>779</v>
      </c>
      <c r="B346" s="10" t="s">
        <v>780</v>
      </c>
      <c r="C346" s="11">
        <v>50.0</v>
      </c>
      <c r="D346" s="11">
        <v>50.0</v>
      </c>
      <c r="E346" s="11">
        <v>50.0</v>
      </c>
      <c r="F346" s="11">
        <v>0.0</v>
      </c>
      <c r="G346" s="11">
        <v>50.0</v>
      </c>
      <c r="H346" s="11">
        <v>50.0</v>
      </c>
      <c r="I346" s="11">
        <v>0.0</v>
      </c>
      <c r="J346" s="11">
        <v>50.0</v>
      </c>
      <c r="K346" s="11">
        <f t="shared" si="1"/>
        <v>300</v>
      </c>
      <c r="L346" s="11">
        <f t="shared" si="2"/>
        <v>37.5</v>
      </c>
    </row>
    <row r="347" ht="15.75" customHeight="1">
      <c r="A347" s="10" t="s">
        <v>781</v>
      </c>
      <c r="B347" s="10" t="s">
        <v>782</v>
      </c>
      <c r="C347" s="11">
        <v>0.0</v>
      </c>
      <c r="D347" s="11">
        <v>0.0</v>
      </c>
      <c r="E347" s="11">
        <v>0.0</v>
      </c>
      <c r="F347" s="11">
        <v>0.0</v>
      </c>
      <c r="G347" s="11">
        <v>0.0</v>
      </c>
      <c r="H347" s="11">
        <v>0.0</v>
      </c>
      <c r="I347" s="11">
        <v>50.0</v>
      </c>
      <c r="J347" s="11">
        <v>0.0</v>
      </c>
      <c r="K347" s="11">
        <f t="shared" si="1"/>
        <v>50</v>
      </c>
      <c r="L347" s="11">
        <f t="shared" si="2"/>
        <v>12.5</v>
      </c>
    </row>
    <row r="348" ht="15.75" customHeight="1">
      <c r="A348" s="10" t="s">
        <v>783</v>
      </c>
      <c r="B348" s="10" t="s">
        <v>784</v>
      </c>
      <c r="C348" s="11">
        <v>0.0</v>
      </c>
      <c r="D348" s="11">
        <v>0.0</v>
      </c>
      <c r="E348" s="11">
        <v>0.0</v>
      </c>
      <c r="F348" s="11">
        <v>0.0</v>
      </c>
      <c r="G348" s="11">
        <v>0.0</v>
      </c>
      <c r="H348" s="11">
        <v>0.0</v>
      </c>
      <c r="I348" s="11">
        <v>0.0</v>
      </c>
      <c r="J348" s="11">
        <v>0.0</v>
      </c>
      <c r="K348" s="11">
        <f t="shared" si="1"/>
        <v>0</v>
      </c>
      <c r="L348" s="11">
        <f t="shared" si="2"/>
        <v>0</v>
      </c>
    </row>
    <row r="349" ht="15.75" customHeight="1">
      <c r="A349" s="10" t="s">
        <v>785</v>
      </c>
      <c r="B349" s="10" t="s">
        <v>786</v>
      </c>
      <c r="C349" s="11">
        <v>0.0</v>
      </c>
      <c r="D349" s="11">
        <v>0.0</v>
      </c>
      <c r="E349" s="11">
        <v>0.0</v>
      </c>
      <c r="F349" s="11">
        <v>0.0</v>
      </c>
      <c r="G349" s="11">
        <v>0.0</v>
      </c>
      <c r="H349" s="11">
        <v>0.0</v>
      </c>
      <c r="I349" s="11">
        <v>50.0</v>
      </c>
      <c r="J349" s="11">
        <v>50.0</v>
      </c>
      <c r="K349" s="11">
        <f t="shared" si="1"/>
        <v>100</v>
      </c>
      <c r="L349" s="11">
        <f t="shared" si="2"/>
        <v>25</v>
      </c>
    </row>
    <row r="350" ht="15.75" customHeight="1">
      <c r="A350" s="10" t="s">
        <v>787</v>
      </c>
      <c r="B350" s="10" t="s">
        <v>788</v>
      </c>
      <c r="C350" s="11">
        <v>0.0</v>
      </c>
      <c r="D350" s="11">
        <v>50.0</v>
      </c>
      <c r="E350" s="11">
        <v>0.0</v>
      </c>
      <c r="F350" s="11">
        <v>0.0</v>
      </c>
      <c r="G350" s="11">
        <v>0.0</v>
      </c>
      <c r="H350" s="11">
        <v>0.0</v>
      </c>
      <c r="I350" s="11">
        <v>0.0</v>
      </c>
      <c r="J350" s="11">
        <v>0.0</v>
      </c>
      <c r="K350" s="11">
        <f t="shared" si="1"/>
        <v>50</v>
      </c>
      <c r="L350" s="11">
        <f t="shared" si="2"/>
        <v>0</v>
      </c>
    </row>
    <row r="351" ht="15.75" customHeight="1">
      <c r="A351" s="10" t="s">
        <v>789</v>
      </c>
      <c r="B351" s="10" t="s">
        <v>790</v>
      </c>
      <c r="C351" s="11">
        <v>661.0</v>
      </c>
      <c r="D351" s="11">
        <v>0.0</v>
      </c>
      <c r="E351" s="11">
        <v>1518.0</v>
      </c>
      <c r="F351" s="11">
        <v>560.0</v>
      </c>
      <c r="G351" s="11">
        <v>2152.0</v>
      </c>
      <c r="H351" s="11">
        <v>2000.0</v>
      </c>
      <c r="I351" s="11">
        <v>1121.0</v>
      </c>
      <c r="J351" s="11">
        <v>188.0</v>
      </c>
      <c r="K351" s="11">
        <f t="shared" si="1"/>
        <v>8200</v>
      </c>
      <c r="L351" s="11">
        <f t="shared" si="2"/>
        <v>1365.25</v>
      </c>
    </row>
    <row r="352" ht="15.75" customHeight="1">
      <c r="A352" s="10" t="s">
        <v>792</v>
      </c>
      <c r="B352" s="10" t="s">
        <v>793</v>
      </c>
      <c r="C352" s="11">
        <v>0.0</v>
      </c>
      <c r="D352" s="11">
        <v>0.0</v>
      </c>
      <c r="E352" s="11">
        <v>30.0</v>
      </c>
      <c r="F352" s="11">
        <v>30.0</v>
      </c>
      <c r="G352" s="11">
        <v>30.0</v>
      </c>
      <c r="H352" s="11">
        <v>58.0</v>
      </c>
      <c r="I352" s="11">
        <v>60.0</v>
      </c>
      <c r="J352" s="11">
        <v>180.0</v>
      </c>
      <c r="K352" s="11">
        <f t="shared" si="1"/>
        <v>388</v>
      </c>
      <c r="L352" s="11">
        <f t="shared" si="2"/>
        <v>82</v>
      </c>
    </row>
    <row r="353" ht="15.75" customHeight="1">
      <c r="A353" s="10" t="s">
        <v>795</v>
      </c>
      <c r="B353" s="10" t="s">
        <v>796</v>
      </c>
      <c r="C353" s="11">
        <v>420.0</v>
      </c>
      <c r="D353" s="11">
        <v>570.0</v>
      </c>
      <c r="E353" s="11">
        <v>720.0</v>
      </c>
      <c r="F353" s="11">
        <v>390.0</v>
      </c>
      <c r="G353" s="11">
        <v>240.0</v>
      </c>
      <c r="H353" s="11">
        <v>630.0</v>
      </c>
      <c r="I353" s="11">
        <v>600.0</v>
      </c>
      <c r="J353" s="11">
        <v>720.0</v>
      </c>
      <c r="K353" s="11">
        <f t="shared" si="1"/>
        <v>4290</v>
      </c>
      <c r="L353" s="11">
        <f t="shared" si="2"/>
        <v>547.5</v>
      </c>
    </row>
    <row r="354" ht="15.75" customHeight="1">
      <c r="A354" s="10" t="s">
        <v>797</v>
      </c>
      <c r="B354" s="10" t="s">
        <v>798</v>
      </c>
      <c r="C354" s="11">
        <v>0.0</v>
      </c>
      <c r="D354" s="11">
        <v>60.0</v>
      </c>
      <c r="E354" s="11">
        <v>30.0</v>
      </c>
      <c r="F354" s="11">
        <v>60.0</v>
      </c>
      <c r="G354" s="11">
        <v>90.0</v>
      </c>
      <c r="H354" s="11">
        <v>0.0</v>
      </c>
      <c r="I354" s="11">
        <v>125.0</v>
      </c>
      <c r="J354" s="11">
        <v>0.0</v>
      </c>
      <c r="K354" s="11">
        <f t="shared" si="1"/>
        <v>365</v>
      </c>
      <c r="L354" s="11">
        <f t="shared" si="2"/>
        <v>53.75</v>
      </c>
    </row>
    <row r="355" ht="15.75" customHeight="1">
      <c r="A355" s="10" t="s">
        <v>799</v>
      </c>
      <c r="B355" s="10" t="s">
        <v>800</v>
      </c>
      <c r="C355" s="11">
        <v>2560.0</v>
      </c>
      <c r="D355" s="11">
        <v>2840.0</v>
      </c>
      <c r="E355" s="11">
        <v>2639.0</v>
      </c>
      <c r="F355" s="11">
        <v>1930.0</v>
      </c>
      <c r="G355" s="11">
        <v>1960.0</v>
      </c>
      <c r="H355" s="11">
        <v>3979.0</v>
      </c>
      <c r="I355" s="11">
        <v>3115.0</v>
      </c>
      <c r="J355" s="11">
        <v>1528.0</v>
      </c>
      <c r="K355" s="11">
        <f t="shared" si="1"/>
        <v>20551</v>
      </c>
      <c r="L355" s="11">
        <f t="shared" si="2"/>
        <v>2645.5</v>
      </c>
    </row>
    <row r="356" ht="15.75" customHeight="1">
      <c r="A356" s="10" t="s">
        <v>801</v>
      </c>
      <c r="B356" s="10" t="s">
        <v>802</v>
      </c>
      <c r="C356" s="11">
        <v>280.0</v>
      </c>
      <c r="D356" s="11">
        <v>0.0</v>
      </c>
      <c r="E356" s="11">
        <v>40.0</v>
      </c>
      <c r="F356" s="11">
        <v>0.0</v>
      </c>
      <c r="G356" s="11">
        <v>0.0</v>
      </c>
      <c r="H356" s="11">
        <v>0.0</v>
      </c>
      <c r="I356" s="11">
        <v>266.0</v>
      </c>
      <c r="J356" s="11">
        <v>0.0</v>
      </c>
      <c r="K356" s="11">
        <f t="shared" si="1"/>
        <v>586</v>
      </c>
      <c r="L356" s="11">
        <f t="shared" si="2"/>
        <v>66.5</v>
      </c>
    </row>
    <row r="357" ht="15.75" customHeight="1">
      <c r="A357" s="10" t="s">
        <v>803</v>
      </c>
      <c r="B357" s="10" t="s">
        <v>804</v>
      </c>
      <c r="C357" s="11">
        <v>0.0</v>
      </c>
      <c r="D357" s="11">
        <v>0.0</v>
      </c>
      <c r="E357" s="11">
        <v>0.0</v>
      </c>
      <c r="F357" s="11">
        <v>0.0</v>
      </c>
      <c r="G357" s="11">
        <v>0.0</v>
      </c>
      <c r="H357" s="11">
        <v>0.0</v>
      </c>
      <c r="I357" s="11">
        <v>0.0</v>
      </c>
      <c r="J357" s="11">
        <v>0.0</v>
      </c>
      <c r="K357" s="11">
        <f t="shared" si="1"/>
        <v>0</v>
      </c>
      <c r="L357" s="11">
        <f t="shared" si="2"/>
        <v>0</v>
      </c>
    </row>
    <row r="358" ht="15.75" customHeight="1">
      <c r="A358" s="10" t="s">
        <v>805</v>
      </c>
      <c r="B358" s="10" t="s">
        <v>806</v>
      </c>
      <c r="C358" s="11">
        <v>0.0</v>
      </c>
      <c r="D358" s="11">
        <v>0.0</v>
      </c>
      <c r="E358" s="11">
        <v>0.0</v>
      </c>
      <c r="F358" s="11">
        <v>0.0</v>
      </c>
      <c r="G358" s="11">
        <v>0.0</v>
      </c>
      <c r="H358" s="11">
        <v>0.0</v>
      </c>
      <c r="I358" s="11">
        <v>0.0</v>
      </c>
      <c r="J358" s="11">
        <v>0.0</v>
      </c>
      <c r="K358" s="11">
        <f t="shared" si="1"/>
        <v>0</v>
      </c>
      <c r="L358" s="11">
        <f t="shared" si="2"/>
        <v>0</v>
      </c>
    </row>
    <row r="359" ht="15.75" customHeight="1">
      <c r="A359" s="10" t="s">
        <v>807</v>
      </c>
      <c r="B359" s="10" t="s">
        <v>808</v>
      </c>
      <c r="C359" s="11">
        <v>0.0</v>
      </c>
      <c r="D359" s="11">
        <v>0.0</v>
      </c>
      <c r="E359" s="11">
        <v>0.0</v>
      </c>
      <c r="F359" s="11">
        <v>0.0</v>
      </c>
      <c r="G359" s="11">
        <v>0.0</v>
      </c>
      <c r="H359" s="11">
        <v>0.0</v>
      </c>
      <c r="I359" s="11">
        <v>0.0</v>
      </c>
      <c r="J359" s="11">
        <v>0.0</v>
      </c>
      <c r="K359" s="11">
        <f t="shared" si="1"/>
        <v>0</v>
      </c>
      <c r="L359" s="11">
        <f t="shared" si="2"/>
        <v>0</v>
      </c>
    </row>
    <row r="360" ht="15.75" customHeight="1">
      <c r="A360" s="10" t="s">
        <v>809</v>
      </c>
      <c r="B360" s="10" t="s">
        <v>810</v>
      </c>
      <c r="C360" s="11">
        <v>0.0</v>
      </c>
      <c r="D360" s="11">
        <v>0.0</v>
      </c>
      <c r="E360" s="11">
        <v>0.0</v>
      </c>
      <c r="F360" s="11">
        <v>0.0</v>
      </c>
      <c r="G360" s="11">
        <v>0.0</v>
      </c>
      <c r="H360" s="11">
        <v>0.0</v>
      </c>
      <c r="I360" s="11">
        <v>0.0</v>
      </c>
      <c r="J360" s="11">
        <v>0.0</v>
      </c>
      <c r="K360" s="11">
        <f t="shared" si="1"/>
        <v>0</v>
      </c>
      <c r="L360" s="11">
        <f t="shared" si="2"/>
        <v>0</v>
      </c>
    </row>
    <row r="361" ht="15.75" customHeight="1">
      <c r="A361" s="10" t="s">
        <v>811</v>
      </c>
      <c r="B361" s="10" t="s">
        <v>812</v>
      </c>
      <c r="C361" s="11">
        <v>0.0</v>
      </c>
      <c r="D361" s="11">
        <v>0.0</v>
      </c>
      <c r="E361" s="11">
        <v>0.0</v>
      </c>
      <c r="F361" s="11">
        <v>0.0</v>
      </c>
      <c r="G361" s="11">
        <v>0.0</v>
      </c>
      <c r="H361" s="11">
        <v>0.0</v>
      </c>
      <c r="I361" s="11">
        <v>0.0</v>
      </c>
      <c r="J361" s="11">
        <v>0.0</v>
      </c>
      <c r="K361" s="11">
        <f t="shared" si="1"/>
        <v>0</v>
      </c>
      <c r="L361" s="11">
        <f t="shared" si="2"/>
        <v>0</v>
      </c>
    </row>
    <row r="362" ht="15.75" customHeight="1">
      <c r="A362" s="10" t="s">
        <v>813</v>
      </c>
      <c r="B362" s="10" t="s">
        <v>814</v>
      </c>
      <c r="C362" s="11">
        <v>0.0</v>
      </c>
      <c r="D362" s="11">
        <v>0.0</v>
      </c>
      <c r="E362" s="11">
        <v>0.0</v>
      </c>
      <c r="F362" s="11">
        <v>0.0</v>
      </c>
      <c r="G362" s="11">
        <v>0.0</v>
      </c>
      <c r="H362" s="11">
        <v>0.0</v>
      </c>
      <c r="I362" s="11">
        <v>0.0</v>
      </c>
      <c r="J362" s="11">
        <v>0.0</v>
      </c>
      <c r="K362" s="11">
        <f t="shared" si="1"/>
        <v>0</v>
      </c>
      <c r="L362" s="11">
        <f t="shared" si="2"/>
        <v>0</v>
      </c>
    </row>
    <row r="363" ht="15.75" customHeight="1">
      <c r="A363" s="10" t="s">
        <v>815</v>
      </c>
      <c r="B363" s="10" t="s">
        <v>816</v>
      </c>
      <c r="C363" s="11">
        <v>0.0</v>
      </c>
      <c r="D363" s="11">
        <v>0.0</v>
      </c>
      <c r="E363" s="11">
        <v>0.0</v>
      </c>
      <c r="F363" s="11">
        <v>0.0</v>
      </c>
      <c r="G363" s="11">
        <v>0.0</v>
      </c>
      <c r="H363" s="11">
        <v>0.0</v>
      </c>
      <c r="I363" s="11">
        <v>0.0</v>
      </c>
      <c r="J363" s="11">
        <v>0.0</v>
      </c>
      <c r="K363" s="11">
        <f t="shared" si="1"/>
        <v>0</v>
      </c>
      <c r="L363" s="11">
        <f t="shared" si="2"/>
        <v>0</v>
      </c>
    </row>
    <row r="364" ht="15.75" customHeight="1">
      <c r="A364" s="10" t="s">
        <v>817</v>
      </c>
      <c r="B364" s="10" t="s">
        <v>818</v>
      </c>
      <c r="C364" s="11">
        <v>0.0</v>
      </c>
      <c r="D364" s="11">
        <v>0.0</v>
      </c>
      <c r="E364" s="11">
        <v>0.0</v>
      </c>
      <c r="F364" s="11">
        <v>0.0</v>
      </c>
      <c r="G364" s="11">
        <v>0.0</v>
      </c>
      <c r="H364" s="11">
        <v>0.0</v>
      </c>
      <c r="I364" s="11">
        <v>0.0</v>
      </c>
      <c r="J364" s="11">
        <v>0.0</v>
      </c>
      <c r="K364" s="11">
        <f t="shared" si="1"/>
        <v>0</v>
      </c>
      <c r="L364" s="11">
        <f t="shared" si="2"/>
        <v>0</v>
      </c>
    </row>
    <row r="365" ht="15.75" customHeight="1">
      <c r="A365" s="10" t="s">
        <v>819</v>
      </c>
      <c r="B365" s="10" t="s">
        <v>820</v>
      </c>
      <c r="C365" s="11">
        <v>0.0</v>
      </c>
      <c r="D365" s="11">
        <v>0.0</v>
      </c>
      <c r="E365" s="11">
        <v>0.0</v>
      </c>
      <c r="F365" s="11">
        <v>0.0</v>
      </c>
      <c r="G365" s="11">
        <v>0.0</v>
      </c>
      <c r="H365" s="11">
        <v>0.0</v>
      </c>
      <c r="I365" s="11">
        <v>0.0</v>
      </c>
      <c r="J365" s="11">
        <v>0.0</v>
      </c>
      <c r="K365" s="11">
        <f t="shared" si="1"/>
        <v>0</v>
      </c>
      <c r="L365" s="11">
        <f t="shared" si="2"/>
        <v>0</v>
      </c>
    </row>
    <row r="366" ht="15.75" customHeight="1">
      <c r="A366" s="10" t="s">
        <v>821</v>
      </c>
      <c r="B366" s="10" t="s">
        <v>822</v>
      </c>
      <c r="C366" s="11">
        <v>0.0</v>
      </c>
      <c r="D366" s="11">
        <v>0.0</v>
      </c>
      <c r="E366" s="11">
        <v>0.0</v>
      </c>
      <c r="F366" s="11">
        <v>0.0</v>
      </c>
      <c r="G366" s="11">
        <v>0.0</v>
      </c>
      <c r="H366" s="11">
        <v>0.0</v>
      </c>
      <c r="I366" s="11">
        <v>0.0</v>
      </c>
      <c r="J366" s="11">
        <v>0.0</v>
      </c>
      <c r="K366" s="11">
        <f t="shared" si="1"/>
        <v>0</v>
      </c>
      <c r="L366" s="11">
        <f t="shared" si="2"/>
        <v>0</v>
      </c>
    </row>
    <row r="367" ht="15.75" customHeight="1">
      <c r="A367" s="10" t="s">
        <v>823</v>
      </c>
      <c r="B367" s="10" t="s">
        <v>824</v>
      </c>
      <c r="C367" s="11">
        <v>0.0</v>
      </c>
      <c r="D367" s="11">
        <v>0.0</v>
      </c>
      <c r="E367" s="11">
        <v>0.0</v>
      </c>
      <c r="F367" s="11">
        <v>0.0</v>
      </c>
      <c r="G367" s="11">
        <v>0.0</v>
      </c>
      <c r="H367" s="11">
        <v>0.0</v>
      </c>
      <c r="I367" s="11">
        <v>0.0</v>
      </c>
      <c r="J367" s="11">
        <v>0.0</v>
      </c>
      <c r="K367" s="11">
        <f t="shared" si="1"/>
        <v>0</v>
      </c>
      <c r="L367" s="11">
        <f t="shared" si="2"/>
        <v>0</v>
      </c>
    </row>
    <row r="368" ht="15.75" customHeight="1">
      <c r="A368" s="10" t="s">
        <v>825</v>
      </c>
      <c r="B368" s="10" t="s">
        <v>826</v>
      </c>
      <c r="C368" s="11">
        <v>0.0</v>
      </c>
      <c r="D368" s="11">
        <v>0.0</v>
      </c>
      <c r="E368" s="11">
        <v>0.0</v>
      </c>
      <c r="F368" s="11">
        <v>0.0</v>
      </c>
      <c r="G368" s="11">
        <v>0.0</v>
      </c>
      <c r="H368" s="11">
        <v>0.0</v>
      </c>
      <c r="I368" s="11">
        <v>0.0</v>
      </c>
      <c r="J368" s="11">
        <v>0.0</v>
      </c>
      <c r="K368" s="11">
        <f t="shared" si="1"/>
        <v>0</v>
      </c>
      <c r="L368" s="11">
        <f t="shared" si="2"/>
        <v>0</v>
      </c>
    </row>
    <row r="369" ht="15.75" customHeight="1">
      <c r="A369" s="10" t="s">
        <v>827</v>
      </c>
      <c r="B369" s="10" t="s">
        <v>828</v>
      </c>
      <c r="C369" s="11">
        <v>0.0</v>
      </c>
      <c r="D369" s="11">
        <v>0.0</v>
      </c>
      <c r="E369" s="11">
        <v>0.0</v>
      </c>
      <c r="F369" s="11">
        <v>0.0</v>
      </c>
      <c r="G369" s="11">
        <v>0.0</v>
      </c>
      <c r="H369" s="11">
        <v>0.0</v>
      </c>
      <c r="I369" s="11">
        <v>0.0</v>
      </c>
      <c r="J369" s="11">
        <v>0.0</v>
      </c>
      <c r="K369" s="11">
        <f t="shared" si="1"/>
        <v>0</v>
      </c>
      <c r="L369" s="11">
        <f t="shared" si="2"/>
        <v>0</v>
      </c>
    </row>
    <row r="370" ht="15.75" customHeight="1">
      <c r="A370" s="10" t="s">
        <v>829</v>
      </c>
      <c r="B370" s="10" t="s">
        <v>830</v>
      </c>
      <c r="C370" s="11">
        <v>0.0</v>
      </c>
      <c r="D370" s="11">
        <v>0.0</v>
      </c>
      <c r="E370" s="11">
        <v>0.0</v>
      </c>
      <c r="F370" s="11">
        <v>0.0</v>
      </c>
      <c r="G370" s="11">
        <v>0.0</v>
      </c>
      <c r="H370" s="11">
        <v>0.0</v>
      </c>
      <c r="I370" s="11">
        <v>0.0</v>
      </c>
      <c r="J370" s="11">
        <v>0.0</v>
      </c>
      <c r="K370" s="11">
        <f t="shared" si="1"/>
        <v>0</v>
      </c>
      <c r="L370" s="11">
        <f t="shared" si="2"/>
        <v>0</v>
      </c>
    </row>
    <row r="371" ht="15.75" customHeight="1">
      <c r="A371" s="10" t="s">
        <v>831</v>
      </c>
      <c r="B371" s="10" t="s">
        <v>832</v>
      </c>
      <c r="C371" s="11">
        <v>0.0</v>
      </c>
      <c r="D371" s="11">
        <v>0.0</v>
      </c>
      <c r="E371" s="11">
        <v>0.0</v>
      </c>
      <c r="F371" s="11">
        <v>0.0</v>
      </c>
      <c r="G371" s="11">
        <v>0.0</v>
      </c>
      <c r="H371" s="11">
        <v>0.0</v>
      </c>
      <c r="I371" s="11">
        <v>0.0</v>
      </c>
      <c r="J371" s="11">
        <v>0.0</v>
      </c>
      <c r="K371" s="11">
        <f t="shared" si="1"/>
        <v>0</v>
      </c>
      <c r="L371" s="11">
        <f t="shared" si="2"/>
        <v>0</v>
      </c>
    </row>
    <row r="372" ht="15.75" customHeight="1">
      <c r="A372" s="10" t="s">
        <v>833</v>
      </c>
      <c r="B372" s="10" t="s">
        <v>834</v>
      </c>
      <c r="C372" s="11">
        <v>0.0</v>
      </c>
      <c r="D372" s="11">
        <v>45.0</v>
      </c>
      <c r="E372" s="11">
        <v>0.0</v>
      </c>
      <c r="F372" s="11">
        <v>0.0</v>
      </c>
      <c r="G372" s="11">
        <v>0.0</v>
      </c>
      <c r="H372" s="11">
        <v>0.0</v>
      </c>
      <c r="I372" s="11">
        <v>0.0</v>
      </c>
      <c r="J372" s="11">
        <v>90.0</v>
      </c>
      <c r="K372" s="11">
        <f t="shared" si="1"/>
        <v>135</v>
      </c>
      <c r="L372" s="11">
        <f t="shared" si="2"/>
        <v>22.5</v>
      </c>
    </row>
    <row r="373" ht="15.75" customHeight="1">
      <c r="A373" s="10" t="s">
        <v>835</v>
      </c>
      <c r="B373" s="10" t="s">
        <v>836</v>
      </c>
      <c r="C373" s="11">
        <v>0.0</v>
      </c>
      <c r="D373" s="11">
        <v>0.0</v>
      </c>
      <c r="E373" s="11">
        <v>0.0</v>
      </c>
      <c r="F373" s="11">
        <v>0.0</v>
      </c>
      <c r="G373" s="11">
        <v>0.0</v>
      </c>
      <c r="H373" s="11">
        <v>0.0</v>
      </c>
      <c r="I373" s="11">
        <v>60.0</v>
      </c>
      <c r="J373" s="11">
        <v>150.0</v>
      </c>
      <c r="K373" s="11">
        <f t="shared" si="1"/>
        <v>210</v>
      </c>
      <c r="L373" s="11">
        <f t="shared" si="2"/>
        <v>52.5</v>
      </c>
    </row>
    <row r="374" ht="15.75" customHeight="1">
      <c r="A374" s="10" t="s">
        <v>837</v>
      </c>
      <c r="B374" s="10" t="s">
        <v>838</v>
      </c>
      <c r="C374" s="11">
        <v>0.0</v>
      </c>
      <c r="D374" s="11">
        <v>0.0</v>
      </c>
      <c r="E374" s="11">
        <v>0.0</v>
      </c>
      <c r="F374" s="11">
        <v>0.0</v>
      </c>
      <c r="G374" s="11">
        <v>0.0</v>
      </c>
      <c r="H374" s="11">
        <v>0.0</v>
      </c>
      <c r="I374" s="11">
        <v>0.0</v>
      </c>
      <c r="J374" s="11">
        <v>90.0</v>
      </c>
      <c r="K374" s="11">
        <f t="shared" si="1"/>
        <v>90</v>
      </c>
      <c r="L374" s="11">
        <f t="shared" si="2"/>
        <v>22.5</v>
      </c>
    </row>
    <row r="375" ht="15.75" customHeight="1">
      <c r="A375" s="10" t="s">
        <v>839</v>
      </c>
      <c r="B375" s="10" t="s">
        <v>840</v>
      </c>
      <c r="C375" s="11">
        <v>0.0</v>
      </c>
      <c r="D375" s="11">
        <v>0.0</v>
      </c>
      <c r="E375" s="11">
        <v>0.0</v>
      </c>
      <c r="F375" s="11">
        <v>0.0</v>
      </c>
      <c r="G375" s="11">
        <v>0.0</v>
      </c>
      <c r="H375" s="11">
        <v>0.0</v>
      </c>
      <c r="I375" s="11">
        <v>0.0</v>
      </c>
      <c r="J375" s="11">
        <v>0.0</v>
      </c>
      <c r="K375" s="11">
        <f t="shared" si="1"/>
        <v>0</v>
      </c>
      <c r="L375" s="11">
        <f t="shared" si="2"/>
        <v>0</v>
      </c>
    </row>
    <row r="376" ht="15.75" customHeight="1">
      <c r="A376" s="10" t="s">
        <v>841</v>
      </c>
      <c r="B376" s="10" t="s">
        <v>842</v>
      </c>
      <c r="C376" s="11">
        <v>0.0</v>
      </c>
      <c r="D376" s="11">
        <v>0.0</v>
      </c>
      <c r="E376" s="11">
        <v>0.0</v>
      </c>
      <c r="F376" s="11">
        <v>0.0</v>
      </c>
      <c r="G376" s="11">
        <v>0.0</v>
      </c>
      <c r="H376" s="11">
        <v>0.0</v>
      </c>
      <c r="I376" s="11">
        <v>0.0</v>
      </c>
      <c r="J376" s="11">
        <v>0.0</v>
      </c>
      <c r="K376" s="11">
        <f t="shared" si="1"/>
        <v>0</v>
      </c>
      <c r="L376" s="11">
        <f t="shared" si="2"/>
        <v>0</v>
      </c>
    </row>
    <row r="377" ht="15.75" customHeight="1">
      <c r="A377" s="10" t="s">
        <v>845</v>
      </c>
      <c r="B377" s="10" t="s">
        <v>846</v>
      </c>
      <c r="C377" s="11">
        <v>100.0</v>
      </c>
      <c r="D377" s="11">
        <v>50.0</v>
      </c>
      <c r="E377" s="11">
        <v>0.0</v>
      </c>
      <c r="F377" s="11">
        <v>50.0</v>
      </c>
      <c r="G377" s="11">
        <v>0.0</v>
      </c>
      <c r="H377" s="11">
        <v>0.0</v>
      </c>
      <c r="I377" s="11">
        <v>0.0</v>
      </c>
      <c r="J377" s="11">
        <v>0.0</v>
      </c>
      <c r="K377" s="11">
        <f t="shared" si="1"/>
        <v>200</v>
      </c>
      <c r="L377" s="11">
        <f t="shared" si="2"/>
        <v>0</v>
      </c>
    </row>
    <row r="378" ht="15.75" customHeight="1">
      <c r="A378" s="10" t="s">
        <v>847</v>
      </c>
      <c r="B378" s="10" t="s">
        <v>848</v>
      </c>
      <c r="C378" s="11">
        <v>50.0</v>
      </c>
      <c r="D378" s="11">
        <v>200.0</v>
      </c>
      <c r="E378" s="11">
        <v>0.0</v>
      </c>
      <c r="F378" s="11">
        <v>0.0</v>
      </c>
      <c r="G378" s="11">
        <v>0.0</v>
      </c>
      <c r="H378" s="11">
        <v>0.0</v>
      </c>
      <c r="I378" s="11">
        <v>0.0</v>
      </c>
      <c r="J378" s="11">
        <v>0.0</v>
      </c>
      <c r="K378" s="11">
        <f t="shared" si="1"/>
        <v>250</v>
      </c>
      <c r="L378" s="11">
        <f t="shared" si="2"/>
        <v>0</v>
      </c>
    </row>
    <row r="379" ht="15.75" customHeight="1">
      <c r="A379" s="10" t="s">
        <v>849</v>
      </c>
      <c r="B379" s="10" t="s">
        <v>850</v>
      </c>
      <c r="C379" s="11">
        <v>134.0</v>
      </c>
      <c r="D379" s="11">
        <v>0.0</v>
      </c>
      <c r="E379" s="11">
        <v>50.0</v>
      </c>
      <c r="F379" s="11">
        <v>100.0</v>
      </c>
      <c r="G379" s="11">
        <v>50.0</v>
      </c>
      <c r="H379" s="11">
        <v>151.0</v>
      </c>
      <c r="I379" s="11">
        <v>0.0</v>
      </c>
      <c r="J379" s="11">
        <v>0.0</v>
      </c>
      <c r="K379" s="11">
        <f t="shared" si="1"/>
        <v>485</v>
      </c>
      <c r="L379" s="11">
        <f t="shared" si="2"/>
        <v>50.25</v>
      </c>
    </row>
    <row r="380" ht="15.75" customHeight="1">
      <c r="A380" s="10" t="s">
        <v>851</v>
      </c>
      <c r="B380" s="10" t="s">
        <v>852</v>
      </c>
      <c r="C380" s="11">
        <v>100.0</v>
      </c>
      <c r="D380" s="11">
        <v>50.0</v>
      </c>
      <c r="E380" s="11">
        <v>0.0</v>
      </c>
      <c r="F380" s="11">
        <v>0.0</v>
      </c>
      <c r="G380" s="11">
        <v>50.0</v>
      </c>
      <c r="H380" s="11">
        <v>0.0</v>
      </c>
      <c r="I380" s="11">
        <v>50.0</v>
      </c>
      <c r="J380" s="11">
        <v>0.0</v>
      </c>
      <c r="K380" s="11">
        <f t="shared" si="1"/>
        <v>250</v>
      </c>
      <c r="L380" s="11">
        <f t="shared" si="2"/>
        <v>25</v>
      </c>
    </row>
    <row r="381" ht="15.75" customHeight="1">
      <c r="A381" s="10" t="s">
        <v>853</v>
      </c>
      <c r="B381" s="10" t="s">
        <v>854</v>
      </c>
      <c r="C381" s="11">
        <v>0.0</v>
      </c>
      <c r="D381" s="11">
        <v>0.0</v>
      </c>
      <c r="E381" s="11">
        <v>0.0</v>
      </c>
      <c r="F381" s="11">
        <v>0.0</v>
      </c>
      <c r="G381" s="11">
        <v>0.0</v>
      </c>
      <c r="H381" s="11">
        <v>0.0</v>
      </c>
      <c r="I381" s="11">
        <v>0.0</v>
      </c>
      <c r="J381" s="11">
        <v>0.0</v>
      </c>
      <c r="K381" s="11">
        <f t="shared" si="1"/>
        <v>0</v>
      </c>
      <c r="L381" s="11">
        <f t="shared" si="2"/>
        <v>0</v>
      </c>
    </row>
    <row r="382" ht="15.75" customHeight="1">
      <c r="A382" s="10" t="s">
        <v>855</v>
      </c>
      <c r="B382" s="10" t="s">
        <v>856</v>
      </c>
      <c r="C382" s="11">
        <v>0.0</v>
      </c>
      <c r="D382" s="11">
        <v>0.0</v>
      </c>
      <c r="E382" s="11">
        <v>0.0</v>
      </c>
      <c r="F382" s="11">
        <v>0.0</v>
      </c>
      <c r="G382" s="11">
        <v>0.0</v>
      </c>
      <c r="H382" s="11">
        <v>0.0</v>
      </c>
      <c r="I382" s="11">
        <v>0.0</v>
      </c>
      <c r="J382" s="11">
        <v>0.0</v>
      </c>
      <c r="K382" s="11">
        <f t="shared" si="1"/>
        <v>0</v>
      </c>
      <c r="L382" s="11">
        <f t="shared" si="2"/>
        <v>0</v>
      </c>
    </row>
    <row r="383" ht="15.75" customHeight="1">
      <c r="A383" s="10" t="s">
        <v>857</v>
      </c>
      <c r="B383" s="10" t="s">
        <v>858</v>
      </c>
      <c r="C383" s="11">
        <v>0.0</v>
      </c>
      <c r="D383" s="11">
        <v>0.0</v>
      </c>
      <c r="E383" s="11">
        <v>0.0</v>
      </c>
      <c r="F383" s="11">
        <v>0.0</v>
      </c>
      <c r="G383" s="11">
        <v>0.0</v>
      </c>
      <c r="H383" s="11">
        <v>0.0</v>
      </c>
      <c r="I383" s="11">
        <v>0.0</v>
      </c>
      <c r="J383" s="11">
        <v>0.0</v>
      </c>
      <c r="K383" s="11">
        <f t="shared" si="1"/>
        <v>0</v>
      </c>
      <c r="L383" s="11">
        <f t="shared" si="2"/>
        <v>0</v>
      </c>
    </row>
    <row r="384" ht="15.75" customHeight="1">
      <c r="A384" s="10" t="s">
        <v>332</v>
      </c>
      <c r="B384" s="10" t="s">
        <v>859</v>
      </c>
      <c r="C384" s="11">
        <v>0.0</v>
      </c>
      <c r="D384" s="11">
        <v>0.0</v>
      </c>
      <c r="E384" s="11">
        <v>240.0</v>
      </c>
      <c r="F384" s="11">
        <v>360.0</v>
      </c>
      <c r="G384" s="11">
        <v>367.0</v>
      </c>
      <c r="H384" s="11">
        <v>880.0</v>
      </c>
      <c r="I384" s="11">
        <v>1120.0</v>
      </c>
      <c r="J384" s="11">
        <v>1344.0</v>
      </c>
      <c r="K384" s="11">
        <f t="shared" si="1"/>
        <v>4311</v>
      </c>
      <c r="L384" s="11">
        <f t="shared" si="2"/>
        <v>927.75</v>
      </c>
    </row>
    <row r="385" ht="15.75" customHeight="1">
      <c r="A385" s="10" t="s">
        <v>860</v>
      </c>
      <c r="B385" s="10" t="s">
        <v>861</v>
      </c>
      <c r="C385" s="11">
        <v>2120.0</v>
      </c>
      <c r="D385" s="11">
        <v>4682.0</v>
      </c>
      <c r="E385" s="11">
        <v>4781.0</v>
      </c>
      <c r="F385" s="11">
        <v>1920.0</v>
      </c>
      <c r="G385" s="11">
        <v>0.0</v>
      </c>
      <c r="H385" s="11">
        <v>2201.0</v>
      </c>
      <c r="I385" s="11">
        <v>1827.0</v>
      </c>
      <c r="J385" s="11">
        <v>160.0</v>
      </c>
      <c r="K385" s="11">
        <f t="shared" si="1"/>
        <v>17691</v>
      </c>
      <c r="L385" s="11">
        <f t="shared" si="2"/>
        <v>1047</v>
      </c>
    </row>
    <row r="386" ht="15.75" customHeight="1">
      <c r="A386" s="10" t="s">
        <v>862</v>
      </c>
      <c r="B386" s="10" t="s">
        <v>863</v>
      </c>
      <c r="C386" s="11">
        <v>40.0</v>
      </c>
      <c r="D386" s="11">
        <v>0.0</v>
      </c>
      <c r="E386" s="11">
        <v>0.0</v>
      </c>
      <c r="F386" s="11">
        <v>0.0</v>
      </c>
      <c r="G386" s="11">
        <v>0.0</v>
      </c>
      <c r="H386" s="11">
        <v>0.0</v>
      </c>
      <c r="I386" s="11">
        <v>0.0</v>
      </c>
      <c r="J386" s="11">
        <v>0.0</v>
      </c>
      <c r="K386" s="11">
        <f t="shared" si="1"/>
        <v>40</v>
      </c>
      <c r="L386" s="11">
        <f t="shared" si="2"/>
        <v>0</v>
      </c>
    </row>
    <row r="387" ht="15.75" customHeight="1">
      <c r="A387" s="10" t="s">
        <v>864</v>
      </c>
      <c r="B387" s="10" t="s">
        <v>865</v>
      </c>
      <c r="C387" s="11">
        <v>0.0</v>
      </c>
      <c r="D387" s="11">
        <v>0.0</v>
      </c>
      <c r="E387" s="11">
        <v>240.0</v>
      </c>
      <c r="F387" s="11">
        <v>150.0</v>
      </c>
      <c r="G387" s="11">
        <v>200.0</v>
      </c>
      <c r="H387" s="11">
        <v>360.0</v>
      </c>
      <c r="I387" s="11">
        <v>513.0</v>
      </c>
      <c r="J387" s="11">
        <v>482.0</v>
      </c>
      <c r="K387" s="11">
        <f t="shared" si="1"/>
        <v>1945</v>
      </c>
      <c r="L387" s="11">
        <f t="shared" si="2"/>
        <v>388.75</v>
      </c>
    </row>
    <row r="388" ht="15.75" customHeight="1">
      <c r="A388" s="10" t="s">
        <v>866</v>
      </c>
      <c r="B388" s="10" t="s">
        <v>867</v>
      </c>
      <c r="C388" s="11">
        <v>0.0</v>
      </c>
      <c r="D388" s="11">
        <v>0.0</v>
      </c>
      <c r="E388" s="11">
        <v>90.0</v>
      </c>
      <c r="F388" s="11">
        <v>60.0</v>
      </c>
      <c r="G388" s="11">
        <v>90.0</v>
      </c>
      <c r="H388" s="11">
        <v>60.0</v>
      </c>
      <c r="I388" s="11">
        <v>450.0</v>
      </c>
      <c r="J388" s="11">
        <v>540.0</v>
      </c>
      <c r="K388" s="11">
        <f t="shared" si="1"/>
        <v>1290</v>
      </c>
      <c r="L388" s="11">
        <f t="shared" si="2"/>
        <v>285</v>
      </c>
    </row>
    <row r="389" ht="15.75" customHeight="1">
      <c r="A389" s="10" t="s">
        <v>868</v>
      </c>
      <c r="B389" s="10" t="s">
        <v>869</v>
      </c>
      <c r="C389" s="11">
        <v>0.0</v>
      </c>
      <c r="D389" s="11">
        <v>0.0</v>
      </c>
      <c r="E389" s="11">
        <v>0.0</v>
      </c>
      <c r="F389" s="11">
        <v>0.0</v>
      </c>
      <c r="G389" s="11">
        <v>0.0</v>
      </c>
      <c r="H389" s="11">
        <v>0.0</v>
      </c>
      <c r="I389" s="11">
        <v>0.0</v>
      </c>
      <c r="J389" s="11">
        <v>0.0</v>
      </c>
      <c r="K389" s="11">
        <f t="shared" si="1"/>
        <v>0</v>
      </c>
      <c r="L389" s="11">
        <f t="shared" si="2"/>
        <v>0</v>
      </c>
    </row>
    <row r="390" ht="15.75" customHeight="1">
      <c r="A390" s="10" t="s">
        <v>870</v>
      </c>
      <c r="B390" s="10" t="s">
        <v>871</v>
      </c>
      <c r="C390" s="11">
        <v>0.0</v>
      </c>
      <c r="D390" s="11">
        <v>210.0</v>
      </c>
      <c r="E390" s="11">
        <v>1410.0</v>
      </c>
      <c r="F390" s="11">
        <v>1274.0</v>
      </c>
      <c r="G390" s="11">
        <v>780.0</v>
      </c>
      <c r="H390" s="11">
        <v>30.0</v>
      </c>
      <c r="I390" s="11">
        <v>0.0</v>
      </c>
      <c r="J390" s="11">
        <v>0.0</v>
      </c>
      <c r="K390" s="11">
        <f t="shared" si="1"/>
        <v>3704</v>
      </c>
      <c r="L390" s="11">
        <f t="shared" si="2"/>
        <v>202.5</v>
      </c>
    </row>
    <row r="391" ht="15.75" customHeight="1">
      <c r="A391" s="10" t="s">
        <v>872</v>
      </c>
      <c r="B391" s="10" t="s">
        <v>873</v>
      </c>
      <c r="C391" s="11">
        <v>0.0</v>
      </c>
      <c r="D391" s="11">
        <v>900.0</v>
      </c>
      <c r="E391" s="11">
        <v>1740.0</v>
      </c>
      <c r="F391" s="11">
        <v>1751.0</v>
      </c>
      <c r="G391" s="11">
        <v>1770.0</v>
      </c>
      <c r="H391" s="11">
        <v>1787.0</v>
      </c>
      <c r="I391" s="11">
        <v>30.0</v>
      </c>
      <c r="J391" s="11">
        <v>0.0</v>
      </c>
      <c r="K391" s="11">
        <f t="shared" si="1"/>
        <v>7978</v>
      </c>
      <c r="L391" s="11">
        <f t="shared" si="2"/>
        <v>896.75</v>
      </c>
    </row>
    <row r="392" ht="15.75" customHeight="1">
      <c r="A392" s="10" t="s">
        <v>874</v>
      </c>
      <c r="B392" s="10" t="s">
        <v>875</v>
      </c>
      <c r="C392" s="11">
        <v>80.0</v>
      </c>
      <c r="D392" s="11">
        <v>100.0</v>
      </c>
      <c r="E392" s="11">
        <v>20.0</v>
      </c>
      <c r="F392" s="11">
        <v>80.0</v>
      </c>
      <c r="G392" s="11">
        <v>74.0</v>
      </c>
      <c r="H392" s="11">
        <v>0.0</v>
      </c>
      <c r="I392" s="11">
        <v>40.0</v>
      </c>
      <c r="J392" s="11">
        <v>40.0</v>
      </c>
      <c r="K392" s="11">
        <f t="shared" si="1"/>
        <v>434</v>
      </c>
      <c r="L392" s="11">
        <f t="shared" si="2"/>
        <v>38.5</v>
      </c>
    </row>
    <row r="393" ht="15.75" customHeight="1">
      <c r="A393" s="10" t="s">
        <v>876</v>
      </c>
      <c r="B393" s="10" t="s">
        <v>877</v>
      </c>
      <c r="C393" s="11">
        <v>912.0</v>
      </c>
      <c r="D393" s="11">
        <v>1780.0</v>
      </c>
      <c r="E393" s="11">
        <v>513.0</v>
      </c>
      <c r="F393" s="11">
        <v>278.0</v>
      </c>
      <c r="G393" s="11">
        <v>38.8</v>
      </c>
      <c r="H393" s="11">
        <v>20.0</v>
      </c>
      <c r="I393" s="11">
        <v>40.0</v>
      </c>
      <c r="J393" s="11">
        <v>0.0</v>
      </c>
      <c r="K393" s="11">
        <f t="shared" si="1"/>
        <v>3581.8</v>
      </c>
      <c r="L393" s="11">
        <f t="shared" si="2"/>
        <v>24.7</v>
      </c>
    </row>
    <row r="394" ht="15.75" customHeight="1">
      <c r="A394" s="10" t="s">
        <v>878</v>
      </c>
      <c r="B394" s="10" t="s">
        <v>879</v>
      </c>
      <c r="C394" s="11">
        <v>0.0</v>
      </c>
      <c r="D394" s="11">
        <v>0.0</v>
      </c>
      <c r="E394" s="11">
        <v>0.0</v>
      </c>
      <c r="F394" s="11">
        <v>0.0</v>
      </c>
      <c r="G394" s="11">
        <v>0.0</v>
      </c>
      <c r="H394" s="11">
        <v>0.0</v>
      </c>
      <c r="I394" s="11">
        <v>0.0</v>
      </c>
      <c r="J394" s="11">
        <v>0.0</v>
      </c>
      <c r="K394" s="11">
        <f t="shared" si="1"/>
        <v>0</v>
      </c>
      <c r="L394" s="11">
        <f t="shared" si="2"/>
        <v>0</v>
      </c>
    </row>
    <row r="395" ht="15.75" customHeight="1">
      <c r="A395" s="10" t="s">
        <v>692</v>
      </c>
      <c r="B395" s="10" t="s">
        <v>880</v>
      </c>
      <c r="C395" s="11">
        <v>279.0</v>
      </c>
      <c r="D395" s="11">
        <v>160.0</v>
      </c>
      <c r="E395" s="11">
        <v>320.0</v>
      </c>
      <c r="F395" s="11">
        <v>384.0</v>
      </c>
      <c r="G395" s="11">
        <v>120.0</v>
      </c>
      <c r="H395" s="11">
        <v>160.0</v>
      </c>
      <c r="I395" s="11">
        <v>240.0</v>
      </c>
      <c r="J395" s="11">
        <v>160.0</v>
      </c>
      <c r="K395" s="11">
        <f t="shared" si="1"/>
        <v>1823</v>
      </c>
      <c r="L395" s="11">
        <f t="shared" si="2"/>
        <v>170</v>
      </c>
    </row>
    <row r="396" ht="15.75" customHeight="1">
      <c r="A396" s="10" t="s">
        <v>791</v>
      </c>
      <c r="B396" s="10" t="s">
        <v>881</v>
      </c>
      <c r="C396" s="11">
        <v>120.0</v>
      </c>
      <c r="D396" s="11">
        <v>80.0</v>
      </c>
      <c r="E396" s="11">
        <v>40.0</v>
      </c>
      <c r="F396" s="11">
        <v>80.0</v>
      </c>
      <c r="G396" s="11">
        <v>0.0</v>
      </c>
      <c r="H396" s="11">
        <v>40.0</v>
      </c>
      <c r="I396" s="11">
        <v>400.0</v>
      </c>
      <c r="J396" s="11">
        <v>360.0</v>
      </c>
      <c r="K396" s="11">
        <f t="shared" si="1"/>
        <v>1120</v>
      </c>
      <c r="L396" s="11">
        <f t="shared" si="2"/>
        <v>200</v>
      </c>
    </row>
    <row r="397" ht="15.75" customHeight="1">
      <c r="A397" s="10" t="s">
        <v>882</v>
      </c>
      <c r="B397" s="10" t="s">
        <v>883</v>
      </c>
      <c r="C397" s="11">
        <v>0.0</v>
      </c>
      <c r="D397" s="11">
        <v>0.0</v>
      </c>
      <c r="E397" s="11">
        <v>120.0</v>
      </c>
      <c r="F397" s="11">
        <v>40.0</v>
      </c>
      <c r="G397" s="11">
        <v>0.0</v>
      </c>
      <c r="H397" s="11">
        <v>0.0</v>
      </c>
      <c r="I397" s="11">
        <v>40.0</v>
      </c>
      <c r="J397" s="11">
        <v>120.0</v>
      </c>
      <c r="K397" s="11">
        <f t="shared" si="1"/>
        <v>320</v>
      </c>
      <c r="L397" s="11">
        <f t="shared" si="2"/>
        <v>40</v>
      </c>
    </row>
    <row r="398" ht="15.75" customHeight="1">
      <c r="A398" s="10" t="s">
        <v>843</v>
      </c>
      <c r="B398" s="10" t="s">
        <v>884</v>
      </c>
      <c r="C398" s="11">
        <v>0.0</v>
      </c>
      <c r="D398" s="11">
        <v>0.0</v>
      </c>
      <c r="E398" s="11">
        <v>0.0</v>
      </c>
      <c r="F398" s="11">
        <v>40.0</v>
      </c>
      <c r="G398" s="11">
        <v>0.0</v>
      </c>
      <c r="H398" s="11">
        <v>0.0</v>
      </c>
      <c r="I398" s="11">
        <v>0.0</v>
      </c>
      <c r="J398" s="11">
        <v>0.0</v>
      </c>
      <c r="K398" s="11">
        <f t="shared" si="1"/>
        <v>40</v>
      </c>
      <c r="L398" s="11">
        <f t="shared" si="2"/>
        <v>0</v>
      </c>
    </row>
    <row r="399" ht="15.75" customHeight="1">
      <c r="A399" s="10" t="s">
        <v>179</v>
      </c>
      <c r="B399" s="10" t="s">
        <v>885</v>
      </c>
      <c r="C399" s="11">
        <v>5966.0</v>
      </c>
      <c r="D399" s="11">
        <v>9649.0</v>
      </c>
      <c r="E399" s="11">
        <v>3971.0</v>
      </c>
      <c r="F399" s="11">
        <v>3519.0</v>
      </c>
      <c r="G399" s="11">
        <v>4682.0</v>
      </c>
      <c r="H399" s="11">
        <v>4522.0</v>
      </c>
      <c r="I399" s="11">
        <v>5761.0</v>
      </c>
      <c r="J399" s="11">
        <v>5842.0</v>
      </c>
      <c r="K399" s="11">
        <f t="shared" si="1"/>
        <v>43912</v>
      </c>
      <c r="L399" s="11">
        <f t="shared" si="2"/>
        <v>5201.75</v>
      </c>
    </row>
    <row r="400" ht="15.75" customHeight="1">
      <c r="A400" s="10" t="s">
        <v>643</v>
      </c>
      <c r="B400" s="10" t="s">
        <v>886</v>
      </c>
      <c r="C400" s="11">
        <v>120.0</v>
      </c>
      <c r="D400" s="11">
        <v>120.0</v>
      </c>
      <c r="E400" s="11">
        <v>40.0</v>
      </c>
      <c r="F400" s="11">
        <v>40.0</v>
      </c>
      <c r="G400" s="11">
        <v>0.0</v>
      </c>
      <c r="H400" s="11">
        <v>40.0</v>
      </c>
      <c r="I400" s="11">
        <v>120.0</v>
      </c>
      <c r="J400" s="11">
        <v>120.0</v>
      </c>
      <c r="K400" s="11">
        <f t="shared" si="1"/>
        <v>600</v>
      </c>
      <c r="L400" s="11">
        <f t="shared" si="2"/>
        <v>70</v>
      </c>
    </row>
    <row r="401" ht="15.75" customHeight="1">
      <c r="A401" s="10" t="s">
        <v>745</v>
      </c>
      <c r="B401" s="10" t="s">
        <v>887</v>
      </c>
      <c r="C401" s="11">
        <v>0.0</v>
      </c>
      <c r="D401" s="11">
        <v>80.0</v>
      </c>
      <c r="E401" s="11">
        <v>59.0</v>
      </c>
      <c r="F401" s="11">
        <v>40.0</v>
      </c>
      <c r="G401" s="11">
        <v>120.0</v>
      </c>
      <c r="H401" s="11">
        <v>80.0</v>
      </c>
      <c r="I401" s="11">
        <v>40.0</v>
      </c>
      <c r="J401" s="11">
        <v>40.0</v>
      </c>
      <c r="K401" s="11">
        <f t="shared" si="1"/>
        <v>459</v>
      </c>
      <c r="L401" s="11">
        <f t="shared" si="2"/>
        <v>70</v>
      </c>
    </row>
    <row r="402" ht="15.75" customHeight="1">
      <c r="A402" s="10" t="s">
        <v>458</v>
      </c>
      <c r="B402" s="10" t="s">
        <v>889</v>
      </c>
      <c r="C402" s="11">
        <v>520.0</v>
      </c>
      <c r="D402" s="11">
        <v>480.0</v>
      </c>
      <c r="E402" s="11">
        <v>240.0</v>
      </c>
      <c r="F402" s="11">
        <v>240.0</v>
      </c>
      <c r="G402" s="11">
        <v>280.0</v>
      </c>
      <c r="H402" s="11">
        <v>250.0</v>
      </c>
      <c r="I402" s="11">
        <v>395.0</v>
      </c>
      <c r="J402" s="11">
        <v>120.0</v>
      </c>
      <c r="K402" s="11">
        <f t="shared" si="1"/>
        <v>2525</v>
      </c>
      <c r="L402" s="11">
        <f t="shared" si="2"/>
        <v>261.25</v>
      </c>
    </row>
    <row r="403" ht="15.75" customHeight="1">
      <c r="A403" s="10" t="s">
        <v>404</v>
      </c>
      <c r="B403" s="10" t="s">
        <v>891</v>
      </c>
      <c r="C403" s="11">
        <v>202.0</v>
      </c>
      <c r="D403" s="11">
        <v>248.0</v>
      </c>
      <c r="E403" s="11">
        <v>115.0</v>
      </c>
      <c r="F403" s="11">
        <v>240.0</v>
      </c>
      <c r="G403" s="11">
        <v>80.0</v>
      </c>
      <c r="H403" s="11">
        <v>160.0</v>
      </c>
      <c r="I403" s="11">
        <v>200.0</v>
      </c>
      <c r="J403" s="11">
        <v>203.0</v>
      </c>
      <c r="K403" s="11">
        <f t="shared" si="1"/>
        <v>1448</v>
      </c>
      <c r="L403" s="11">
        <f t="shared" si="2"/>
        <v>160.75</v>
      </c>
    </row>
    <row r="404" ht="15.75" customHeight="1">
      <c r="A404" s="10" t="s">
        <v>888</v>
      </c>
      <c r="B404" s="10" t="s">
        <v>892</v>
      </c>
      <c r="C404" s="11">
        <v>0.0</v>
      </c>
      <c r="D404" s="11">
        <v>40.0</v>
      </c>
      <c r="E404" s="11">
        <v>0.0</v>
      </c>
      <c r="F404" s="11">
        <v>0.0</v>
      </c>
      <c r="G404" s="11">
        <v>0.0</v>
      </c>
      <c r="H404" s="11">
        <v>0.0</v>
      </c>
      <c r="I404" s="11">
        <v>0.0</v>
      </c>
      <c r="J404" s="11">
        <v>0.0</v>
      </c>
      <c r="K404" s="11">
        <f t="shared" si="1"/>
        <v>40</v>
      </c>
      <c r="L404" s="11">
        <f t="shared" si="2"/>
        <v>0</v>
      </c>
    </row>
    <row r="405" ht="15.75" customHeight="1">
      <c r="A405" s="10" t="s">
        <v>522</v>
      </c>
      <c r="B405" s="10" t="s">
        <v>893</v>
      </c>
      <c r="C405" s="11">
        <v>200.0</v>
      </c>
      <c r="D405" s="11">
        <v>120.0</v>
      </c>
      <c r="E405" s="11">
        <v>73.0</v>
      </c>
      <c r="F405" s="11">
        <v>283.0</v>
      </c>
      <c r="G405" s="11">
        <v>240.0</v>
      </c>
      <c r="H405" s="11">
        <v>40.0</v>
      </c>
      <c r="I405" s="11">
        <v>0.0</v>
      </c>
      <c r="J405" s="11">
        <v>0.0</v>
      </c>
      <c r="K405" s="11">
        <f t="shared" si="1"/>
        <v>956</v>
      </c>
      <c r="L405" s="11">
        <f t="shared" si="2"/>
        <v>70</v>
      </c>
    </row>
    <row r="406" ht="15.75" customHeight="1">
      <c r="A406" s="10" t="s">
        <v>894</v>
      </c>
      <c r="B406" s="10" t="s">
        <v>895</v>
      </c>
      <c r="C406" s="11">
        <v>0.0</v>
      </c>
      <c r="D406" s="11">
        <v>0.0</v>
      </c>
      <c r="E406" s="11">
        <v>0.0</v>
      </c>
      <c r="F406" s="11">
        <v>0.0</v>
      </c>
      <c r="G406" s="11">
        <v>0.0</v>
      </c>
      <c r="H406" s="11">
        <v>0.0</v>
      </c>
      <c r="I406" s="11">
        <v>0.0</v>
      </c>
      <c r="J406" s="11">
        <v>0.0</v>
      </c>
      <c r="K406" s="11">
        <f t="shared" si="1"/>
        <v>0</v>
      </c>
      <c r="L406" s="11">
        <f t="shared" si="2"/>
        <v>0</v>
      </c>
    </row>
    <row r="407" ht="15.75" customHeight="1">
      <c r="A407" s="10" t="s">
        <v>896</v>
      </c>
      <c r="B407" s="10" t="s">
        <v>897</v>
      </c>
      <c r="C407" s="11">
        <v>0.0</v>
      </c>
      <c r="D407" s="11">
        <v>0.0</v>
      </c>
      <c r="E407" s="11">
        <v>0.0</v>
      </c>
      <c r="F407" s="11">
        <v>0.0</v>
      </c>
      <c r="G407" s="11">
        <v>0.0</v>
      </c>
      <c r="H407" s="11">
        <v>0.0</v>
      </c>
      <c r="I407" s="11">
        <v>0.0</v>
      </c>
      <c r="J407" s="11">
        <v>0.0</v>
      </c>
      <c r="K407" s="11">
        <f t="shared" si="1"/>
        <v>0</v>
      </c>
      <c r="L407" s="11">
        <f t="shared" si="2"/>
        <v>0</v>
      </c>
    </row>
    <row r="408" ht="15.75" customHeight="1">
      <c r="A408" s="10" t="s">
        <v>898</v>
      </c>
      <c r="B408" s="10" t="s">
        <v>899</v>
      </c>
      <c r="C408" s="11">
        <v>1.0</v>
      </c>
      <c r="D408" s="11">
        <v>0.0</v>
      </c>
      <c r="E408" s="11">
        <v>0.0</v>
      </c>
      <c r="F408" s="11">
        <v>0.0</v>
      </c>
      <c r="G408" s="11">
        <v>0.0</v>
      </c>
      <c r="H408" s="11">
        <v>0.0</v>
      </c>
      <c r="I408" s="11">
        <v>0.0</v>
      </c>
      <c r="J408" s="11">
        <v>0.0</v>
      </c>
      <c r="K408" s="11">
        <f t="shared" si="1"/>
        <v>1</v>
      </c>
      <c r="L408" s="11">
        <f t="shared" si="2"/>
        <v>0</v>
      </c>
    </row>
    <row r="409" ht="15.75" customHeight="1">
      <c r="A409" s="10" t="s">
        <v>900</v>
      </c>
      <c r="B409" s="10" t="s">
        <v>901</v>
      </c>
      <c r="C409" s="11">
        <v>0.0</v>
      </c>
      <c r="D409" s="11">
        <v>0.0</v>
      </c>
      <c r="E409" s="11">
        <v>1.0</v>
      </c>
      <c r="F409" s="11">
        <v>0.0</v>
      </c>
      <c r="G409" s="11">
        <v>0.0</v>
      </c>
      <c r="H409" s="11">
        <v>0.0</v>
      </c>
      <c r="I409" s="11">
        <v>0.0</v>
      </c>
      <c r="J409" s="11">
        <v>0.0</v>
      </c>
      <c r="K409" s="11">
        <f t="shared" si="1"/>
        <v>1</v>
      </c>
      <c r="L409" s="11">
        <f t="shared" si="2"/>
        <v>0</v>
      </c>
    </row>
    <row r="410" ht="15.75" customHeight="1">
      <c r="A410" s="10" t="s">
        <v>902</v>
      </c>
      <c r="B410" s="10" t="s">
        <v>903</v>
      </c>
      <c r="C410" s="11">
        <v>0.0</v>
      </c>
      <c r="D410" s="11">
        <v>0.0</v>
      </c>
      <c r="E410" s="11">
        <v>0.0</v>
      </c>
      <c r="F410" s="11">
        <v>0.0</v>
      </c>
      <c r="G410" s="11">
        <v>0.0</v>
      </c>
      <c r="H410" s="11">
        <v>0.0</v>
      </c>
      <c r="I410" s="11">
        <v>0.0</v>
      </c>
      <c r="J410" s="11">
        <v>0.0</v>
      </c>
      <c r="K410" s="11">
        <f t="shared" si="1"/>
        <v>0</v>
      </c>
      <c r="L410" s="11">
        <f t="shared" si="2"/>
        <v>0</v>
      </c>
    </row>
    <row r="411" ht="15.75" customHeight="1">
      <c r="A411" s="10" t="s">
        <v>904</v>
      </c>
      <c r="B411" s="10" t="s">
        <v>905</v>
      </c>
      <c r="C411" s="11">
        <v>0.0</v>
      </c>
      <c r="D411" s="11">
        <v>0.0</v>
      </c>
      <c r="E411" s="11">
        <v>0.0</v>
      </c>
      <c r="F411" s="11">
        <v>0.0</v>
      </c>
      <c r="G411" s="11">
        <v>0.0</v>
      </c>
      <c r="H411" s="11">
        <v>0.0</v>
      </c>
      <c r="I411" s="11">
        <v>0.0</v>
      </c>
      <c r="J411" s="11">
        <v>0.0</v>
      </c>
      <c r="K411" s="11">
        <f t="shared" si="1"/>
        <v>0</v>
      </c>
      <c r="L411" s="11">
        <f t="shared" si="2"/>
        <v>0</v>
      </c>
    </row>
    <row r="412" ht="15.75" customHeight="1">
      <c r="A412" s="10" t="s">
        <v>906</v>
      </c>
      <c r="B412" s="10" t="s">
        <v>907</v>
      </c>
      <c r="C412" s="11">
        <v>0.0</v>
      </c>
      <c r="D412" s="11">
        <v>0.0</v>
      </c>
      <c r="E412" s="11">
        <v>0.0</v>
      </c>
      <c r="F412" s="11">
        <v>0.0</v>
      </c>
      <c r="G412" s="11">
        <v>0.0</v>
      </c>
      <c r="H412" s="11">
        <v>0.0</v>
      </c>
      <c r="I412" s="11">
        <v>0.0</v>
      </c>
      <c r="J412" s="11">
        <v>0.0</v>
      </c>
      <c r="K412" s="11">
        <f t="shared" si="1"/>
        <v>0</v>
      </c>
      <c r="L412" s="11">
        <f t="shared" si="2"/>
        <v>0</v>
      </c>
    </row>
    <row r="413" ht="15.75" customHeight="1">
      <c r="A413" s="10" t="s">
        <v>908</v>
      </c>
      <c r="B413" s="10" t="s">
        <v>909</v>
      </c>
      <c r="C413" s="11">
        <v>1.0</v>
      </c>
      <c r="D413" s="11">
        <v>1.0</v>
      </c>
      <c r="E413" s="11">
        <v>2.0</v>
      </c>
      <c r="F413" s="11">
        <v>0.0</v>
      </c>
      <c r="G413" s="11">
        <v>0.0</v>
      </c>
      <c r="H413" s="11">
        <v>0.0</v>
      </c>
      <c r="I413" s="11">
        <v>0.0</v>
      </c>
      <c r="J413" s="11">
        <v>0.0</v>
      </c>
      <c r="K413" s="11">
        <f t="shared" si="1"/>
        <v>4</v>
      </c>
      <c r="L413" s="11">
        <f t="shared" si="2"/>
        <v>0</v>
      </c>
    </row>
    <row r="414" ht="15.75" customHeight="1">
      <c r="A414" s="10" t="s">
        <v>910</v>
      </c>
      <c r="B414" s="10" t="s">
        <v>911</v>
      </c>
      <c r="C414" s="11">
        <v>0.0</v>
      </c>
      <c r="D414" s="11">
        <v>0.0</v>
      </c>
      <c r="E414" s="11">
        <v>10.0</v>
      </c>
      <c r="F414" s="11">
        <v>7.0</v>
      </c>
      <c r="G414" s="11">
        <v>3.0</v>
      </c>
      <c r="H414" s="11">
        <v>1.0</v>
      </c>
      <c r="I414" s="11">
        <v>1.0</v>
      </c>
      <c r="J414" s="11">
        <v>0.0</v>
      </c>
      <c r="K414" s="11">
        <f t="shared" si="1"/>
        <v>22</v>
      </c>
      <c r="L414" s="11">
        <f t="shared" si="2"/>
        <v>1.25</v>
      </c>
    </row>
    <row r="415" ht="15.75" customHeight="1">
      <c r="A415" s="10" t="s">
        <v>912</v>
      </c>
      <c r="B415" s="10" t="s">
        <v>913</v>
      </c>
      <c r="C415" s="11">
        <v>10.0</v>
      </c>
      <c r="D415" s="11">
        <v>0.0</v>
      </c>
      <c r="E415" s="11">
        <v>0.0</v>
      </c>
      <c r="F415" s="11">
        <v>0.0</v>
      </c>
      <c r="G415" s="11">
        <v>0.0</v>
      </c>
      <c r="H415" s="11">
        <v>0.0</v>
      </c>
      <c r="I415" s="11">
        <v>0.0</v>
      </c>
      <c r="J415" s="11">
        <v>0.0</v>
      </c>
      <c r="K415" s="11">
        <f t="shared" si="1"/>
        <v>10</v>
      </c>
      <c r="L415" s="11">
        <f t="shared" si="2"/>
        <v>0</v>
      </c>
    </row>
    <row r="416" ht="15.75" customHeight="1">
      <c r="A416" s="10" t="s">
        <v>914</v>
      </c>
      <c r="B416" s="10" t="s">
        <v>915</v>
      </c>
      <c r="C416" s="11">
        <v>0.0</v>
      </c>
      <c r="D416" s="11">
        <v>0.0</v>
      </c>
      <c r="E416" s="11">
        <v>0.0</v>
      </c>
      <c r="F416" s="11">
        <v>0.0</v>
      </c>
      <c r="G416" s="11">
        <v>0.0</v>
      </c>
      <c r="H416" s="11">
        <v>0.0</v>
      </c>
      <c r="I416" s="11">
        <v>0.0</v>
      </c>
      <c r="J416" s="11">
        <v>0.0</v>
      </c>
      <c r="K416" s="11">
        <f t="shared" si="1"/>
        <v>0</v>
      </c>
      <c r="L416" s="11">
        <f t="shared" si="2"/>
        <v>0</v>
      </c>
    </row>
    <row r="417" ht="15.75" customHeight="1">
      <c r="A417" s="10" t="s">
        <v>916</v>
      </c>
      <c r="B417" s="10" t="s">
        <v>917</v>
      </c>
      <c r="C417" s="11">
        <v>0.0</v>
      </c>
      <c r="D417" s="11">
        <v>0.0</v>
      </c>
      <c r="E417" s="11">
        <v>17.0</v>
      </c>
      <c r="F417" s="11">
        <v>4.0</v>
      </c>
      <c r="G417" s="11">
        <v>0.0</v>
      </c>
      <c r="H417" s="11">
        <v>0.0</v>
      </c>
      <c r="I417" s="11">
        <v>0.0</v>
      </c>
      <c r="J417" s="11">
        <v>0.0</v>
      </c>
      <c r="K417" s="11">
        <f t="shared" si="1"/>
        <v>21</v>
      </c>
      <c r="L417" s="11">
        <f t="shared" si="2"/>
        <v>0</v>
      </c>
    </row>
    <row r="418" ht="15.75" customHeight="1">
      <c r="A418" s="10" t="s">
        <v>918</v>
      </c>
      <c r="B418" s="10" t="s">
        <v>919</v>
      </c>
      <c r="C418" s="11">
        <v>0.0</v>
      </c>
      <c r="D418" s="11">
        <v>0.0</v>
      </c>
      <c r="E418" s="11">
        <v>40.0</v>
      </c>
      <c r="F418" s="11">
        <v>4.0</v>
      </c>
      <c r="G418" s="11">
        <v>4.0</v>
      </c>
      <c r="H418" s="11">
        <v>1.0</v>
      </c>
      <c r="I418" s="11">
        <v>1.0</v>
      </c>
      <c r="J418" s="11">
        <v>0.0</v>
      </c>
      <c r="K418" s="11">
        <f t="shared" si="1"/>
        <v>50</v>
      </c>
      <c r="L418" s="11">
        <f t="shared" si="2"/>
        <v>1.5</v>
      </c>
    </row>
    <row r="419" ht="15.75" customHeight="1">
      <c r="A419" s="10" t="s">
        <v>920</v>
      </c>
      <c r="B419" s="10" t="s">
        <v>921</v>
      </c>
      <c r="C419" s="11">
        <v>2.0</v>
      </c>
      <c r="D419" s="11">
        <v>0.0</v>
      </c>
      <c r="E419" s="11">
        <v>0.0</v>
      </c>
      <c r="F419" s="11">
        <v>0.0</v>
      </c>
      <c r="G419" s="11">
        <v>0.0</v>
      </c>
      <c r="H419" s="11">
        <v>0.0</v>
      </c>
      <c r="I419" s="11">
        <v>0.0</v>
      </c>
      <c r="J419" s="11">
        <v>0.0</v>
      </c>
      <c r="K419" s="11">
        <f t="shared" si="1"/>
        <v>2</v>
      </c>
      <c r="L419" s="11">
        <f t="shared" si="2"/>
        <v>0</v>
      </c>
    </row>
    <row r="420" ht="15.75" customHeight="1">
      <c r="A420" s="10" t="s">
        <v>922</v>
      </c>
      <c r="B420" s="10" t="s">
        <v>923</v>
      </c>
      <c r="C420" s="11">
        <v>0.0</v>
      </c>
      <c r="D420" s="11">
        <v>0.0</v>
      </c>
      <c r="E420" s="11">
        <v>24.0</v>
      </c>
      <c r="F420" s="11">
        <v>22.0</v>
      </c>
      <c r="G420" s="11">
        <v>5.0</v>
      </c>
      <c r="H420" s="11">
        <v>40.0</v>
      </c>
      <c r="I420" s="11">
        <v>0.0</v>
      </c>
      <c r="J420" s="11">
        <v>0.0</v>
      </c>
      <c r="K420" s="11">
        <f t="shared" si="1"/>
        <v>91</v>
      </c>
      <c r="L420" s="11">
        <f t="shared" si="2"/>
        <v>11.25</v>
      </c>
    </row>
    <row r="421" ht="15.75" customHeight="1">
      <c r="A421" s="10" t="s">
        <v>924</v>
      </c>
      <c r="B421" s="10" t="s">
        <v>925</v>
      </c>
      <c r="C421" s="11">
        <v>12.0</v>
      </c>
      <c r="D421" s="11">
        <v>0.0</v>
      </c>
      <c r="E421" s="11">
        <v>0.0</v>
      </c>
      <c r="F421" s="11">
        <v>0.0</v>
      </c>
      <c r="G421" s="11">
        <v>0.0</v>
      </c>
      <c r="H421" s="11">
        <v>0.0</v>
      </c>
      <c r="I421" s="11">
        <v>0.0</v>
      </c>
      <c r="J421" s="11">
        <v>0.0</v>
      </c>
      <c r="K421" s="11">
        <f t="shared" si="1"/>
        <v>12</v>
      </c>
      <c r="L421" s="11">
        <f t="shared" si="2"/>
        <v>0</v>
      </c>
    </row>
    <row r="422" ht="15.75" customHeight="1">
      <c r="A422" s="10" t="s">
        <v>926</v>
      </c>
      <c r="B422" s="10" t="s">
        <v>927</v>
      </c>
      <c r="C422" s="11">
        <v>0.0</v>
      </c>
      <c r="D422" s="11">
        <v>0.0</v>
      </c>
      <c r="E422" s="11">
        <v>20.0</v>
      </c>
      <c r="F422" s="11">
        <v>3.0</v>
      </c>
      <c r="G422" s="11">
        <v>0.0</v>
      </c>
      <c r="H422" s="11">
        <v>0.0</v>
      </c>
      <c r="I422" s="11">
        <v>0.0</v>
      </c>
      <c r="J422" s="11">
        <v>0.0</v>
      </c>
      <c r="K422" s="11">
        <f t="shared" si="1"/>
        <v>23</v>
      </c>
      <c r="L422" s="11">
        <f t="shared" si="2"/>
        <v>0</v>
      </c>
    </row>
    <row r="423" ht="15.75" customHeight="1">
      <c r="A423" s="10" t="s">
        <v>928</v>
      </c>
      <c r="B423" s="10" t="s">
        <v>929</v>
      </c>
      <c r="C423" s="11">
        <v>0.0</v>
      </c>
      <c r="D423" s="11">
        <v>0.0</v>
      </c>
      <c r="E423" s="11">
        <v>0.0</v>
      </c>
      <c r="F423" s="11">
        <v>0.0</v>
      </c>
      <c r="G423" s="11">
        <v>0.0</v>
      </c>
      <c r="H423" s="11">
        <v>0.0</v>
      </c>
      <c r="I423" s="11">
        <v>0.0</v>
      </c>
      <c r="J423" s="11">
        <v>0.0</v>
      </c>
      <c r="K423" s="11">
        <f t="shared" si="1"/>
        <v>0</v>
      </c>
      <c r="L423" s="11">
        <f t="shared" si="2"/>
        <v>0</v>
      </c>
    </row>
    <row r="424" ht="15.75" customHeight="1">
      <c r="A424" s="10" t="s">
        <v>930</v>
      </c>
      <c r="B424" s="10" t="s">
        <v>931</v>
      </c>
      <c r="C424" s="11">
        <v>0.0</v>
      </c>
      <c r="D424" s="11">
        <v>0.0</v>
      </c>
      <c r="E424" s="11">
        <v>64.0</v>
      </c>
      <c r="F424" s="11">
        <v>15.0</v>
      </c>
      <c r="G424" s="11">
        <v>0.0</v>
      </c>
      <c r="H424" s="11">
        <v>0.0</v>
      </c>
      <c r="I424" s="11">
        <v>0.0</v>
      </c>
      <c r="J424" s="11">
        <v>0.0</v>
      </c>
      <c r="K424" s="11">
        <f t="shared" si="1"/>
        <v>79</v>
      </c>
      <c r="L424" s="11">
        <f t="shared" si="2"/>
        <v>0</v>
      </c>
    </row>
    <row r="425" ht="15.75" customHeight="1">
      <c r="A425" s="10" t="s">
        <v>932</v>
      </c>
      <c r="B425" s="10" t="s">
        <v>933</v>
      </c>
      <c r="C425" s="11">
        <v>0.0</v>
      </c>
      <c r="D425" s="11">
        <v>0.0</v>
      </c>
      <c r="E425" s="11">
        <v>0.0</v>
      </c>
      <c r="F425" s="11">
        <v>0.0</v>
      </c>
      <c r="G425" s="11">
        <v>0.0</v>
      </c>
      <c r="H425" s="11">
        <v>0.0</v>
      </c>
      <c r="I425" s="11">
        <v>0.0</v>
      </c>
      <c r="J425" s="11">
        <v>0.0</v>
      </c>
      <c r="K425" s="11">
        <f t="shared" si="1"/>
        <v>0</v>
      </c>
      <c r="L425" s="11">
        <f t="shared" si="2"/>
        <v>0</v>
      </c>
    </row>
    <row r="426" ht="15.75" customHeight="1">
      <c r="A426" s="10" t="s">
        <v>934</v>
      </c>
      <c r="B426" s="10" t="s">
        <v>935</v>
      </c>
      <c r="C426" s="11">
        <v>0.0</v>
      </c>
      <c r="D426" s="11">
        <v>0.0</v>
      </c>
      <c r="E426" s="11">
        <v>18.0</v>
      </c>
      <c r="F426" s="11">
        <v>0.0</v>
      </c>
      <c r="G426" s="11">
        <v>5.0</v>
      </c>
      <c r="H426" s="11">
        <v>0.0</v>
      </c>
      <c r="I426" s="11">
        <v>0.0</v>
      </c>
      <c r="J426" s="11">
        <v>0.0</v>
      </c>
      <c r="K426" s="11">
        <f t="shared" si="1"/>
        <v>23</v>
      </c>
      <c r="L426" s="11">
        <f t="shared" si="2"/>
        <v>1.25</v>
      </c>
    </row>
    <row r="427" ht="15.75" customHeight="1">
      <c r="A427" s="10" t="s">
        <v>936</v>
      </c>
      <c r="B427" s="10" t="s">
        <v>937</v>
      </c>
      <c r="C427" s="11">
        <v>0.0</v>
      </c>
      <c r="D427" s="11">
        <v>0.0</v>
      </c>
      <c r="E427" s="11">
        <v>0.0</v>
      </c>
      <c r="F427" s="11">
        <v>0.0</v>
      </c>
      <c r="G427" s="11">
        <v>0.0</v>
      </c>
      <c r="H427" s="11">
        <v>0.0</v>
      </c>
      <c r="I427" s="11">
        <v>0.0</v>
      </c>
      <c r="J427" s="11">
        <v>0.0</v>
      </c>
      <c r="K427" s="11">
        <f t="shared" si="1"/>
        <v>0</v>
      </c>
      <c r="L427" s="11">
        <f t="shared" si="2"/>
        <v>0</v>
      </c>
    </row>
    <row r="428" ht="15.75" customHeight="1">
      <c r="A428" s="10" t="s">
        <v>938</v>
      </c>
      <c r="B428" s="10" t="s">
        <v>939</v>
      </c>
      <c r="C428" s="11">
        <v>0.0</v>
      </c>
      <c r="D428" s="11">
        <v>0.0</v>
      </c>
      <c r="E428" s="11">
        <v>0.0</v>
      </c>
      <c r="F428" s="11">
        <v>0.0</v>
      </c>
      <c r="G428" s="11">
        <v>0.0</v>
      </c>
      <c r="H428" s="11">
        <v>0.0</v>
      </c>
      <c r="I428" s="11">
        <v>0.0</v>
      </c>
      <c r="J428" s="11">
        <v>0.0</v>
      </c>
      <c r="K428" s="11">
        <f t="shared" si="1"/>
        <v>0</v>
      </c>
      <c r="L428" s="11">
        <f t="shared" si="2"/>
        <v>0</v>
      </c>
    </row>
    <row r="429" ht="15.75" customHeight="1">
      <c r="A429" s="10" t="s">
        <v>940</v>
      </c>
      <c r="B429" s="10" t="s">
        <v>941</v>
      </c>
      <c r="C429" s="11">
        <v>0.0</v>
      </c>
      <c r="D429" s="11">
        <v>0.0</v>
      </c>
      <c r="E429" s="11">
        <v>21.0</v>
      </c>
      <c r="F429" s="11">
        <v>19.0</v>
      </c>
      <c r="G429" s="11">
        <v>17.0</v>
      </c>
      <c r="H429" s="11">
        <v>0.0</v>
      </c>
      <c r="I429" s="11">
        <v>0.0</v>
      </c>
      <c r="J429" s="11">
        <v>0.0</v>
      </c>
      <c r="K429" s="11">
        <f t="shared" si="1"/>
        <v>57</v>
      </c>
      <c r="L429" s="11">
        <f t="shared" si="2"/>
        <v>4.25</v>
      </c>
    </row>
    <row r="430" ht="15.75" customHeight="1">
      <c r="A430" s="10" t="s">
        <v>942</v>
      </c>
      <c r="B430" s="10" t="s">
        <v>943</v>
      </c>
      <c r="C430" s="11">
        <v>0.0</v>
      </c>
      <c r="D430" s="11">
        <v>0.0</v>
      </c>
      <c r="E430" s="11">
        <v>31.0</v>
      </c>
      <c r="F430" s="11">
        <v>20.0</v>
      </c>
      <c r="G430" s="11">
        <v>15.0</v>
      </c>
      <c r="H430" s="11">
        <v>0.0</v>
      </c>
      <c r="I430" s="11">
        <v>0.0</v>
      </c>
      <c r="J430" s="11">
        <v>0.0</v>
      </c>
      <c r="K430" s="11">
        <f t="shared" si="1"/>
        <v>66</v>
      </c>
      <c r="L430" s="11">
        <f t="shared" si="2"/>
        <v>3.75</v>
      </c>
    </row>
    <row r="431" ht="15.75" customHeight="1">
      <c r="A431" s="10" t="s">
        <v>944</v>
      </c>
      <c r="B431" s="10" t="s">
        <v>945</v>
      </c>
      <c r="C431" s="11">
        <v>0.0</v>
      </c>
      <c r="D431" s="11">
        <v>0.0</v>
      </c>
      <c r="E431" s="11">
        <v>0.0</v>
      </c>
      <c r="F431" s="11">
        <v>0.0</v>
      </c>
      <c r="G431" s="11">
        <v>0.0</v>
      </c>
      <c r="H431" s="11">
        <v>0.0</v>
      </c>
      <c r="I431" s="11">
        <v>0.0</v>
      </c>
      <c r="J431" s="11">
        <v>0.0</v>
      </c>
      <c r="K431" s="11">
        <f t="shared" si="1"/>
        <v>0</v>
      </c>
      <c r="L431" s="11">
        <f t="shared" si="2"/>
        <v>0</v>
      </c>
    </row>
    <row r="432" ht="15.75" customHeight="1">
      <c r="A432" s="10" t="s">
        <v>946</v>
      </c>
      <c r="B432" s="10" t="s">
        <v>947</v>
      </c>
      <c r="C432" s="11">
        <v>0.0</v>
      </c>
      <c r="D432" s="11">
        <v>0.0</v>
      </c>
      <c r="E432" s="11">
        <v>10.0</v>
      </c>
      <c r="F432" s="11">
        <v>28.0</v>
      </c>
      <c r="G432" s="11">
        <v>0.0</v>
      </c>
      <c r="H432" s="11">
        <v>0.0</v>
      </c>
      <c r="I432" s="11">
        <v>0.0</v>
      </c>
      <c r="J432" s="11">
        <v>0.0</v>
      </c>
      <c r="K432" s="11">
        <f t="shared" si="1"/>
        <v>38</v>
      </c>
      <c r="L432" s="11">
        <f t="shared" si="2"/>
        <v>0</v>
      </c>
    </row>
    <row r="433" ht="15.75" customHeight="1">
      <c r="A433" s="10" t="s">
        <v>949</v>
      </c>
      <c r="B433" s="10" t="s">
        <v>950</v>
      </c>
      <c r="C433" s="11">
        <v>1.0</v>
      </c>
      <c r="D433" s="11">
        <v>0.0</v>
      </c>
      <c r="E433" s="11">
        <v>0.0</v>
      </c>
      <c r="F433" s="11">
        <v>0.0</v>
      </c>
      <c r="G433" s="11">
        <v>0.0</v>
      </c>
      <c r="H433" s="11">
        <v>0.0</v>
      </c>
      <c r="I433" s="11">
        <v>0.0</v>
      </c>
      <c r="J433" s="11">
        <v>0.0</v>
      </c>
      <c r="K433" s="11">
        <f t="shared" si="1"/>
        <v>1</v>
      </c>
      <c r="L433" s="11">
        <f t="shared" si="2"/>
        <v>0</v>
      </c>
    </row>
    <row r="434" ht="15.75" customHeight="1">
      <c r="A434" s="10" t="s">
        <v>951</v>
      </c>
      <c r="B434" s="10" t="s">
        <v>952</v>
      </c>
      <c r="C434" s="11">
        <v>0.0</v>
      </c>
      <c r="D434" s="11">
        <v>0.0</v>
      </c>
      <c r="E434" s="11">
        <v>0.0</v>
      </c>
      <c r="F434" s="11">
        <v>16.0</v>
      </c>
      <c r="G434" s="11">
        <v>1.0</v>
      </c>
      <c r="H434" s="11">
        <v>0.0</v>
      </c>
      <c r="I434" s="11">
        <v>0.0</v>
      </c>
      <c r="J434" s="11">
        <v>0.0</v>
      </c>
      <c r="K434" s="11">
        <f t="shared" si="1"/>
        <v>17</v>
      </c>
      <c r="L434" s="11">
        <f t="shared" si="2"/>
        <v>0.25</v>
      </c>
    </row>
    <row r="435" ht="15.75" customHeight="1">
      <c r="A435" s="10" t="s">
        <v>953</v>
      </c>
      <c r="B435" s="10" t="s">
        <v>954</v>
      </c>
      <c r="C435" s="11">
        <v>0.0</v>
      </c>
      <c r="D435" s="11">
        <v>0.0</v>
      </c>
      <c r="E435" s="11">
        <v>0.0</v>
      </c>
      <c r="F435" s="11">
        <v>0.0</v>
      </c>
      <c r="G435" s="11">
        <v>0.0</v>
      </c>
      <c r="H435" s="11">
        <v>0.0</v>
      </c>
      <c r="I435" s="11">
        <v>0.0</v>
      </c>
      <c r="J435" s="11">
        <v>0.0</v>
      </c>
      <c r="K435" s="11">
        <f t="shared" si="1"/>
        <v>0</v>
      </c>
      <c r="L435" s="11">
        <f t="shared" si="2"/>
        <v>0</v>
      </c>
    </row>
    <row r="436" ht="15.75" customHeight="1">
      <c r="A436" s="10" t="s">
        <v>955</v>
      </c>
      <c r="B436" s="10" t="s">
        <v>956</v>
      </c>
      <c r="C436" s="11">
        <v>0.0</v>
      </c>
      <c r="D436" s="11">
        <v>0.0</v>
      </c>
      <c r="E436" s="11">
        <v>0.0</v>
      </c>
      <c r="F436" s="11">
        <v>0.0</v>
      </c>
      <c r="G436" s="11">
        <v>0.0</v>
      </c>
      <c r="H436" s="11">
        <v>0.0</v>
      </c>
      <c r="I436" s="11">
        <v>0.0</v>
      </c>
      <c r="J436" s="11">
        <v>0.0</v>
      </c>
      <c r="K436" s="11">
        <f t="shared" si="1"/>
        <v>0</v>
      </c>
      <c r="L436" s="11">
        <f t="shared" si="2"/>
        <v>0</v>
      </c>
    </row>
    <row r="437" ht="15.75" customHeight="1">
      <c r="A437" s="10" t="s">
        <v>957</v>
      </c>
      <c r="B437" s="10" t="s">
        <v>958</v>
      </c>
      <c r="C437" s="11">
        <v>0.0</v>
      </c>
      <c r="D437" s="11">
        <v>0.0</v>
      </c>
      <c r="E437" s="11">
        <v>0.0</v>
      </c>
      <c r="F437" s="11">
        <v>0.0</v>
      </c>
      <c r="G437" s="11">
        <v>0.0</v>
      </c>
      <c r="H437" s="11">
        <v>0.0</v>
      </c>
      <c r="I437" s="11">
        <v>0.0</v>
      </c>
      <c r="J437" s="11">
        <v>0.0</v>
      </c>
      <c r="K437" s="11">
        <f t="shared" si="1"/>
        <v>0</v>
      </c>
      <c r="L437" s="11">
        <f t="shared" si="2"/>
        <v>0</v>
      </c>
    </row>
    <row r="438" ht="15.75" customHeight="1">
      <c r="A438" s="10" t="s">
        <v>959</v>
      </c>
      <c r="B438" s="10" t="s">
        <v>960</v>
      </c>
      <c r="C438" s="11">
        <v>0.0</v>
      </c>
      <c r="D438" s="11">
        <v>0.0</v>
      </c>
      <c r="E438" s="11">
        <v>0.0</v>
      </c>
      <c r="F438" s="11">
        <v>0.0</v>
      </c>
      <c r="G438" s="11">
        <v>0.0</v>
      </c>
      <c r="H438" s="11">
        <v>0.0</v>
      </c>
      <c r="I438" s="11">
        <v>0.0</v>
      </c>
      <c r="J438" s="11">
        <v>0.0</v>
      </c>
      <c r="K438" s="11">
        <f t="shared" si="1"/>
        <v>0</v>
      </c>
      <c r="L438" s="11">
        <f t="shared" si="2"/>
        <v>0</v>
      </c>
    </row>
    <row r="439" ht="15.75" customHeight="1">
      <c r="A439" s="10" t="s">
        <v>961</v>
      </c>
      <c r="B439" s="10" t="s">
        <v>962</v>
      </c>
      <c r="C439" s="11">
        <v>0.0</v>
      </c>
      <c r="D439" s="11">
        <v>0.0</v>
      </c>
      <c r="E439" s="11">
        <v>0.0</v>
      </c>
      <c r="F439" s="11">
        <v>0.0</v>
      </c>
      <c r="G439" s="11">
        <v>0.0</v>
      </c>
      <c r="H439" s="11">
        <v>0.0</v>
      </c>
      <c r="I439" s="11">
        <v>0.0</v>
      </c>
      <c r="J439" s="11">
        <v>0.0</v>
      </c>
      <c r="K439" s="11">
        <f t="shared" si="1"/>
        <v>0</v>
      </c>
      <c r="L439" s="11">
        <f t="shared" si="2"/>
        <v>0</v>
      </c>
    </row>
    <row r="440" ht="15.75" customHeight="1">
      <c r="A440" s="10" t="s">
        <v>963</v>
      </c>
      <c r="B440" s="10" t="s">
        <v>964</v>
      </c>
      <c r="C440" s="11">
        <v>0.0</v>
      </c>
      <c r="D440" s="11">
        <v>0.0</v>
      </c>
      <c r="E440" s="11">
        <v>0.0</v>
      </c>
      <c r="F440" s="11">
        <v>0.0</v>
      </c>
      <c r="G440" s="11">
        <v>0.0</v>
      </c>
      <c r="H440" s="11">
        <v>0.0</v>
      </c>
      <c r="I440" s="11">
        <v>0.0</v>
      </c>
      <c r="J440" s="11">
        <v>0.0</v>
      </c>
      <c r="K440" s="11">
        <f t="shared" si="1"/>
        <v>0</v>
      </c>
      <c r="L440" s="11">
        <f t="shared" si="2"/>
        <v>0</v>
      </c>
    </row>
    <row r="441" ht="15.75" customHeight="1">
      <c r="A441" s="10" t="s">
        <v>965</v>
      </c>
      <c r="B441" s="10" t="s">
        <v>966</v>
      </c>
      <c r="C441" s="11">
        <v>0.0</v>
      </c>
      <c r="D441" s="11">
        <v>0.0</v>
      </c>
      <c r="E441" s="11">
        <v>46.0</v>
      </c>
      <c r="F441" s="11">
        <v>6.0</v>
      </c>
      <c r="G441" s="11">
        <v>2.0</v>
      </c>
      <c r="H441" s="11">
        <v>17.0</v>
      </c>
      <c r="I441" s="11">
        <v>0.0</v>
      </c>
      <c r="J441" s="11">
        <v>0.0</v>
      </c>
      <c r="K441" s="11">
        <f t="shared" si="1"/>
        <v>71</v>
      </c>
      <c r="L441" s="11">
        <f t="shared" si="2"/>
        <v>4.75</v>
      </c>
    </row>
    <row r="442" ht="15.75" customHeight="1">
      <c r="A442" s="10" t="s">
        <v>967</v>
      </c>
      <c r="B442" s="10" t="s">
        <v>968</v>
      </c>
      <c r="C442" s="11">
        <v>5.0</v>
      </c>
      <c r="D442" s="11">
        <v>1.0</v>
      </c>
      <c r="E442" s="11">
        <v>0.0</v>
      </c>
      <c r="F442" s="11">
        <v>0.0</v>
      </c>
      <c r="G442" s="11">
        <v>0.0</v>
      </c>
      <c r="H442" s="11">
        <v>0.0</v>
      </c>
      <c r="I442" s="11">
        <v>0.0</v>
      </c>
      <c r="J442" s="11">
        <v>0.0</v>
      </c>
      <c r="K442" s="11">
        <f t="shared" si="1"/>
        <v>6</v>
      </c>
      <c r="L442" s="11">
        <f t="shared" si="2"/>
        <v>0</v>
      </c>
    </row>
    <row r="443" ht="15.75" customHeight="1">
      <c r="A443" s="10" t="s">
        <v>969</v>
      </c>
      <c r="B443" s="10" t="s">
        <v>970</v>
      </c>
      <c r="C443" s="11">
        <v>8.0</v>
      </c>
      <c r="D443" s="11">
        <v>0.0</v>
      </c>
      <c r="E443" s="11">
        <v>0.0</v>
      </c>
      <c r="F443" s="11">
        <v>0.0</v>
      </c>
      <c r="G443" s="11">
        <v>0.0</v>
      </c>
      <c r="H443" s="11">
        <v>0.0</v>
      </c>
      <c r="I443" s="11">
        <v>0.0</v>
      </c>
      <c r="J443" s="11">
        <v>0.0</v>
      </c>
      <c r="K443" s="11">
        <f t="shared" si="1"/>
        <v>8</v>
      </c>
      <c r="L443" s="11">
        <f t="shared" si="2"/>
        <v>0</v>
      </c>
    </row>
    <row r="444" ht="15.75" customHeight="1">
      <c r="A444" s="10" t="s">
        <v>971</v>
      </c>
      <c r="B444" s="10" t="s">
        <v>972</v>
      </c>
      <c r="C444" s="11">
        <v>0.0</v>
      </c>
      <c r="D444" s="11">
        <v>0.0</v>
      </c>
      <c r="E444" s="11">
        <v>13.0</v>
      </c>
      <c r="F444" s="11">
        <v>46.0</v>
      </c>
      <c r="G444" s="11">
        <v>4.0</v>
      </c>
      <c r="H444" s="11">
        <v>0.0</v>
      </c>
      <c r="I444" s="11">
        <v>0.0</v>
      </c>
      <c r="J444" s="11">
        <v>0.0</v>
      </c>
      <c r="K444" s="11">
        <f t="shared" si="1"/>
        <v>63</v>
      </c>
      <c r="L444" s="11">
        <f t="shared" si="2"/>
        <v>1</v>
      </c>
    </row>
    <row r="445" ht="15.75" customHeight="1">
      <c r="A445" s="10" t="s">
        <v>973</v>
      </c>
      <c r="B445" s="10" t="s">
        <v>974</v>
      </c>
      <c r="C445" s="11">
        <v>0.0</v>
      </c>
      <c r="D445" s="11">
        <v>0.0</v>
      </c>
      <c r="E445" s="11">
        <v>23.0</v>
      </c>
      <c r="F445" s="11">
        <v>34.0</v>
      </c>
      <c r="G445" s="11">
        <v>4.0</v>
      </c>
      <c r="H445" s="11">
        <v>6.0</v>
      </c>
      <c r="I445" s="11">
        <v>0.0</v>
      </c>
      <c r="J445" s="11">
        <v>0.0</v>
      </c>
      <c r="K445" s="11">
        <f t="shared" si="1"/>
        <v>67</v>
      </c>
      <c r="L445" s="11">
        <f t="shared" si="2"/>
        <v>2.5</v>
      </c>
    </row>
    <row r="446" ht="15.75" customHeight="1">
      <c r="A446" s="10" t="s">
        <v>975</v>
      </c>
      <c r="B446" s="10" t="s">
        <v>976</v>
      </c>
      <c r="C446" s="11">
        <v>0.0</v>
      </c>
      <c r="D446" s="11">
        <v>0.0</v>
      </c>
      <c r="E446" s="11">
        <v>0.0</v>
      </c>
      <c r="F446" s="11">
        <v>0.0</v>
      </c>
      <c r="G446" s="11">
        <v>0.0</v>
      </c>
      <c r="H446" s="11">
        <v>0.0</v>
      </c>
      <c r="I446" s="11">
        <v>0.0</v>
      </c>
      <c r="J446" s="11">
        <v>0.0</v>
      </c>
      <c r="K446" s="11">
        <f t="shared" si="1"/>
        <v>0</v>
      </c>
      <c r="L446" s="11">
        <f t="shared" si="2"/>
        <v>0</v>
      </c>
    </row>
    <row r="447" ht="15.75" customHeight="1">
      <c r="A447" s="10" t="s">
        <v>977</v>
      </c>
      <c r="B447" s="10" t="s">
        <v>978</v>
      </c>
      <c r="C447" s="11">
        <v>9.0</v>
      </c>
      <c r="D447" s="11">
        <v>2.0</v>
      </c>
      <c r="E447" s="11">
        <v>2.0</v>
      </c>
      <c r="F447" s="11">
        <v>1.0</v>
      </c>
      <c r="G447" s="11">
        <v>1.0</v>
      </c>
      <c r="H447" s="11">
        <v>0.0</v>
      </c>
      <c r="I447" s="11">
        <v>0.0</v>
      </c>
      <c r="J447" s="11">
        <v>0.0</v>
      </c>
      <c r="K447" s="11">
        <f t="shared" si="1"/>
        <v>15</v>
      </c>
      <c r="L447" s="11">
        <f t="shared" si="2"/>
        <v>0.25</v>
      </c>
    </row>
    <row r="448" ht="15.75" customHeight="1">
      <c r="A448" s="10" t="s">
        <v>979</v>
      </c>
      <c r="B448" s="10" t="s">
        <v>980</v>
      </c>
      <c r="C448" s="11">
        <v>0.0</v>
      </c>
      <c r="D448" s="11">
        <v>0.0</v>
      </c>
      <c r="E448" s="11">
        <v>34.0</v>
      </c>
      <c r="F448" s="11">
        <v>4.0</v>
      </c>
      <c r="G448" s="11">
        <v>0.0</v>
      </c>
      <c r="H448" s="11">
        <v>0.0</v>
      </c>
      <c r="I448" s="11">
        <v>0.0</v>
      </c>
      <c r="J448" s="11">
        <v>0.0</v>
      </c>
      <c r="K448" s="11">
        <f t="shared" si="1"/>
        <v>38</v>
      </c>
      <c r="L448" s="11">
        <f t="shared" si="2"/>
        <v>0</v>
      </c>
    </row>
    <row r="449" ht="15.75" customHeight="1">
      <c r="A449" s="10" t="s">
        <v>981</v>
      </c>
      <c r="B449" s="10" t="s">
        <v>982</v>
      </c>
      <c r="C449" s="11">
        <v>7.0</v>
      </c>
      <c r="D449" s="11">
        <v>0.0</v>
      </c>
      <c r="E449" s="11">
        <v>0.0</v>
      </c>
      <c r="F449" s="11">
        <v>0.0</v>
      </c>
      <c r="G449" s="11">
        <v>0.0</v>
      </c>
      <c r="H449" s="11">
        <v>0.0</v>
      </c>
      <c r="I449" s="11">
        <v>0.0</v>
      </c>
      <c r="J449" s="11">
        <v>0.0</v>
      </c>
      <c r="K449" s="11">
        <f t="shared" si="1"/>
        <v>7</v>
      </c>
      <c r="L449" s="11">
        <f t="shared" si="2"/>
        <v>0</v>
      </c>
    </row>
    <row r="450" ht="15.75" customHeight="1">
      <c r="A450" s="10" t="s">
        <v>983</v>
      </c>
      <c r="B450" s="10" t="s">
        <v>984</v>
      </c>
      <c r="C450" s="11">
        <v>0.0</v>
      </c>
      <c r="D450" s="11">
        <v>0.0</v>
      </c>
      <c r="E450" s="11">
        <v>48.0</v>
      </c>
      <c r="F450" s="11">
        <v>14.0</v>
      </c>
      <c r="G450" s="11">
        <v>3.0</v>
      </c>
      <c r="H450" s="11">
        <v>2.0</v>
      </c>
      <c r="I450" s="11">
        <v>0.0</v>
      </c>
      <c r="J450" s="11">
        <v>0.0</v>
      </c>
      <c r="K450" s="11">
        <f t="shared" si="1"/>
        <v>67</v>
      </c>
      <c r="L450" s="11">
        <f t="shared" si="2"/>
        <v>1.25</v>
      </c>
    </row>
    <row r="451" ht="15.75" customHeight="1">
      <c r="A451" s="10" t="s">
        <v>985</v>
      </c>
      <c r="B451" s="10" t="s">
        <v>986</v>
      </c>
      <c r="C451" s="11">
        <v>0.0</v>
      </c>
      <c r="D451" s="11">
        <v>0.0</v>
      </c>
      <c r="E451" s="11">
        <v>0.0</v>
      </c>
      <c r="F451" s="11">
        <v>0.0</v>
      </c>
      <c r="G451" s="11">
        <v>0.0</v>
      </c>
      <c r="H451" s="11">
        <v>0.0</v>
      </c>
      <c r="I451" s="11">
        <v>0.0</v>
      </c>
      <c r="J451" s="11">
        <v>0.0</v>
      </c>
      <c r="K451" s="11">
        <f t="shared" si="1"/>
        <v>0</v>
      </c>
      <c r="L451" s="11">
        <f t="shared" si="2"/>
        <v>0</v>
      </c>
    </row>
    <row r="452" ht="15.75" customHeight="1">
      <c r="A452" s="10" t="s">
        <v>987</v>
      </c>
      <c r="B452" s="10" t="s">
        <v>988</v>
      </c>
      <c r="C452" s="11">
        <v>0.0</v>
      </c>
      <c r="D452" s="11">
        <v>0.0</v>
      </c>
      <c r="E452" s="11">
        <v>39.0</v>
      </c>
      <c r="F452" s="11">
        <v>14.0</v>
      </c>
      <c r="G452" s="11">
        <v>0.0</v>
      </c>
      <c r="H452" s="11">
        <v>0.0</v>
      </c>
      <c r="I452" s="11">
        <v>0.0</v>
      </c>
      <c r="J452" s="11">
        <v>0.0</v>
      </c>
      <c r="K452" s="11">
        <f t="shared" si="1"/>
        <v>53</v>
      </c>
      <c r="L452" s="11">
        <f t="shared" si="2"/>
        <v>0</v>
      </c>
    </row>
    <row r="453" ht="15.75" customHeight="1">
      <c r="A453" s="10" t="s">
        <v>989</v>
      </c>
      <c r="B453" s="10" t="s">
        <v>990</v>
      </c>
      <c r="C453" s="11">
        <v>0.0</v>
      </c>
      <c r="D453" s="11">
        <v>0.0</v>
      </c>
      <c r="E453" s="11">
        <v>0.0</v>
      </c>
      <c r="F453" s="11">
        <v>0.0</v>
      </c>
      <c r="G453" s="11">
        <v>0.0</v>
      </c>
      <c r="H453" s="11">
        <v>10.0</v>
      </c>
      <c r="I453" s="11">
        <v>0.0</v>
      </c>
      <c r="J453" s="11">
        <v>0.0</v>
      </c>
      <c r="K453" s="11">
        <f t="shared" si="1"/>
        <v>10</v>
      </c>
      <c r="L453" s="11">
        <f t="shared" si="2"/>
        <v>2.5</v>
      </c>
    </row>
    <row r="454" ht="15.75" customHeight="1">
      <c r="A454" s="10" t="s">
        <v>991</v>
      </c>
      <c r="B454" s="10" t="s">
        <v>992</v>
      </c>
      <c r="C454" s="11">
        <v>0.0</v>
      </c>
      <c r="D454" s="11">
        <v>0.0</v>
      </c>
      <c r="E454" s="11">
        <v>0.0</v>
      </c>
      <c r="F454" s="11">
        <v>0.0</v>
      </c>
      <c r="G454" s="11">
        <v>0.0</v>
      </c>
      <c r="H454" s="11">
        <v>0.0</v>
      </c>
      <c r="I454" s="11">
        <v>0.0</v>
      </c>
      <c r="J454" s="11">
        <v>0.0</v>
      </c>
      <c r="K454" s="11">
        <f t="shared" si="1"/>
        <v>0</v>
      </c>
      <c r="L454" s="11">
        <f t="shared" si="2"/>
        <v>0</v>
      </c>
    </row>
    <row r="455" ht="15.75" customHeight="1">
      <c r="A455" s="10" t="s">
        <v>993</v>
      </c>
      <c r="B455" s="10" t="s">
        <v>994</v>
      </c>
      <c r="C455" s="11">
        <v>0.0</v>
      </c>
      <c r="D455" s="11">
        <v>0.0</v>
      </c>
      <c r="E455" s="11">
        <v>0.0</v>
      </c>
      <c r="F455" s="11">
        <v>0.0</v>
      </c>
      <c r="G455" s="11">
        <v>0.0</v>
      </c>
      <c r="H455" s="11">
        <v>40.0</v>
      </c>
      <c r="I455" s="11">
        <v>0.0</v>
      </c>
      <c r="J455" s="11">
        <v>10.0</v>
      </c>
      <c r="K455" s="11">
        <f t="shared" si="1"/>
        <v>50</v>
      </c>
      <c r="L455" s="11">
        <f t="shared" si="2"/>
        <v>12.5</v>
      </c>
    </row>
    <row r="456" ht="15.75" customHeight="1">
      <c r="A456" s="10" t="s">
        <v>995</v>
      </c>
      <c r="B456" s="10" t="s">
        <v>996</v>
      </c>
      <c r="C456" s="11">
        <v>0.0</v>
      </c>
      <c r="D456" s="11">
        <v>0.0</v>
      </c>
      <c r="E456" s="11">
        <v>0.0</v>
      </c>
      <c r="F456" s="11">
        <v>0.0</v>
      </c>
      <c r="G456" s="11">
        <v>0.0</v>
      </c>
      <c r="H456" s="11">
        <v>0.0</v>
      </c>
      <c r="I456" s="11">
        <v>0.0</v>
      </c>
      <c r="J456" s="11">
        <v>0.0</v>
      </c>
      <c r="K456" s="11">
        <f t="shared" si="1"/>
        <v>0</v>
      </c>
      <c r="L456" s="11">
        <f t="shared" si="2"/>
        <v>0</v>
      </c>
    </row>
    <row r="457" ht="15.75" customHeight="1">
      <c r="A457" s="10" t="s">
        <v>997</v>
      </c>
      <c r="B457" s="10" t="s">
        <v>998</v>
      </c>
      <c r="C457" s="11">
        <v>0.0</v>
      </c>
      <c r="D457" s="11">
        <v>0.0</v>
      </c>
      <c r="E457" s="11">
        <v>0.0</v>
      </c>
      <c r="F457" s="11">
        <v>0.0</v>
      </c>
      <c r="G457" s="11">
        <v>0.0</v>
      </c>
      <c r="H457" s="11">
        <v>0.0</v>
      </c>
      <c r="I457" s="11">
        <v>0.0</v>
      </c>
      <c r="J457" s="11">
        <v>0.0</v>
      </c>
      <c r="K457" s="11">
        <f t="shared" si="1"/>
        <v>0</v>
      </c>
      <c r="L457" s="11">
        <f t="shared" si="2"/>
        <v>0</v>
      </c>
    </row>
    <row r="458" ht="15.75" customHeight="1">
      <c r="A458" s="10" t="s">
        <v>999</v>
      </c>
      <c r="B458" s="10" t="s">
        <v>1000</v>
      </c>
      <c r="C458" s="11">
        <v>0.0</v>
      </c>
      <c r="D458" s="11">
        <v>0.0</v>
      </c>
      <c r="E458" s="11">
        <v>0.0</v>
      </c>
      <c r="F458" s="11">
        <v>0.0</v>
      </c>
      <c r="G458" s="11">
        <v>0.0</v>
      </c>
      <c r="H458" s="11">
        <v>50.0</v>
      </c>
      <c r="I458" s="11">
        <v>0.0</v>
      </c>
      <c r="J458" s="11">
        <v>10.0</v>
      </c>
      <c r="K458" s="11">
        <f t="shared" si="1"/>
        <v>60</v>
      </c>
      <c r="L458" s="11">
        <f t="shared" si="2"/>
        <v>15</v>
      </c>
    </row>
    <row r="459" ht="15.75" customHeight="1">
      <c r="A459" s="10" t="s">
        <v>1001</v>
      </c>
      <c r="B459" s="10" t="s">
        <v>1002</v>
      </c>
      <c r="C459" s="11">
        <v>0.0</v>
      </c>
      <c r="D459" s="11">
        <v>0.0</v>
      </c>
      <c r="E459" s="11">
        <v>0.0</v>
      </c>
      <c r="F459" s="11">
        <v>0.0</v>
      </c>
      <c r="G459" s="11">
        <v>0.0</v>
      </c>
      <c r="H459" s="11">
        <v>0.0</v>
      </c>
      <c r="I459" s="11">
        <v>0.0</v>
      </c>
      <c r="J459" s="11">
        <v>0.0</v>
      </c>
      <c r="K459" s="11">
        <f t="shared" si="1"/>
        <v>0</v>
      </c>
      <c r="L459" s="11">
        <f t="shared" si="2"/>
        <v>0</v>
      </c>
    </row>
    <row r="460" ht="15.75" customHeight="1">
      <c r="A460" s="10" t="s">
        <v>1003</v>
      </c>
      <c r="B460" s="10" t="s">
        <v>1004</v>
      </c>
      <c r="C460" s="11">
        <v>0.0</v>
      </c>
      <c r="D460" s="11">
        <v>0.0</v>
      </c>
      <c r="E460" s="11">
        <v>0.0</v>
      </c>
      <c r="F460" s="11">
        <v>0.0</v>
      </c>
      <c r="G460" s="11">
        <v>0.0</v>
      </c>
      <c r="H460" s="11">
        <v>0.0</v>
      </c>
      <c r="I460" s="11">
        <v>0.0</v>
      </c>
      <c r="J460" s="11">
        <v>0.0</v>
      </c>
      <c r="K460" s="11">
        <f t="shared" si="1"/>
        <v>0</v>
      </c>
      <c r="L460" s="11">
        <f t="shared" si="2"/>
        <v>0</v>
      </c>
    </row>
    <row r="461" ht="15.75" customHeight="1">
      <c r="A461" s="10" t="s">
        <v>1005</v>
      </c>
      <c r="B461" s="10" t="s">
        <v>1006</v>
      </c>
      <c r="C461" s="11">
        <v>0.0</v>
      </c>
      <c r="D461" s="11">
        <v>0.0</v>
      </c>
      <c r="E461" s="11">
        <v>0.0</v>
      </c>
      <c r="F461" s="11">
        <v>0.0</v>
      </c>
      <c r="G461" s="11">
        <v>0.0</v>
      </c>
      <c r="H461" s="11">
        <v>30.0</v>
      </c>
      <c r="I461" s="11">
        <v>0.0</v>
      </c>
      <c r="J461" s="11">
        <v>0.0</v>
      </c>
      <c r="K461" s="11">
        <f t="shared" si="1"/>
        <v>30</v>
      </c>
      <c r="L461" s="11">
        <f t="shared" si="2"/>
        <v>7.5</v>
      </c>
    </row>
    <row r="462" ht="15.75" customHeight="1">
      <c r="A462" s="10" t="s">
        <v>1007</v>
      </c>
      <c r="B462" s="10" t="s">
        <v>1008</v>
      </c>
      <c r="C462" s="11">
        <v>0.0</v>
      </c>
      <c r="D462" s="11">
        <v>0.0</v>
      </c>
      <c r="E462" s="11">
        <v>0.0</v>
      </c>
      <c r="F462" s="11">
        <v>0.0</v>
      </c>
      <c r="G462" s="11">
        <v>0.0</v>
      </c>
      <c r="H462" s="11">
        <v>0.0</v>
      </c>
      <c r="I462" s="11">
        <v>0.0</v>
      </c>
      <c r="J462" s="11">
        <v>0.0</v>
      </c>
      <c r="K462" s="11">
        <f t="shared" si="1"/>
        <v>0</v>
      </c>
      <c r="L462" s="11">
        <f t="shared" si="2"/>
        <v>0</v>
      </c>
    </row>
    <row r="463" ht="15.75" customHeight="1">
      <c r="A463" s="10" t="s">
        <v>1010</v>
      </c>
      <c r="B463" s="10" t="s">
        <v>1011</v>
      </c>
      <c r="C463" s="11">
        <v>0.0</v>
      </c>
      <c r="D463" s="11">
        <v>0.0</v>
      </c>
      <c r="E463" s="11">
        <v>0.0</v>
      </c>
      <c r="F463" s="11">
        <v>0.0</v>
      </c>
      <c r="G463" s="11">
        <v>0.0</v>
      </c>
      <c r="H463" s="11">
        <v>20.0</v>
      </c>
      <c r="I463" s="11">
        <v>0.0</v>
      </c>
      <c r="J463" s="11">
        <v>0.0</v>
      </c>
      <c r="K463" s="11">
        <f t="shared" si="1"/>
        <v>20</v>
      </c>
      <c r="L463" s="11">
        <f t="shared" si="2"/>
        <v>5</v>
      </c>
    </row>
    <row r="464" ht="15.75" customHeight="1">
      <c r="A464" s="10" t="s">
        <v>1012</v>
      </c>
      <c r="B464" s="10" t="s">
        <v>1013</v>
      </c>
      <c r="C464" s="11">
        <v>0.0</v>
      </c>
      <c r="D464" s="11">
        <v>0.0</v>
      </c>
      <c r="E464" s="11">
        <v>0.0</v>
      </c>
      <c r="F464" s="11">
        <v>0.0</v>
      </c>
      <c r="G464" s="11">
        <v>0.0</v>
      </c>
      <c r="H464" s="11">
        <v>30.0</v>
      </c>
      <c r="I464" s="11">
        <v>0.0</v>
      </c>
      <c r="J464" s="11">
        <v>0.0</v>
      </c>
      <c r="K464" s="11">
        <f t="shared" si="1"/>
        <v>30</v>
      </c>
      <c r="L464" s="11">
        <f t="shared" si="2"/>
        <v>7.5</v>
      </c>
    </row>
    <row r="465" ht="15.75" customHeight="1">
      <c r="A465" s="10" t="s">
        <v>1015</v>
      </c>
      <c r="B465" s="10" t="s">
        <v>1016</v>
      </c>
      <c r="C465" s="11">
        <v>0.0</v>
      </c>
      <c r="D465" s="11">
        <v>0.0</v>
      </c>
      <c r="E465" s="11">
        <v>0.0</v>
      </c>
      <c r="F465" s="11">
        <v>0.0</v>
      </c>
      <c r="G465" s="11">
        <v>0.0</v>
      </c>
      <c r="H465" s="11">
        <v>20.0</v>
      </c>
      <c r="I465" s="11">
        <v>10.0</v>
      </c>
      <c r="J465" s="11">
        <v>10.0</v>
      </c>
      <c r="K465" s="11">
        <f t="shared" si="1"/>
        <v>40</v>
      </c>
      <c r="L465" s="11">
        <f t="shared" si="2"/>
        <v>10</v>
      </c>
    </row>
    <row r="466" ht="15.75" customHeight="1">
      <c r="A466" s="10" t="s">
        <v>1017</v>
      </c>
      <c r="B466" s="10" t="s">
        <v>1018</v>
      </c>
      <c r="C466" s="11">
        <v>0.0</v>
      </c>
      <c r="D466" s="11">
        <v>0.0</v>
      </c>
      <c r="E466" s="11">
        <v>0.0</v>
      </c>
      <c r="F466" s="11">
        <v>0.0</v>
      </c>
      <c r="G466" s="11">
        <v>0.0</v>
      </c>
      <c r="H466" s="11">
        <v>60.0</v>
      </c>
      <c r="I466" s="11">
        <v>10.0</v>
      </c>
      <c r="J466" s="11">
        <v>20.0</v>
      </c>
      <c r="K466" s="11">
        <f t="shared" si="1"/>
        <v>90</v>
      </c>
      <c r="L466" s="11">
        <f t="shared" si="2"/>
        <v>22.5</v>
      </c>
    </row>
    <row r="467" ht="15.75" customHeight="1">
      <c r="A467" s="10" t="s">
        <v>1019</v>
      </c>
      <c r="B467" s="10" t="s">
        <v>1020</v>
      </c>
      <c r="C467" s="11">
        <v>0.0</v>
      </c>
      <c r="D467" s="11">
        <v>0.0</v>
      </c>
      <c r="E467" s="11">
        <v>0.0</v>
      </c>
      <c r="F467" s="11">
        <v>0.0</v>
      </c>
      <c r="G467" s="11">
        <v>0.0</v>
      </c>
      <c r="H467" s="11">
        <v>70.0</v>
      </c>
      <c r="I467" s="11">
        <v>10.0</v>
      </c>
      <c r="J467" s="11">
        <v>0.0</v>
      </c>
      <c r="K467" s="11">
        <f t="shared" si="1"/>
        <v>80</v>
      </c>
      <c r="L467" s="11">
        <f t="shared" si="2"/>
        <v>20</v>
      </c>
    </row>
    <row r="468" ht="15.75" customHeight="1">
      <c r="A468" s="10" t="s">
        <v>1021</v>
      </c>
      <c r="B468" s="10" t="s">
        <v>1022</v>
      </c>
      <c r="C468" s="11">
        <v>0.0</v>
      </c>
      <c r="D468" s="11">
        <v>0.0</v>
      </c>
      <c r="E468" s="11">
        <v>0.0</v>
      </c>
      <c r="F468" s="11">
        <v>0.0</v>
      </c>
      <c r="G468" s="11">
        <v>0.0</v>
      </c>
      <c r="H468" s="11">
        <v>20.0</v>
      </c>
      <c r="I468" s="11">
        <v>10.0</v>
      </c>
      <c r="J468" s="11">
        <v>10.0</v>
      </c>
      <c r="K468" s="11">
        <f t="shared" si="1"/>
        <v>40</v>
      </c>
      <c r="L468" s="11">
        <f t="shared" si="2"/>
        <v>10</v>
      </c>
    </row>
    <row r="469" ht="15.75" customHeight="1">
      <c r="A469" s="10" t="s">
        <v>1023</v>
      </c>
      <c r="B469" s="10" t="s">
        <v>1024</v>
      </c>
      <c r="C469" s="11">
        <v>0.0</v>
      </c>
      <c r="D469" s="11">
        <v>0.0</v>
      </c>
      <c r="E469" s="11">
        <v>0.0</v>
      </c>
      <c r="F469" s="11">
        <v>0.0</v>
      </c>
      <c r="G469" s="11">
        <v>0.0</v>
      </c>
      <c r="H469" s="11">
        <v>60.0</v>
      </c>
      <c r="I469" s="11">
        <v>10.0</v>
      </c>
      <c r="J469" s="11">
        <v>20.0</v>
      </c>
      <c r="K469" s="11">
        <f t="shared" si="1"/>
        <v>90</v>
      </c>
      <c r="L469" s="11">
        <f t="shared" si="2"/>
        <v>22.5</v>
      </c>
    </row>
    <row r="470" ht="15.75" customHeight="1">
      <c r="A470" s="10" t="s">
        <v>1025</v>
      </c>
      <c r="B470" s="10" t="s">
        <v>1026</v>
      </c>
      <c r="C470" s="11">
        <v>0.0</v>
      </c>
      <c r="D470" s="11">
        <v>0.0</v>
      </c>
      <c r="E470" s="11">
        <v>0.0</v>
      </c>
      <c r="F470" s="11">
        <v>0.0</v>
      </c>
      <c r="G470" s="11">
        <v>0.0</v>
      </c>
      <c r="H470" s="11">
        <v>80.0</v>
      </c>
      <c r="I470" s="11">
        <v>0.0</v>
      </c>
      <c r="J470" s="11">
        <v>0.0</v>
      </c>
      <c r="K470" s="11">
        <f t="shared" si="1"/>
        <v>80</v>
      </c>
      <c r="L470" s="11">
        <f t="shared" si="2"/>
        <v>20</v>
      </c>
    </row>
    <row r="471" ht="15.75" customHeight="1">
      <c r="A471" s="10" t="s">
        <v>1027</v>
      </c>
      <c r="B471" s="10" t="s">
        <v>1028</v>
      </c>
      <c r="C471" s="11">
        <v>0.0</v>
      </c>
      <c r="D471" s="11">
        <v>0.0</v>
      </c>
      <c r="E471" s="11">
        <v>0.0</v>
      </c>
      <c r="F471" s="11">
        <v>0.0</v>
      </c>
      <c r="G471" s="11">
        <v>0.0</v>
      </c>
      <c r="H471" s="11">
        <v>0.0</v>
      </c>
      <c r="I471" s="11">
        <v>10.0</v>
      </c>
      <c r="J471" s="11">
        <v>20.0</v>
      </c>
      <c r="K471" s="11">
        <f t="shared" si="1"/>
        <v>30</v>
      </c>
      <c r="L471" s="11">
        <f t="shared" si="2"/>
        <v>7.5</v>
      </c>
    </row>
    <row r="472" ht="15.75" customHeight="1">
      <c r="A472" s="10" t="s">
        <v>1029</v>
      </c>
      <c r="B472" s="10" t="s">
        <v>1030</v>
      </c>
      <c r="C472" s="11">
        <v>0.0</v>
      </c>
      <c r="D472" s="11">
        <v>0.0</v>
      </c>
      <c r="E472" s="11">
        <v>0.0</v>
      </c>
      <c r="F472" s="11">
        <v>0.0</v>
      </c>
      <c r="G472" s="11">
        <v>0.0</v>
      </c>
      <c r="H472" s="11">
        <v>120.0</v>
      </c>
      <c r="I472" s="11">
        <v>40.0</v>
      </c>
      <c r="J472" s="11">
        <v>30.0</v>
      </c>
      <c r="K472" s="11">
        <f t="shared" si="1"/>
        <v>190</v>
      </c>
      <c r="L472" s="11">
        <f t="shared" si="2"/>
        <v>47.5</v>
      </c>
    </row>
    <row r="473" ht="15.75" customHeight="1">
      <c r="A473" s="10" t="s">
        <v>1031</v>
      </c>
      <c r="B473" s="10" t="s">
        <v>1032</v>
      </c>
      <c r="C473" s="11">
        <v>0.0</v>
      </c>
      <c r="D473" s="11">
        <v>0.0</v>
      </c>
      <c r="E473" s="11">
        <v>0.0</v>
      </c>
      <c r="F473" s="11">
        <v>0.0</v>
      </c>
      <c r="G473" s="11">
        <v>0.0</v>
      </c>
      <c r="H473" s="11">
        <v>70.0</v>
      </c>
      <c r="I473" s="11">
        <v>0.0</v>
      </c>
      <c r="J473" s="11">
        <v>0.0</v>
      </c>
      <c r="K473" s="11">
        <f t="shared" si="1"/>
        <v>70</v>
      </c>
      <c r="L473" s="11">
        <f t="shared" si="2"/>
        <v>17.5</v>
      </c>
    </row>
    <row r="474" ht="15.75" customHeight="1">
      <c r="A474" s="10" t="s">
        <v>1033</v>
      </c>
      <c r="B474" s="10" t="s">
        <v>1034</v>
      </c>
      <c r="C474" s="11">
        <v>0.0</v>
      </c>
      <c r="D474" s="11">
        <v>0.0</v>
      </c>
      <c r="E474" s="11">
        <v>0.0</v>
      </c>
      <c r="F474" s="11">
        <v>0.0</v>
      </c>
      <c r="G474" s="11">
        <v>0.0</v>
      </c>
      <c r="H474" s="11">
        <v>0.0</v>
      </c>
      <c r="I474" s="11">
        <v>0.0</v>
      </c>
      <c r="J474" s="11">
        <v>0.0</v>
      </c>
      <c r="K474" s="11">
        <f t="shared" si="1"/>
        <v>0</v>
      </c>
      <c r="L474" s="11">
        <f t="shared" si="2"/>
        <v>0</v>
      </c>
    </row>
    <row r="475" ht="15.75" customHeight="1">
      <c r="A475" s="10" t="s">
        <v>1035</v>
      </c>
      <c r="B475" s="10" t="s">
        <v>1036</v>
      </c>
      <c r="C475" s="11">
        <v>0.0</v>
      </c>
      <c r="D475" s="11">
        <v>0.0</v>
      </c>
      <c r="E475" s="11">
        <v>0.0</v>
      </c>
      <c r="F475" s="11">
        <v>0.0</v>
      </c>
      <c r="G475" s="11">
        <v>0.0</v>
      </c>
      <c r="H475" s="11">
        <v>10.0</v>
      </c>
      <c r="I475" s="11">
        <v>0.0</v>
      </c>
      <c r="J475" s="11">
        <v>0.0</v>
      </c>
      <c r="K475" s="11">
        <f t="shared" si="1"/>
        <v>10</v>
      </c>
      <c r="L475" s="11">
        <f t="shared" si="2"/>
        <v>2.5</v>
      </c>
    </row>
    <row r="476" ht="15.75" customHeight="1">
      <c r="A476" s="10" t="s">
        <v>1037</v>
      </c>
      <c r="B476" s="10" t="s">
        <v>1038</v>
      </c>
      <c r="C476" s="11">
        <v>0.0</v>
      </c>
      <c r="D476" s="11">
        <v>0.0</v>
      </c>
      <c r="E476" s="11">
        <v>0.0</v>
      </c>
      <c r="F476" s="11">
        <v>0.0</v>
      </c>
      <c r="G476" s="11">
        <v>0.0</v>
      </c>
      <c r="H476" s="11">
        <v>40.0</v>
      </c>
      <c r="I476" s="11">
        <v>0.0</v>
      </c>
      <c r="J476" s="11">
        <v>0.0</v>
      </c>
      <c r="K476" s="11">
        <f t="shared" si="1"/>
        <v>40</v>
      </c>
      <c r="L476" s="11">
        <f t="shared" si="2"/>
        <v>10</v>
      </c>
    </row>
    <row r="477" ht="15.75" customHeight="1">
      <c r="A477" s="10" t="s">
        <v>1039</v>
      </c>
      <c r="B477" s="10" t="s">
        <v>1040</v>
      </c>
      <c r="C477" s="11">
        <v>0.0</v>
      </c>
      <c r="D477" s="11">
        <v>0.0</v>
      </c>
      <c r="E477" s="11">
        <v>0.0</v>
      </c>
      <c r="F477" s="11">
        <v>0.0</v>
      </c>
      <c r="G477" s="11">
        <v>0.0</v>
      </c>
      <c r="H477" s="11">
        <v>10.0</v>
      </c>
      <c r="I477" s="11">
        <v>0.0</v>
      </c>
      <c r="J477" s="11">
        <v>20.0</v>
      </c>
      <c r="K477" s="11">
        <f t="shared" si="1"/>
        <v>30</v>
      </c>
      <c r="L477" s="11">
        <f t="shared" si="2"/>
        <v>7.5</v>
      </c>
    </row>
    <row r="478" ht="15.75" customHeight="1">
      <c r="A478" s="10" t="s">
        <v>1041</v>
      </c>
      <c r="B478" s="10" t="s">
        <v>1042</v>
      </c>
      <c r="C478" s="11">
        <v>0.0</v>
      </c>
      <c r="D478" s="11">
        <v>0.0</v>
      </c>
      <c r="E478" s="11">
        <v>0.0</v>
      </c>
      <c r="F478" s="11">
        <v>0.0</v>
      </c>
      <c r="G478" s="11">
        <v>0.0</v>
      </c>
      <c r="H478" s="11">
        <v>10.0</v>
      </c>
      <c r="I478" s="11">
        <v>0.0</v>
      </c>
      <c r="J478" s="11">
        <v>30.0</v>
      </c>
      <c r="K478" s="11">
        <f t="shared" si="1"/>
        <v>40</v>
      </c>
      <c r="L478" s="11">
        <f t="shared" si="2"/>
        <v>10</v>
      </c>
    </row>
    <row r="479" ht="15.75" customHeight="1">
      <c r="A479" s="10" t="s">
        <v>1043</v>
      </c>
      <c r="B479" s="10" t="s">
        <v>1044</v>
      </c>
      <c r="C479" s="11">
        <v>0.0</v>
      </c>
      <c r="D479" s="11">
        <v>0.0</v>
      </c>
      <c r="E479" s="11">
        <v>0.0</v>
      </c>
      <c r="F479" s="11">
        <v>0.0</v>
      </c>
      <c r="G479" s="11">
        <v>0.0</v>
      </c>
      <c r="H479" s="11">
        <v>40.0</v>
      </c>
      <c r="I479" s="11">
        <v>10.0</v>
      </c>
      <c r="J479" s="11">
        <v>20.0</v>
      </c>
      <c r="K479" s="11">
        <f t="shared" si="1"/>
        <v>70</v>
      </c>
      <c r="L479" s="11">
        <f t="shared" si="2"/>
        <v>17.5</v>
      </c>
    </row>
    <row r="480" ht="15.75" customHeight="1">
      <c r="A480" s="10" t="s">
        <v>1045</v>
      </c>
      <c r="B480" s="10" t="s">
        <v>1046</v>
      </c>
      <c r="C480" s="11">
        <v>0.0</v>
      </c>
      <c r="D480" s="11">
        <v>0.0</v>
      </c>
      <c r="E480" s="11">
        <v>0.0</v>
      </c>
      <c r="F480" s="11">
        <v>0.0</v>
      </c>
      <c r="G480" s="11">
        <v>0.0</v>
      </c>
      <c r="H480" s="11">
        <v>10.0</v>
      </c>
      <c r="I480" s="11">
        <v>0.0</v>
      </c>
      <c r="J480" s="11">
        <v>10.0</v>
      </c>
      <c r="K480" s="11">
        <f t="shared" si="1"/>
        <v>20</v>
      </c>
      <c r="L480" s="11">
        <f t="shared" si="2"/>
        <v>5</v>
      </c>
    </row>
    <row r="481" ht="15.75" customHeight="1">
      <c r="A481" s="10" t="s">
        <v>1047</v>
      </c>
      <c r="B481" s="10" t="s">
        <v>1048</v>
      </c>
      <c r="C481" s="11">
        <v>0.0</v>
      </c>
      <c r="D481" s="11">
        <v>0.0</v>
      </c>
      <c r="E481" s="11">
        <v>0.0</v>
      </c>
      <c r="F481" s="11">
        <v>0.0</v>
      </c>
      <c r="G481" s="11">
        <v>0.0</v>
      </c>
      <c r="H481" s="11">
        <v>0.0</v>
      </c>
      <c r="I481" s="11">
        <v>0.0</v>
      </c>
      <c r="J481" s="11">
        <v>30.0</v>
      </c>
      <c r="K481" s="11">
        <f t="shared" si="1"/>
        <v>30</v>
      </c>
      <c r="L481" s="11">
        <f t="shared" si="2"/>
        <v>7.5</v>
      </c>
    </row>
    <row r="482" ht="15.75" customHeight="1">
      <c r="A482" s="10" t="s">
        <v>1049</v>
      </c>
      <c r="B482" s="10" t="s">
        <v>1050</v>
      </c>
      <c r="C482" s="11">
        <v>0.0</v>
      </c>
      <c r="D482" s="11">
        <v>0.0</v>
      </c>
      <c r="E482" s="11">
        <v>0.0</v>
      </c>
      <c r="F482" s="11">
        <v>0.0</v>
      </c>
      <c r="G482" s="11">
        <v>0.0</v>
      </c>
      <c r="H482" s="11">
        <v>50.0</v>
      </c>
      <c r="I482" s="11">
        <v>0.0</v>
      </c>
      <c r="J482" s="11">
        <v>10.0</v>
      </c>
      <c r="K482" s="11">
        <f t="shared" si="1"/>
        <v>60</v>
      </c>
      <c r="L482" s="11">
        <f t="shared" si="2"/>
        <v>15</v>
      </c>
    </row>
    <row r="483" ht="15.75" customHeight="1">
      <c r="A483" s="10" t="s">
        <v>1051</v>
      </c>
      <c r="B483" s="10" t="s">
        <v>1052</v>
      </c>
      <c r="C483" s="11">
        <v>0.0</v>
      </c>
      <c r="D483" s="11">
        <v>0.0</v>
      </c>
      <c r="E483" s="11">
        <v>0.0</v>
      </c>
      <c r="F483" s="11">
        <v>0.0</v>
      </c>
      <c r="G483" s="11">
        <v>0.0</v>
      </c>
      <c r="H483" s="11">
        <v>10.0</v>
      </c>
      <c r="I483" s="11">
        <v>0.0</v>
      </c>
      <c r="J483" s="11">
        <v>0.0</v>
      </c>
      <c r="K483" s="11">
        <f t="shared" si="1"/>
        <v>10</v>
      </c>
      <c r="L483" s="11">
        <f t="shared" si="2"/>
        <v>2.5</v>
      </c>
    </row>
    <row r="484" ht="15.75" customHeight="1">
      <c r="A484" s="10" t="s">
        <v>1053</v>
      </c>
      <c r="B484" s="10" t="s">
        <v>1054</v>
      </c>
      <c r="C484" s="11">
        <v>0.0</v>
      </c>
      <c r="D484" s="11">
        <v>0.0</v>
      </c>
      <c r="E484" s="11">
        <v>0.0</v>
      </c>
      <c r="F484" s="11">
        <v>0.0</v>
      </c>
      <c r="G484" s="11">
        <v>0.0</v>
      </c>
      <c r="H484" s="11">
        <v>20.0</v>
      </c>
      <c r="I484" s="11">
        <v>0.0</v>
      </c>
      <c r="J484" s="11">
        <v>0.0</v>
      </c>
      <c r="K484" s="11">
        <f t="shared" si="1"/>
        <v>20</v>
      </c>
      <c r="L484" s="11">
        <f t="shared" si="2"/>
        <v>5</v>
      </c>
    </row>
    <row r="485" ht="15.75" customHeight="1">
      <c r="A485" s="10" t="s">
        <v>1055</v>
      </c>
      <c r="B485" s="10" t="s">
        <v>1056</v>
      </c>
      <c r="C485" s="11">
        <v>0.0</v>
      </c>
      <c r="D485" s="11">
        <v>0.0</v>
      </c>
      <c r="E485" s="11">
        <v>0.0</v>
      </c>
      <c r="F485" s="11">
        <v>0.0</v>
      </c>
      <c r="G485" s="11">
        <v>0.0</v>
      </c>
      <c r="H485" s="11">
        <v>50.0</v>
      </c>
      <c r="I485" s="11">
        <v>0.0</v>
      </c>
      <c r="J485" s="11">
        <v>0.0</v>
      </c>
      <c r="K485" s="11">
        <f t="shared" si="1"/>
        <v>50</v>
      </c>
      <c r="L485" s="11">
        <f t="shared" si="2"/>
        <v>12.5</v>
      </c>
    </row>
    <row r="486" ht="15.75" customHeight="1">
      <c r="A486" s="10" t="s">
        <v>1057</v>
      </c>
      <c r="B486" s="10" t="s">
        <v>1058</v>
      </c>
      <c r="C486" s="11">
        <v>0.0</v>
      </c>
      <c r="D486" s="11">
        <v>0.0</v>
      </c>
      <c r="E486" s="11">
        <v>0.0</v>
      </c>
      <c r="F486" s="11">
        <v>0.0</v>
      </c>
      <c r="G486" s="11">
        <v>0.0</v>
      </c>
      <c r="H486" s="11">
        <v>40.0</v>
      </c>
      <c r="I486" s="11">
        <v>0.0</v>
      </c>
      <c r="J486" s="11">
        <v>0.0</v>
      </c>
      <c r="K486" s="11">
        <f t="shared" si="1"/>
        <v>40</v>
      </c>
      <c r="L486" s="11">
        <f t="shared" si="2"/>
        <v>10</v>
      </c>
    </row>
    <row r="487" ht="15.75" customHeight="1">
      <c r="A487" s="10" t="s">
        <v>1059</v>
      </c>
      <c r="B487" s="10" t="s">
        <v>1060</v>
      </c>
      <c r="C487" s="11">
        <v>0.0</v>
      </c>
      <c r="D487" s="11">
        <v>0.0</v>
      </c>
      <c r="E487" s="11">
        <v>0.0</v>
      </c>
      <c r="F487" s="11">
        <v>0.0</v>
      </c>
      <c r="G487" s="11">
        <v>0.0</v>
      </c>
      <c r="H487" s="11">
        <v>10.0</v>
      </c>
      <c r="I487" s="11">
        <v>0.0</v>
      </c>
      <c r="J487" s="11">
        <v>0.0</v>
      </c>
      <c r="K487" s="11">
        <f t="shared" si="1"/>
        <v>10</v>
      </c>
      <c r="L487" s="11">
        <f t="shared" si="2"/>
        <v>2.5</v>
      </c>
    </row>
    <row r="488" ht="15.75" customHeight="1">
      <c r="A488" s="10" t="s">
        <v>1061</v>
      </c>
      <c r="B488" s="10" t="s">
        <v>1062</v>
      </c>
      <c r="C488" s="11">
        <v>0.0</v>
      </c>
      <c r="D488" s="11">
        <v>0.0</v>
      </c>
      <c r="E488" s="11">
        <v>0.0</v>
      </c>
      <c r="F488" s="11">
        <v>0.0</v>
      </c>
      <c r="G488" s="11">
        <v>0.0</v>
      </c>
      <c r="H488" s="11">
        <v>10.0</v>
      </c>
      <c r="I488" s="11">
        <v>0.0</v>
      </c>
      <c r="J488" s="11">
        <v>0.0</v>
      </c>
      <c r="K488" s="11">
        <f t="shared" si="1"/>
        <v>10</v>
      </c>
      <c r="L488" s="11">
        <f t="shared" si="2"/>
        <v>2.5</v>
      </c>
    </row>
    <row r="489" ht="15.75" customHeight="1">
      <c r="A489" s="10" t="s">
        <v>1063</v>
      </c>
      <c r="B489" s="10" t="s">
        <v>1064</v>
      </c>
      <c r="C489" s="11">
        <v>0.0</v>
      </c>
      <c r="D489" s="11">
        <v>0.0</v>
      </c>
      <c r="E489" s="11">
        <v>0.0</v>
      </c>
      <c r="F489" s="11">
        <v>0.0</v>
      </c>
      <c r="G489" s="11">
        <v>0.0</v>
      </c>
      <c r="H489" s="11">
        <v>30.0</v>
      </c>
      <c r="I489" s="11">
        <v>0.0</v>
      </c>
      <c r="J489" s="11">
        <v>0.0</v>
      </c>
      <c r="K489" s="11">
        <f t="shared" si="1"/>
        <v>30</v>
      </c>
      <c r="L489" s="11">
        <f t="shared" si="2"/>
        <v>7.5</v>
      </c>
    </row>
    <row r="490" ht="15.75" customHeight="1">
      <c r="A490" s="10" t="s">
        <v>1066</v>
      </c>
      <c r="B490" s="10" t="s">
        <v>1067</v>
      </c>
      <c r="C490" s="11">
        <v>0.0</v>
      </c>
      <c r="D490" s="11">
        <v>0.0</v>
      </c>
      <c r="E490" s="11">
        <v>0.0</v>
      </c>
      <c r="F490" s="11">
        <v>0.0</v>
      </c>
      <c r="G490" s="11">
        <v>0.0</v>
      </c>
      <c r="H490" s="11">
        <v>0.0</v>
      </c>
      <c r="I490" s="11">
        <v>0.0</v>
      </c>
      <c r="J490" s="11">
        <v>0.0</v>
      </c>
      <c r="K490" s="11">
        <f t="shared" si="1"/>
        <v>0</v>
      </c>
      <c r="L490" s="11">
        <f t="shared" si="2"/>
        <v>0</v>
      </c>
    </row>
    <row r="491" ht="15.75" customHeight="1">
      <c r="A491" s="10" t="s">
        <v>1068</v>
      </c>
      <c r="B491" s="10" t="s">
        <v>1069</v>
      </c>
      <c r="C491" s="11">
        <v>0.0</v>
      </c>
      <c r="D491" s="11">
        <v>0.0</v>
      </c>
      <c r="E491" s="11">
        <v>0.0</v>
      </c>
      <c r="F491" s="11">
        <v>0.0</v>
      </c>
      <c r="G491" s="11">
        <v>0.0</v>
      </c>
      <c r="H491" s="11">
        <v>20.0</v>
      </c>
      <c r="I491" s="11">
        <v>0.0</v>
      </c>
      <c r="J491" s="11">
        <v>0.0</v>
      </c>
      <c r="K491" s="11">
        <f t="shared" si="1"/>
        <v>20</v>
      </c>
      <c r="L491" s="11">
        <f t="shared" si="2"/>
        <v>5</v>
      </c>
    </row>
    <row r="492" ht="15.75" customHeight="1">
      <c r="A492" s="10" t="s">
        <v>1070</v>
      </c>
      <c r="B492" s="10" t="s">
        <v>1071</v>
      </c>
      <c r="C492" s="11">
        <v>0.0</v>
      </c>
      <c r="D492" s="11">
        <v>0.0</v>
      </c>
      <c r="E492" s="11">
        <v>0.0</v>
      </c>
      <c r="F492" s="11">
        <v>0.0</v>
      </c>
      <c r="G492" s="11">
        <v>0.0</v>
      </c>
      <c r="H492" s="11">
        <v>30.0</v>
      </c>
      <c r="I492" s="11">
        <v>0.0</v>
      </c>
      <c r="J492" s="11">
        <v>0.0</v>
      </c>
      <c r="K492" s="11">
        <f t="shared" si="1"/>
        <v>30</v>
      </c>
      <c r="L492" s="11">
        <f t="shared" si="2"/>
        <v>7.5</v>
      </c>
    </row>
    <row r="493" ht="15.75" customHeight="1">
      <c r="A493" s="10" t="s">
        <v>1072</v>
      </c>
      <c r="B493" s="10" t="s">
        <v>1073</v>
      </c>
      <c r="C493" s="11">
        <v>0.0</v>
      </c>
      <c r="D493" s="11">
        <v>0.0</v>
      </c>
      <c r="E493" s="11">
        <v>0.0</v>
      </c>
      <c r="F493" s="11">
        <v>0.0</v>
      </c>
      <c r="G493" s="11">
        <v>0.0</v>
      </c>
      <c r="H493" s="11">
        <v>0.0</v>
      </c>
      <c r="I493" s="11">
        <v>0.0</v>
      </c>
      <c r="J493" s="11">
        <v>20.0</v>
      </c>
      <c r="K493" s="11">
        <f t="shared" si="1"/>
        <v>20</v>
      </c>
      <c r="L493" s="11">
        <f t="shared" si="2"/>
        <v>5</v>
      </c>
    </row>
    <row r="494" ht="15.75" customHeight="1">
      <c r="A494" s="10" t="s">
        <v>1074</v>
      </c>
      <c r="B494" s="10" t="s">
        <v>1075</v>
      </c>
      <c r="C494" s="11">
        <v>0.0</v>
      </c>
      <c r="D494" s="11">
        <v>0.0</v>
      </c>
      <c r="E494" s="11">
        <v>0.0</v>
      </c>
      <c r="F494" s="11">
        <v>0.0</v>
      </c>
      <c r="G494" s="11">
        <v>0.0</v>
      </c>
      <c r="H494" s="11">
        <v>20.0</v>
      </c>
      <c r="I494" s="11">
        <v>0.0</v>
      </c>
      <c r="J494" s="11">
        <v>0.0</v>
      </c>
      <c r="K494" s="11">
        <f t="shared" si="1"/>
        <v>20</v>
      </c>
      <c r="L494" s="11">
        <f t="shared" si="2"/>
        <v>5</v>
      </c>
    </row>
    <row r="495" ht="15.75" customHeight="1">
      <c r="A495" s="10" t="s">
        <v>1076</v>
      </c>
      <c r="B495" s="10" t="s">
        <v>1077</v>
      </c>
      <c r="C495" s="11">
        <v>0.0</v>
      </c>
      <c r="D495" s="11">
        <v>0.0</v>
      </c>
      <c r="E495" s="11">
        <v>0.0</v>
      </c>
      <c r="F495" s="11">
        <v>0.0</v>
      </c>
      <c r="G495" s="11">
        <v>0.0</v>
      </c>
      <c r="H495" s="11">
        <v>0.0</v>
      </c>
      <c r="I495" s="11">
        <v>0.0</v>
      </c>
      <c r="J495" s="11">
        <v>0.0</v>
      </c>
      <c r="K495" s="11">
        <f t="shared" si="1"/>
        <v>0</v>
      </c>
      <c r="L495" s="11">
        <f t="shared" si="2"/>
        <v>0</v>
      </c>
    </row>
    <row r="496" ht="15.75" customHeight="1">
      <c r="A496" s="10" t="s">
        <v>1078</v>
      </c>
      <c r="B496" s="10" t="s">
        <v>1079</v>
      </c>
      <c r="C496" s="11">
        <v>0.0</v>
      </c>
      <c r="D496" s="11">
        <v>0.0</v>
      </c>
      <c r="E496" s="11">
        <v>0.0</v>
      </c>
      <c r="F496" s="11">
        <v>0.0</v>
      </c>
      <c r="G496" s="11">
        <v>0.0</v>
      </c>
      <c r="H496" s="11">
        <v>0.0</v>
      </c>
      <c r="I496" s="11">
        <v>0.0</v>
      </c>
      <c r="J496" s="11">
        <v>0.0</v>
      </c>
      <c r="K496" s="11">
        <f t="shared" si="1"/>
        <v>0</v>
      </c>
      <c r="L496" s="11">
        <f t="shared" si="2"/>
        <v>0</v>
      </c>
    </row>
    <row r="497" ht="15.75" customHeight="1">
      <c r="A497" s="10" t="s">
        <v>1080</v>
      </c>
      <c r="B497" s="10" t="s">
        <v>1081</v>
      </c>
      <c r="C497" s="11">
        <v>0.0</v>
      </c>
      <c r="D497" s="11">
        <v>0.0</v>
      </c>
      <c r="E497" s="11">
        <v>0.0</v>
      </c>
      <c r="F497" s="11">
        <v>0.0</v>
      </c>
      <c r="G497" s="11">
        <v>0.0</v>
      </c>
      <c r="H497" s="11">
        <v>0.0</v>
      </c>
      <c r="I497" s="11">
        <v>0.0</v>
      </c>
      <c r="J497" s="11">
        <v>0.0</v>
      </c>
      <c r="K497" s="11">
        <f t="shared" si="1"/>
        <v>0</v>
      </c>
      <c r="L497" s="11">
        <f t="shared" si="2"/>
        <v>0</v>
      </c>
    </row>
    <row r="498" ht="15.75" customHeight="1">
      <c r="A498" s="10" t="s">
        <v>1082</v>
      </c>
      <c r="B498" s="10" t="s">
        <v>1083</v>
      </c>
      <c r="C498" s="11">
        <v>0.0</v>
      </c>
      <c r="D498" s="11">
        <v>0.0</v>
      </c>
      <c r="E498" s="11">
        <v>0.0</v>
      </c>
      <c r="F498" s="11">
        <v>0.0</v>
      </c>
      <c r="G498" s="11">
        <v>0.0</v>
      </c>
      <c r="H498" s="11">
        <v>0.0</v>
      </c>
      <c r="I498" s="11">
        <v>0.0</v>
      </c>
      <c r="J498" s="11">
        <v>0.0</v>
      </c>
      <c r="K498" s="11">
        <f t="shared" si="1"/>
        <v>0</v>
      </c>
      <c r="L498" s="11">
        <f t="shared" si="2"/>
        <v>0</v>
      </c>
    </row>
    <row r="499" ht="15.75" customHeight="1">
      <c r="A499" s="10" t="s">
        <v>1084</v>
      </c>
      <c r="B499" s="10" t="s">
        <v>1085</v>
      </c>
      <c r="C499" s="11">
        <v>0.0</v>
      </c>
      <c r="D499" s="11">
        <v>0.0</v>
      </c>
      <c r="E499" s="11">
        <v>0.0</v>
      </c>
      <c r="F499" s="11">
        <v>0.0</v>
      </c>
      <c r="G499" s="11">
        <v>0.0</v>
      </c>
      <c r="H499" s="11">
        <v>0.0</v>
      </c>
      <c r="I499" s="11">
        <v>0.0</v>
      </c>
      <c r="J499" s="11">
        <v>0.0</v>
      </c>
      <c r="K499" s="11">
        <f t="shared" si="1"/>
        <v>0</v>
      </c>
      <c r="L499" s="11">
        <f t="shared" si="2"/>
        <v>0</v>
      </c>
    </row>
    <row r="500" ht="15.75" customHeight="1">
      <c r="A500" s="10" t="s">
        <v>1086</v>
      </c>
      <c r="B500" s="10" t="s">
        <v>1087</v>
      </c>
      <c r="C500" s="11">
        <v>0.0</v>
      </c>
      <c r="D500" s="11">
        <v>0.0</v>
      </c>
      <c r="E500" s="11">
        <v>0.0</v>
      </c>
      <c r="F500" s="11">
        <v>0.0</v>
      </c>
      <c r="G500" s="11">
        <v>0.0</v>
      </c>
      <c r="H500" s="11">
        <v>0.0</v>
      </c>
      <c r="I500" s="11">
        <v>0.0</v>
      </c>
      <c r="J500" s="11">
        <v>0.0</v>
      </c>
      <c r="K500" s="11">
        <f t="shared" si="1"/>
        <v>0</v>
      </c>
      <c r="L500" s="11">
        <f t="shared" si="2"/>
        <v>0</v>
      </c>
    </row>
    <row r="501" ht="15.75" customHeight="1">
      <c r="A501" s="10" t="s">
        <v>1088</v>
      </c>
      <c r="B501" s="10" t="s">
        <v>1089</v>
      </c>
      <c r="C501" s="11">
        <v>0.0</v>
      </c>
      <c r="D501" s="11">
        <v>0.0</v>
      </c>
      <c r="E501" s="11">
        <v>0.0</v>
      </c>
      <c r="F501" s="11">
        <v>0.0</v>
      </c>
      <c r="G501" s="11">
        <v>0.0</v>
      </c>
      <c r="H501" s="11">
        <v>0.0</v>
      </c>
      <c r="I501" s="11">
        <v>0.0</v>
      </c>
      <c r="J501" s="11">
        <v>0.0</v>
      </c>
      <c r="K501" s="11">
        <f t="shared" si="1"/>
        <v>0</v>
      </c>
      <c r="L501" s="11">
        <f t="shared" si="2"/>
        <v>0</v>
      </c>
    </row>
    <row r="502" ht="15.75" customHeight="1">
      <c r="A502" s="10" t="s">
        <v>1090</v>
      </c>
      <c r="B502" s="10" t="s">
        <v>1091</v>
      </c>
      <c r="C502" s="11">
        <v>0.0</v>
      </c>
      <c r="D502" s="11">
        <v>0.0</v>
      </c>
      <c r="E502" s="11">
        <v>0.0</v>
      </c>
      <c r="F502" s="11">
        <v>0.0</v>
      </c>
      <c r="G502" s="11">
        <v>0.0</v>
      </c>
      <c r="H502" s="11">
        <v>0.0</v>
      </c>
      <c r="I502" s="11">
        <v>0.0</v>
      </c>
      <c r="J502" s="11">
        <v>0.0</v>
      </c>
      <c r="K502" s="11">
        <f t="shared" si="1"/>
        <v>0</v>
      </c>
      <c r="L502" s="11">
        <f t="shared" si="2"/>
        <v>0</v>
      </c>
    </row>
    <row r="503" ht="15.75" customHeight="1">
      <c r="A503" s="10" t="s">
        <v>1092</v>
      </c>
      <c r="B503" s="10" t="s">
        <v>1093</v>
      </c>
      <c r="C503" s="11">
        <v>0.0</v>
      </c>
      <c r="D503" s="11">
        <v>0.0</v>
      </c>
      <c r="E503" s="11">
        <v>0.0</v>
      </c>
      <c r="F503" s="11">
        <v>0.0</v>
      </c>
      <c r="G503" s="11">
        <v>0.0</v>
      </c>
      <c r="H503" s="11">
        <v>0.0</v>
      </c>
      <c r="I503" s="11">
        <v>0.0</v>
      </c>
      <c r="J503" s="11">
        <v>0.0</v>
      </c>
      <c r="K503" s="11">
        <f t="shared" si="1"/>
        <v>0</v>
      </c>
      <c r="L503" s="11">
        <f t="shared" si="2"/>
        <v>0</v>
      </c>
    </row>
    <row r="504" ht="15.75" customHeight="1">
      <c r="A504" s="10" t="s">
        <v>1094</v>
      </c>
      <c r="B504" s="10" t="s">
        <v>1095</v>
      </c>
      <c r="C504" s="11">
        <v>0.0</v>
      </c>
      <c r="D504" s="11">
        <v>0.0</v>
      </c>
      <c r="E504" s="11">
        <v>0.0</v>
      </c>
      <c r="F504" s="11">
        <v>0.0</v>
      </c>
      <c r="G504" s="11">
        <v>0.0</v>
      </c>
      <c r="H504" s="11">
        <v>0.0</v>
      </c>
      <c r="I504" s="11">
        <v>0.0</v>
      </c>
      <c r="J504" s="11">
        <v>0.0</v>
      </c>
      <c r="K504" s="11">
        <f t="shared" si="1"/>
        <v>0</v>
      </c>
      <c r="L504" s="11">
        <f t="shared" si="2"/>
        <v>0</v>
      </c>
    </row>
    <row r="505" ht="15.75" customHeight="1">
      <c r="A505" s="10" t="s">
        <v>1096</v>
      </c>
      <c r="B505" s="10" t="s">
        <v>1097</v>
      </c>
      <c r="C505" s="11">
        <v>0.0</v>
      </c>
      <c r="D505" s="11">
        <v>0.0</v>
      </c>
      <c r="E505" s="11">
        <v>0.0</v>
      </c>
      <c r="F505" s="11">
        <v>0.0</v>
      </c>
      <c r="G505" s="11">
        <v>0.0</v>
      </c>
      <c r="H505" s="11">
        <v>0.0</v>
      </c>
      <c r="I505" s="11">
        <v>0.0</v>
      </c>
      <c r="J505" s="11">
        <v>0.0</v>
      </c>
      <c r="K505" s="11">
        <f t="shared" si="1"/>
        <v>0</v>
      </c>
      <c r="L505" s="11">
        <f t="shared" si="2"/>
        <v>0</v>
      </c>
    </row>
    <row r="506" ht="15.75" customHeight="1">
      <c r="A506" s="10" t="s">
        <v>1098</v>
      </c>
      <c r="B506" s="10" t="s">
        <v>1099</v>
      </c>
      <c r="C506" s="11">
        <v>0.0</v>
      </c>
      <c r="D506" s="11">
        <v>0.0</v>
      </c>
      <c r="E506" s="11">
        <v>0.0</v>
      </c>
      <c r="F506" s="11">
        <v>0.0</v>
      </c>
      <c r="G506" s="11">
        <v>0.0</v>
      </c>
      <c r="H506" s="11">
        <v>0.0</v>
      </c>
      <c r="I506" s="11">
        <v>0.0</v>
      </c>
      <c r="J506" s="11">
        <v>0.0</v>
      </c>
      <c r="K506" s="11">
        <f t="shared" si="1"/>
        <v>0</v>
      </c>
      <c r="L506" s="11">
        <f t="shared" si="2"/>
        <v>0</v>
      </c>
    </row>
    <row r="507" ht="15.75" customHeight="1">
      <c r="A507" s="10" t="s">
        <v>1100</v>
      </c>
      <c r="B507" s="10" t="s">
        <v>1101</v>
      </c>
      <c r="C507" s="11">
        <v>0.0</v>
      </c>
      <c r="D507" s="11">
        <v>0.0</v>
      </c>
      <c r="E507" s="11">
        <v>0.0</v>
      </c>
      <c r="F507" s="11">
        <v>0.0</v>
      </c>
      <c r="G507" s="11">
        <v>0.0</v>
      </c>
      <c r="H507" s="11">
        <v>0.0</v>
      </c>
      <c r="I507" s="11">
        <v>0.0</v>
      </c>
      <c r="J507" s="11">
        <v>0.0</v>
      </c>
      <c r="K507" s="11">
        <f t="shared" si="1"/>
        <v>0</v>
      </c>
      <c r="L507" s="11">
        <f t="shared" si="2"/>
        <v>0</v>
      </c>
    </row>
    <row r="508" ht="15.75" customHeight="1">
      <c r="A508" s="10" t="s">
        <v>1104</v>
      </c>
      <c r="B508" s="10" t="s">
        <v>1105</v>
      </c>
      <c r="C508" s="11">
        <v>0.0</v>
      </c>
      <c r="D508" s="11">
        <v>0.0</v>
      </c>
      <c r="E508" s="11">
        <v>0.0</v>
      </c>
      <c r="F508" s="11">
        <v>0.0</v>
      </c>
      <c r="G508" s="11">
        <v>0.0</v>
      </c>
      <c r="H508" s="11">
        <v>0.0</v>
      </c>
      <c r="I508" s="11">
        <v>0.0</v>
      </c>
      <c r="J508" s="11">
        <v>0.0</v>
      </c>
      <c r="K508" s="11">
        <f t="shared" si="1"/>
        <v>0</v>
      </c>
      <c r="L508" s="11">
        <f t="shared" si="2"/>
        <v>0</v>
      </c>
    </row>
    <row r="509" ht="15.75" customHeight="1">
      <c r="A509" s="10" t="s">
        <v>1106</v>
      </c>
      <c r="B509" s="10" t="s">
        <v>1107</v>
      </c>
      <c r="C509" s="11">
        <v>0.0</v>
      </c>
      <c r="D509" s="11">
        <v>0.0</v>
      </c>
      <c r="E509" s="11">
        <v>0.0</v>
      </c>
      <c r="F509" s="11">
        <v>0.0</v>
      </c>
      <c r="G509" s="11">
        <v>0.0</v>
      </c>
      <c r="H509" s="11">
        <v>0.0</v>
      </c>
      <c r="I509" s="11">
        <v>0.0</v>
      </c>
      <c r="J509" s="11">
        <v>0.0</v>
      </c>
      <c r="K509" s="11">
        <f t="shared" si="1"/>
        <v>0</v>
      </c>
      <c r="L509" s="11">
        <f t="shared" si="2"/>
        <v>0</v>
      </c>
    </row>
    <row r="510" ht="15.75" customHeight="1">
      <c r="A510" s="10" t="s">
        <v>1108</v>
      </c>
      <c r="B510" s="10" t="s">
        <v>1109</v>
      </c>
      <c r="C510" s="11">
        <v>0.0</v>
      </c>
      <c r="D510" s="11">
        <v>0.0</v>
      </c>
      <c r="E510" s="11">
        <v>0.0</v>
      </c>
      <c r="F510" s="11">
        <v>0.0</v>
      </c>
      <c r="G510" s="11">
        <v>0.0</v>
      </c>
      <c r="H510" s="11">
        <v>0.0</v>
      </c>
      <c r="I510" s="11">
        <v>0.0</v>
      </c>
      <c r="J510" s="11">
        <v>0.0</v>
      </c>
      <c r="K510" s="11">
        <f t="shared" si="1"/>
        <v>0</v>
      </c>
      <c r="L510" s="11">
        <f t="shared" si="2"/>
        <v>0</v>
      </c>
    </row>
    <row r="511" ht="15.75" customHeight="1">
      <c r="A511" s="10" t="s">
        <v>1110</v>
      </c>
      <c r="B511" s="10" t="s">
        <v>1111</v>
      </c>
      <c r="C511" s="11">
        <v>0.0</v>
      </c>
      <c r="D511" s="11">
        <v>0.0</v>
      </c>
      <c r="E511" s="11">
        <v>0.0</v>
      </c>
      <c r="F511" s="11">
        <v>0.0</v>
      </c>
      <c r="G511" s="11">
        <v>0.0</v>
      </c>
      <c r="H511" s="11">
        <v>0.0</v>
      </c>
      <c r="I511" s="11">
        <v>0.0</v>
      </c>
      <c r="J511" s="11">
        <v>0.0</v>
      </c>
      <c r="K511" s="11">
        <f t="shared" si="1"/>
        <v>0</v>
      </c>
      <c r="L511" s="11">
        <f t="shared" si="2"/>
        <v>0</v>
      </c>
    </row>
    <row r="512" ht="15.75" customHeight="1">
      <c r="A512" s="10" t="s">
        <v>1112</v>
      </c>
      <c r="B512" s="10" t="s">
        <v>1113</v>
      </c>
      <c r="C512" s="11">
        <v>0.0</v>
      </c>
      <c r="D512" s="11">
        <v>0.0</v>
      </c>
      <c r="E512" s="11">
        <v>0.0</v>
      </c>
      <c r="F512" s="11">
        <v>0.0</v>
      </c>
      <c r="G512" s="11">
        <v>0.0</v>
      </c>
      <c r="H512" s="11">
        <v>0.0</v>
      </c>
      <c r="I512" s="11">
        <v>0.0</v>
      </c>
      <c r="J512" s="11">
        <v>0.0</v>
      </c>
      <c r="K512" s="11">
        <f t="shared" si="1"/>
        <v>0</v>
      </c>
      <c r="L512" s="11">
        <f t="shared" si="2"/>
        <v>0</v>
      </c>
    </row>
    <row r="513" ht="15.75" customHeight="1">
      <c r="A513" s="10" t="s">
        <v>1114</v>
      </c>
      <c r="B513" s="10" t="s">
        <v>1115</v>
      </c>
      <c r="C513" s="11">
        <v>0.0</v>
      </c>
      <c r="D513" s="11">
        <v>0.0</v>
      </c>
      <c r="E513" s="11">
        <v>0.0</v>
      </c>
      <c r="F513" s="11">
        <v>0.0</v>
      </c>
      <c r="G513" s="11">
        <v>0.0</v>
      </c>
      <c r="H513" s="11">
        <v>0.0</v>
      </c>
      <c r="I513" s="11">
        <v>0.0</v>
      </c>
      <c r="J513" s="11">
        <v>0.0</v>
      </c>
      <c r="K513" s="11">
        <f t="shared" si="1"/>
        <v>0</v>
      </c>
      <c r="L513" s="11">
        <f t="shared" si="2"/>
        <v>0</v>
      </c>
    </row>
    <row r="514" ht="15.75" customHeight="1">
      <c r="A514" s="10" t="s">
        <v>1116</v>
      </c>
      <c r="B514" s="10" t="s">
        <v>1117</v>
      </c>
      <c r="C514" s="11">
        <v>0.0</v>
      </c>
      <c r="D514" s="11">
        <v>0.0</v>
      </c>
      <c r="E514" s="11">
        <v>0.0</v>
      </c>
      <c r="F514" s="11">
        <v>0.0</v>
      </c>
      <c r="G514" s="11">
        <v>0.0</v>
      </c>
      <c r="H514" s="11">
        <v>0.0</v>
      </c>
      <c r="I514" s="11">
        <v>0.0</v>
      </c>
      <c r="J514" s="11">
        <v>0.0</v>
      </c>
      <c r="K514" s="11">
        <f t="shared" si="1"/>
        <v>0</v>
      </c>
      <c r="L514" s="11">
        <f t="shared" si="2"/>
        <v>0</v>
      </c>
    </row>
    <row r="515" ht="15.75" customHeight="1">
      <c r="A515" s="10" t="s">
        <v>1118</v>
      </c>
      <c r="B515" s="10" t="s">
        <v>1119</v>
      </c>
      <c r="C515" s="11">
        <v>0.0</v>
      </c>
      <c r="D515" s="11">
        <v>0.0</v>
      </c>
      <c r="E515" s="11">
        <v>0.0</v>
      </c>
      <c r="F515" s="11">
        <v>0.0</v>
      </c>
      <c r="G515" s="11">
        <v>0.0</v>
      </c>
      <c r="H515" s="11">
        <v>0.0</v>
      </c>
      <c r="I515" s="11">
        <v>0.0</v>
      </c>
      <c r="J515" s="11">
        <v>0.0</v>
      </c>
      <c r="K515" s="11">
        <f t="shared" si="1"/>
        <v>0</v>
      </c>
      <c r="L515" s="11">
        <f t="shared" si="2"/>
        <v>0</v>
      </c>
    </row>
    <row r="516" ht="15.75" customHeight="1">
      <c r="A516" s="10" t="s">
        <v>1120</v>
      </c>
      <c r="B516" s="10" t="s">
        <v>1121</v>
      </c>
      <c r="C516" s="11">
        <v>0.0</v>
      </c>
      <c r="D516" s="11">
        <v>0.0</v>
      </c>
      <c r="E516" s="11">
        <v>0.0</v>
      </c>
      <c r="F516" s="11">
        <v>0.0</v>
      </c>
      <c r="G516" s="11">
        <v>0.0</v>
      </c>
      <c r="H516" s="11">
        <v>0.0</v>
      </c>
      <c r="I516" s="11">
        <v>0.0</v>
      </c>
      <c r="J516" s="11">
        <v>0.0</v>
      </c>
      <c r="K516" s="11">
        <f t="shared" si="1"/>
        <v>0</v>
      </c>
      <c r="L516" s="11">
        <f t="shared" si="2"/>
        <v>0</v>
      </c>
    </row>
    <row r="517" ht="15.75" customHeight="1">
      <c r="A517" s="10" t="s">
        <v>1122</v>
      </c>
      <c r="B517" s="10" t="s">
        <v>1123</v>
      </c>
      <c r="C517" s="11">
        <v>0.0</v>
      </c>
      <c r="D517" s="11">
        <v>0.0</v>
      </c>
      <c r="E517" s="11">
        <v>0.0</v>
      </c>
      <c r="F517" s="11">
        <v>0.0</v>
      </c>
      <c r="G517" s="11">
        <v>0.0</v>
      </c>
      <c r="H517" s="11">
        <v>0.0</v>
      </c>
      <c r="I517" s="11">
        <v>0.0</v>
      </c>
      <c r="J517" s="11">
        <v>0.0</v>
      </c>
      <c r="K517" s="11">
        <f t="shared" si="1"/>
        <v>0</v>
      </c>
      <c r="L517" s="11">
        <f t="shared" si="2"/>
        <v>0</v>
      </c>
    </row>
    <row r="518" ht="15.75" customHeight="1">
      <c r="A518" s="10" t="s">
        <v>1124</v>
      </c>
      <c r="B518" s="10" t="s">
        <v>1125</v>
      </c>
      <c r="C518" s="11">
        <v>0.0</v>
      </c>
      <c r="D518" s="11">
        <v>0.0</v>
      </c>
      <c r="E518" s="11">
        <v>0.0</v>
      </c>
      <c r="F518" s="11">
        <v>0.0</v>
      </c>
      <c r="G518" s="11">
        <v>0.0</v>
      </c>
      <c r="H518" s="11">
        <v>0.0</v>
      </c>
      <c r="I518" s="11">
        <v>0.0</v>
      </c>
      <c r="J518" s="11">
        <v>0.0</v>
      </c>
      <c r="K518" s="11">
        <f t="shared" si="1"/>
        <v>0</v>
      </c>
      <c r="L518" s="11">
        <f t="shared" si="2"/>
        <v>0</v>
      </c>
    </row>
    <row r="519" ht="15.75" customHeight="1">
      <c r="A519" s="10" t="s">
        <v>1126</v>
      </c>
      <c r="B519" s="10" t="s">
        <v>1127</v>
      </c>
      <c r="C519" s="11">
        <v>0.0</v>
      </c>
      <c r="D519" s="11">
        <v>0.0</v>
      </c>
      <c r="E519" s="11">
        <v>0.0</v>
      </c>
      <c r="F519" s="11">
        <v>0.0</v>
      </c>
      <c r="G519" s="11">
        <v>0.0</v>
      </c>
      <c r="H519" s="11">
        <v>0.0</v>
      </c>
      <c r="I519" s="11">
        <v>0.0</v>
      </c>
      <c r="J519" s="11">
        <v>0.0</v>
      </c>
      <c r="K519" s="11">
        <f t="shared" si="1"/>
        <v>0</v>
      </c>
      <c r="L519" s="11">
        <f t="shared" si="2"/>
        <v>0</v>
      </c>
    </row>
    <row r="520" ht="15.75" customHeight="1">
      <c r="A520" s="10" t="s">
        <v>1128</v>
      </c>
      <c r="B520" s="10" t="s">
        <v>1129</v>
      </c>
      <c r="C520" s="11">
        <v>0.0</v>
      </c>
      <c r="D520" s="11">
        <v>0.0</v>
      </c>
      <c r="E520" s="11">
        <v>0.0</v>
      </c>
      <c r="F520" s="11">
        <v>0.0</v>
      </c>
      <c r="G520" s="11">
        <v>0.0</v>
      </c>
      <c r="H520" s="11">
        <v>0.0</v>
      </c>
      <c r="I520" s="11">
        <v>0.0</v>
      </c>
      <c r="J520" s="11">
        <v>0.0</v>
      </c>
      <c r="K520" s="11">
        <f t="shared" si="1"/>
        <v>0</v>
      </c>
      <c r="L520" s="11">
        <f t="shared" si="2"/>
        <v>0</v>
      </c>
    </row>
    <row r="521" ht="15.75" customHeight="1">
      <c r="A521" s="10" t="s">
        <v>1130</v>
      </c>
      <c r="B521" s="10" t="s">
        <v>1131</v>
      </c>
      <c r="C521" s="11">
        <v>0.0</v>
      </c>
      <c r="D521" s="11">
        <v>0.0</v>
      </c>
      <c r="E521" s="11">
        <v>0.0</v>
      </c>
      <c r="F521" s="11">
        <v>0.0</v>
      </c>
      <c r="G521" s="11">
        <v>0.0</v>
      </c>
      <c r="H521" s="11">
        <v>0.0</v>
      </c>
      <c r="I521" s="11">
        <v>0.0</v>
      </c>
      <c r="J521" s="11">
        <v>0.0</v>
      </c>
      <c r="K521" s="11">
        <f t="shared" si="1"/>
        <v>0</v>
      </c>
      <c r="L521" s="11">
        <f t="shared" si="2"/>
        <v>0</v>
      </c>
    </row>
    <row r="522" ht="15.75" customHeight="1">
      <c r="A522" s="10" t="s">
        <v>1132</v>
      </c>
      <c r="B522" s="10" t="s">
        <v>1133</v>
      </c>
      <c r="C522" s="11">
        <v>0.0</v>
      </c>
      <c r="D522" s="11">
        <v>0.0</v>
      </c>
      <c r="E522" s="11">
        <v>0.0</v>
      </c>
      <c r="F522" s="11">
        <v>0.0</v>
      </c>
      <c r="G522" s="11">
        <v>0.0</v>
      </c>
      <c r="H522" s="11">
        <v>0.0</v>
      </c>
      <c r="I522" s="11">
        <v>0.0</v>
      </c>
      <c r="J522" s="11">
        <v>0.0</v>
      </c>
      <c r="K522" s="11">
        <f t="shared" si="1"/>
        <v>0</v>
      </c>
      <c r="L522" s="11">
        <f t="shared" si="2"/>
        <v>0</v>
      </c>
    </row>
    <row r="523" ht="15.75" customHeight="1">
      <c r="A523" s="10" t="s">
        <v>1134</v>
      </c>
      <c r="B523" s="10" t="s">
        <v>1135</v>
      </c>
      <c r="C523" s="11">
        <v>50.0</v>
      </c>
      <c r="D523" s="11">
        <v>0.0</v>
      </c>
      <c r="E523" s="11">
        <v>0.0</v>
      </c>
      <c r="F523" s="11">
        <v>0.0</v>
      </c>
      <c r="G523" s="11">
        <v>0.0</v>
      </c>
      <c r="H523" s="11">
        <v>0.0</v>
      </c>
      <c r="I523" s="11">
        <v>0.0</v>
      </c>
      <c r="J523" s="11">
        <v>0.0</v>
      </c>
      <c r="K523" s="11">
        <f t="shared" si="1"/>
        <v>50</v>
      </c>
      <c r="L523" s="11">
        <f t="shared" si="2"/>
        <v>0</v>
      </c>
    </row>
    <row r="524" ht="15.75" customHeight="1">
      <c r="A524" s="10" t="s">
        <v>1136</v>
      </c>
      <c r="B524" s="10" t="s">
        <v>1137</v>
      </c>
      <c r="C524" s="11">
        <v>0.0</v>
      </c>
      <c r="D524" s="11">
        <v>50.0</v>
      </c>
      <c r="E524" s="11">
        <v>0.0</v>
      </c>
      <c r="F524" s="11">
        <v>0.0</v>
      </c>
      <c r="G524" s="11">
        <v>0.0</v>
      </c>
      <c r="H524" s="11">
        <v>0.0</v>
      </c>
      <c r="I524" s="11">
        <v>100.0</v>
      </c>
      <c r="J524" s="11">
        <v>550.0</v>
      </c>
      <c r="K524" s="11">
        <f t="shared" si="1"/>
        <v>700</v>
      </c>
      <c r="L524" s="11">
        <f t="shared" si="2"/>
        <v>162.5</v>
      </c>
    </row>
    <row r="525" ht="15.75" customHeight="1">
      <c r="A525" s="10" t="s">
        <v>1138</v>
      </c>
      <c r="B525" s="10" t="s">
        <v>1139</v>
      </c>
      <c r="C525" s="11">
        <v>0.0</v>
      </c>
      <c r="D525" s="11">
        <v>0.0</v>
      </c>
      <c r="E525" s="11">
        <v>0.0</v>
      </c>
      <c r="F525" s="11">
        <v>0.0</v>
      </c>
      <c r="G525" s="11">
        <v>0.0</v>
      </c>
      <c r="H525" s="11">
        <v>0.0</v>
      </c>
      <c r="I525" s="11">
        <v>0.0</v>
      </c>
      <c r="J525" s="11">
        <v>454.0</v>
      </c>
      <c r="K525" s="11">
        <f t="shared" si="1"/>
        <v>454</v>
      </c>
      <c r="L525" s="11">
        <f t="shared" si="2"/>
        <v>113.5</v>
      </c>
    </row>
    <row r="526" ht="15.75" customHeight="1">
      <c r="A526" s="10" t="s">
        <v>1140</v>
      </c>
      <c r="B526" s="10" t="s">
        <v>1141</v>
      </c>
      <c r="C526" s="11">
        <v>0.0</v>
      </c>
      <c r="D526" s="11">
        <v>65.0</v>
      </c>
      <c r="E526" s="11">
        <v>50.0</v>
      </c>
      <c r="F526" s="11">
        <v>50.0</v>
      </c>
      <c r="G526" s="11">
        <v>0.0</v>
      </c>
      <c r="H526" s="11">
        <v>49.0</v>
      </c>
      <c r="I526" s="11">
        <v>150.0</v>
      </c>
      <c r="J526" s="11">
        <v>103.0</v>
      </c>
      <c r="K526" s="11">
        <f t="shared" si="1"/>
        <v>467</v>
      </c>
      <c r="L526" s="11">
        <f t="shared" si="2"/>
        <v>75.5</v>
      </c>
    </row>
    <row r="527" ht="15.75" customHeight="1">
      <c r="A527" s="10" t="s">
        <v>1142</v>
      </c>
      <c r="B527" s="10" t="s">
        <v>1143</v>
      </c>
      <c r="C527" s="11">
        <v>0.0</v>
      </c>
      <c r="D527" s="11">
        <v>0.0</v>
      </c>
      <c r="E527" s="11">
        <v>0.0</v>
      </c>
      <c r="F527" s="11">
        <v>0.0</v>
      </c>
      <c r="G527" s="11">
        <v>0.0</v>
      </c>
      <c r="H527" s="11">
        <v>0.0</v>
      </c>
      <c r="I527" s="11">
        <v>0.0</v>
      </c>
      <c r="J527" s="11">
        <v>244.0</v>
      </c>
      <c r="K527" s="11">
        <f t="shared" si="1"/>
        <v>244</v>
      </c>
      <c r="L527" s="11">
        <f t="shared" si="2"/>
        <v>61</v>
      </c>
    </row>
    <row r="528" ht="15.75" customHeight="1">
      <c r="A528" s="10" t="s">
        <v>1144</v>
      </c>
      <c r="B528" s="10" t="s">
        <v>1145</v>
      </c>
      <c r="C528" s="11">
        <v>0.0</v>
      </c>
      <c r="D528" s="11">
        <v>0.0</v>
      </c>
      <c r="E528" s="11">
        <v>0.0</v>
      </c>
      <c r="F528" s="11">
        <v>0.0</v>
      </c>
      <c r="G528" s="11">
        <v>0.0</v>
      </c>
      <c r="H528" s="11">
        <v>0.0</v>
      </c>
      <c r="I528" s="11">
        <v>0.0</v>
      </c>
      <c r="J528" s="11">
        <v>0.0</v>
      </c>
      <c r="K528" s="11">
        <f t="shared" si="1"/>
        <v>0</v>
      </c>
      <c r="L528" s="11">
        <f t="shared" si="2"/>
        <v>0</v>
      </c>
    </row>
    <row r="529" ht="15.75" customHeight="1">
      <c r="A529" s="10" t="s">
        <v>1146</v>
      </c>
      <c r="B529" s="10" t="s">
        <v>1147</v>
      </c>
      <c r="C529" s="11">
        <v>0.0</v>
      </c>
      <c r="D529" s="11">
        <v>0.0</v>
      </c>
      <c r="E529" s="11">
        <v>0.0</v>
      </c>
      <c r="F529" s="11">
        <v>0.0</v>
      </c>
      <c r="G529" s="11">
        <v>0.0</v>
      </c>
      <c r="H529" s="11">
        <v>0.0</v>
      </c>
      <c r="I529" s="11">
        <v>0.0</v>
      </c>
      <c r="J529" s="11">
        <v>0.0</v>
      </c>
      <c r="K529" s="11">
        <f t="shared" si="1"/>
        <v>0</v>
      </c>
      <c r="L529" s="11">
        <f t="shared" si="2"/>
        <v>0</v>
      </c>
    </row>
    <row r="530" ht="15.75" customHeight="1">
      <c r="A530" s="10" t="s">
        <v>1148</v>
      </c>
      <c r="B530" s="10" t="s">
        <v>1149</v>
      </c>
      <c r="C530" s="11">
        <v>0.0</v>
      </c>
      <c r="D530" s="11">
        <v>0.0</v>
      </c>
      <c r="E530" s="11">
        <v>0.0</v>
      </c>
      <c r="F530" s="11">
        <v>0.0</v>
      </c>
      <c r="G530" s="11">
        <v>50.0</v>
      </c>
      <c r="H530" s="11">
        <v>0.0</v>
      </c>
      <c r="I530" s="11">
        <v>0.0</v>
      </c>
      <c r="J530" s="11">
        <v>0.0</v>
      </c>
      <c r="K530" s="11">
        <f t="shared" si="1"/>
        <v>50</v>
      </c>
      <c r="L530" s="11">
        <f t="shared" si="2"/>
        <v>12.5</v>
      </c>
    </row>
    <row r="531" ht="15.75" customHeight="1">
      <c r="A531" s="10" t="s">
        <v>1150</v>
      </c>
      <c r="B531" s="10" t="s">
        <v>1151</v>
      </c>
      <c r="C531" s="11">
        <v>50.0</v>
      </c>
      <c r="D531" s="11">
        <v>50.0</v>
      </c>
      <c r="E531" s="11">
        <v>0.0</v>
      </c>
      <c r="F531" s="11">
        <v>100.0</v>
      </c>
      <c r="G531" s="11">
        <v>0.0</v>
      </c>
      <c r="H531" s="11">
        <v>0.0</v>
      </c>
      <c r="I531" s="11">
        <v>50.0</v>
      </c>
      <c r="J531" s="11">
        <v>150.0</v>
      </c>
      <c r="K531" s="11">
        <f t="shared" si="1"/>
        <v>400</v>
      </c>
      <c r="L531" s="11">
        <f t="shared" si="2"/>
        <v>50</v>
      </c>
    </row>
    <row r="532" ht="15.75" customHeight="1">
      <c r="A532" s="10" t="s">
        <v>1152</v>
      </c>
      <c r="B532" s="10" t="s">
        <v>1153</v>
      </c>
      <c r="C532" s="11">
        <v>0.0</v>
      </c>
      <c r="D532" s="11">
        <v>0.0</v>
      </c>
      <c r="E532" s="11">
        <v>0.0</v>
      </c>
      <c r="F532" s="11">
        <v>50.0</v>
      </c>
      <c r="G532" s="11">
        <v>50.0</v>
      </c>
      <c r="H532" s="11">
        <v>0.0</v>
      </c>
      <c r="I532" s="11">
        <v>98.0</v>
      </c>
      <c r="J532" s="11">
        <v>50.0</v>
      </c>
      <c r="K532" s="11">
        <f t="shared" si="1"/>
        <v>248</v>
      </c>
      <c r="L532" s="11">
        <f t="shared" si="2"/>
        <v>49.5</v>
      </c>
    </row>
    <row r="533" ht="15.75" customHeight="1">
      <c r="A533" s="10" t="s">
        <v>1154</v>
      </c>
      <c r="B533" s="10" t="s">
        <v>1155</v>
      </c>
      <c r="C533" s="11">
        <v>0.0</v>
      </c>
      <c r="D533" s="11">
        <v>0.0</v>
      </c>
      <c r="E533" s="11">
        <v>0.0</v>
      </c>
      <c r="F533" s="11">
        <v>0.0</v>
      </c>
      <c r="G533" s="11">
        <v>0.0</v>
      </c>
      <c r="H533" s="11">
        <v>0.0</v>
      </c>
      <c r="I533" s="11">
        <v>0.0</v>
      </c>
      <c r="J533" s="11">
        <v>0.0</v>
      </c>
      <c r="K533" s="11">
        <f t="shared" si="1"/>
        <v>0</v>
      </c>
      <c r="L533" s="11">
        <f t="shared" si="2"/>
        <v>0</v>
      </c>
    </row>
    <row r="534" ht="15.75" customHeight="1">
      <c r="A534" s="10" t="s">
        <v>1156</v>
      </c>
      <c r="B534" s="10" t="s">
        <v>1157</v>
      </c>
      <c r="C534" s="11">
        <v>0.0</v>
      </c>
      <c r="D534" s="11">
        <v>0.0</v>
      </c>
      <c r="E534" s="11">
        <v>0.0</v>
      </c>
      <c r="F534" s="11">
        <v>0.0</v>
      </c>
      <c r="G534" s="11">
        <v>0.0</v>
      </c>
      <c r="H534" s="11">
        <v>0.0</v>
      </c>
      <c r="I534" s="11">
        <v>0.0</v>
      </c>
      <c r="J534" s="11">
        <v>100.0</v>
      </c>
      <c r="K534" s="11">
        <f t="shared" si="1"/>
        <v>100</v>
      </c>
      <c r="L534" s="11">
        <f t="shared" si="2"/>
        <v>25</v>
      </c>
    </row>
    <row r="535" ht="15.75" customHeight="1">
      <c r="A535" s="10" t="s">
        <v>1158</v>
      </c>
      <c r="B535" s="10" t="s">
        <v>1159</v>
      </c>
      <c r="C535" s="11">
        <v>0.0</v>
      </c>
      <c r="D535" s="11">
        <v>50.0</v>
      </c>
      <c r="E535" s="11">
        <v>0.0</v>
      </c>
      <c r="F535" s="11">
        <v>0.0</v>
      </c>
      <c r="G535" s="11">
        <v>0.0</v>
      </c>
      <c r="H535" s="11">
        <v>0.0</v>
      </c>
      <c r="I535" s="11">
        <v>0.0</v>
      </c>
      <c r="J535" s="11">
        <v>0.0</v>
      </c>
      <c r="K535" s="11">
        <f t="shared" si="1"/>
        <v>50</v>
      </c>
      <c r="L535" s="11">
        <f t="shared" si="2"/>
        <v>0</v>
      </c>
    </row>
    <row r="536" ht="15.75" customHeight="1">
      <c r="A536" s="10" t="s">
        <v>1160</v>
      </c>
      <c r="B536" s="10" t="s">
        <v>1161</v>
      </c>
      <c r="C536" s="11">
        <v>198.0</v>
      </c>
      <c r="D536" s="11">
        <v>400.0</v>
      </c>
      <c r="E536" s="11">
        <v>300.0</v>
      </c>
      <c r="F536" s="11">
        <v>700.0</v>
      </c>
      <c r="G536" s="11">
        <v>298.0</v>
      </c>
      <c r="H536" s="11">
        <v>550.0</v>
      </c>
      <c r="I536" s="11">
        <v>900.0</v>
      </c>
      <c r="J536" s="11">
        <v>400.0</v>
      </c>
      <c r="K536" s="11">
        <f t="shared" si="1"/>
        <v>3746</v>
      </c>
      <c r="L536" s="11">
        <f t="shared" si="2"/>
        <v>537</v>
      </c>
    </row>
    <row r="537" ht="15.75" customHeight="1">
      <c r="A537" s="10" t="s">
        <v>1162</v>
      </c>
      <c r="B537" s="10" t="s">
        <v>1163</v>
      </c>
      <c r="C537" s="11">
        <v>0.0</v>
      </c>
      <c r="D537" s="11">
        <v>40.5</v>
      </c>
      <c r="E537" s="11">
        <v>0.0</v>
      </c>
      <c r="F537" s="11">
        <v>0.0</v>
      </c>
      <c r="G537" s="11">
        <v>0.0</v>
      </c>
      <c r="H537" s="11">
        <v>0.0</v>
      </c>
      <c r="I537" s="11">
        <v>100.0</v>
      </c>
      <c r="J537" s="11">
        <v>100.0</v>
      </c>
      <c r="K537" s="11">
        <f t="shared" si="1"/>
        <v>240.5</v>
      </c>
      <c r="L537" s="11">
        <f t="shared" si="2"/>
        <v>50</v>
      </c>
    </row>
    <row r="538" ht="15.75" customHeight="1">
      <c r="A538" s="10" t="s">
        <v>1164</v>
      </c>
      <c r="B538" s="10" t="s">
        <v>1165</v>
      </c>
      <c r="C538" s="11">
        <v>0.0</v>
      </c>
      <c r="D538" s="11">
        <v>0.0</v>
      </c>
      <c r="E538" s="11">
        <v>0.0</v>
      </c>
      <c r="F538" s="11">
        <v>0.0</v>
      </c>
      <c r="G538" s="11">
        <v>0.0</v>
      </c>
      <c r="H538" s="11">
        <v>0.0</v>
      </c>
      <c r="I538" s="11">
        <v>0.0</v>
      </c>
      <c r="J538" s="11">
        <v>50.0</v>
      </c>
      <c r="K538" s="11">
        <f t="shared" si="1"/>
        <v>50</v>
      </c>
      <c r="L538" s="11">
        <f t="shared" si="2"/>
        <v>12.5</v>
      </c>
    </row>
    <row r="539" ht="15.75" customHeight="1">
      <c r="A539" s="10" t="s">
        <v>1167</v>
      </c>
      <c r="B539" s="10" t="s">
        <v>1168</v>
      </c>
      <c r="C539" s="11">
        <v>40.0</v>
      </c>
      <c r="D539" s="11">
        <v>18.0</v>
      </c>
      <c r="E539" s="11">
        <v>40.0</v>
      </c>
      <c r="F539" s="11">
        <v>80.0</v>
      </c>
      <c r="G539" s="11">
        <v>40.0</v>
      </c>
      <c r="H539" s="11">
        <v>40.0</v>
      </c>
      <c r="I539" s="11">
        <v>320.0</v>
      </c>
      <c r="J539" s="11">
        <v>160.0</v>
      </c>
      <c r="K539" s="11">
        <f t="shared" si="1"/>
        <v>738</v>
      </c>
      <c r="L539" s="11">
        <f t="shared" si="2"/>
        <v>140</v>
      </c>
    </row>
    <row r="540" ht="15.75" customHeight="1">
      <c r="A540" s="10" t="s">
        <v>1169</v>
      </c>
      <c r="B540" s="10" t="s">
        <v>1170</v>
      </c>
      <c r="C540" s="11">
        <v>247.0</v>
      </c>
      <c r="D540" s="11">
        <v>429.0</v>
      </c>
      <c r="E540" s="11">
        <v>100.0</v>
      </c>
      <c r="F540" s="11">
        <v>0.0</v>
      </c>
      <c r="G540" s="11">
        <v>0.0</v>
      </c>
      <c r="H540" s="11">
        <v>0.0</v>
      </c>
      <c r="I540" s="11">
        <v>0.0</v>
      </c>
      <c r="J540" s="11">
        <v>0.0</v>
      </c>
      <c r="K540" s="11">
        <f t="shared" si="1"/>
        <v>776</v>
      </c>
      <c r="L540" s="11">
        <f t="shared" si="2"/>
        <v>0</v>
      </c>
    </row>
    <row r="541" ht="15.75" customHeight="1">
      <c r="A541" s="10" t="s">
        <v>1171</v>
      </c>
      <c r="B541" s="10" t="s">
        <v>1172</v>
      </c>
      <c r="C541" s="11">
        <v>1800.0</v>
      </c>
      <c r="D541" s="11">
        <v>564.0</v>
      </c>
      <c r="E541" s="11">
        <v>395.0</v>
      </c>
      <c r="F541" s="11">
        <v>200.0</v>
      </c>
      <c r="G541" s="11">
        <v>336.0</v>
      </c>
      <c r="H541" s="11">
        <v>487.0</v>
      </c>
      <c r="I541" s="11">
        <v>399.0</v>
      </c>
      <c r="J541" s="11">
        <v>0.0</v>
      </c>
      <c r="K541" s="11">
        <f t="shared" si="1"/>
        <v>4181</v>
      </c>
      <c r="L541" s="11">
        <f t="shared" si="2"/>
        <v>305.5</v>
      </c>
    </row>
    <row r="542" ht="15.75" customHeight="1">
      <c r="A542" s="10" t="s">
        <v>1173</v>
      </c>
      <c r="B542" s="10" t="s">
        <v>1174</v>
      </c>
      <c r="C542" s="11">
        <v>80.0</v>
      </c>
      <c r="D542" s="11">
        <v>0.0</v>
      </c>
      <c r="E542" s="11">
        <v>40.0</v>
      </c>
      <c r="F542" s="11">
        <v>80.0</v>
      </c>
      <c r="G542" s="11">
        <v>0.0</v>
      </c>
      <c r="H542" s="11">
        <v>40.0</v>
      </c>
      <c r="I542" s="11">
        <v>0.0</v>
      </c>
      <c r="J542" s="11">
        <v>0.0</v>
      </c>
      <c r="K542" s="11">
        <f t="shared" si="1"/>
        <v>240</v>
      </c>
      <c r="L542" s="11">
        <f t="shared" si="2"/>
        <v>10</v>
      </c>
    </row>
    <row r="543" ht="15.75" customHeight="1">
      <c r="A543" s="10" t="s">
        <v>1175</v>
      </c>
      <c r="B543" s="10" t="s">
        <v>1176</v>
      </c>
      <c r="C543" s="11">
        <v>0.0</v>
      </c>
      <c r="D543" s="11">
        <v>0.0</v>
      </c>
      <c r="E543" s="11">
        <v>0.0</v>
      </c>
      <c r="F543" s="11">
        <v>0.0</v>
      </c>
      <c r="G543" s="11">
        <v>0.0</v>
      </c>
      <c r="H543" s="11">
        <v>0.0</v>
      </c>
      <c r="I543" s="11">
        <v>0.0</v>
      </c>
      <c r="J543" s="11">
        <v>40.0</v>
      </c>
      <c r="K543" s="11">
        <f t="shared" si="1"/>
        <v>40</v>
      </c>
      <c r="L543" s="11">
        <f t="shared" si="2"/>
        <v>10</v>
      </c>
    </row>
    <row r="544" ht="15.75" customHeight="1">
      <c r="A544" s="10" t="s">
        <v>1177</v>
      </c>
      <c r="B544" s="10" t="s">
        <v>1178</v>
      </c>
      <c r="C544" s="11">
        <v>0.0</v>
      </c>
      <c r="D544" s="11">
        <v>0.0</v>
      </c>
      <c r="E544" s="11">
        <v>0.0</v>
      </c>
      <c r="F544" s="11">
        <v>0.0</v>
      </c>
      <c r="G544" s="11">
        <v>0.0</v>
      </c>
      <c r="H544" s="11">
        <v>0.0</v>
      </c>
      <c r="I544" s="11">
        <v>0.0</v>
      </c>
      <c r="J544" s="11">
        <v>0.0</v>
      </c>
      <c r="K544" s="11">
        <f t="shared" si="1"/>
        <v>0</v>
      </c>
      <c r="L544" s="11">
        <f t="shared" si="2"/>
        <v>0</v>
      </c>
    </row>
    <row r="545" ht="15.75" customHeight="1">
      <c r="A545" s="10" t="s">
        <v>1179</v>
      </c>
      <c r="B545" s="10" t="s">
        <v>1180</v>
      </c>
      <c r="C545" s="11">
        <v>50.0</v>
      </c>
      <c r="D545" s="11">
        <v>150.0</v>
      </c>
      <c r="E545" s="11">
        <v>50.0</v>
      </c>
      <c r="F545" s="11">
        <v>99.0</v>
      </c>
      <c r="G545" s="11">
        <v>0.0</v>
      </c>
      <c r="H545" s="11">
        <v>0.0</v>
      </c>
      <c r="I545" s="11">
        <v>150.0</v>
      </c>
      <c r="J545" s="11">
        <v>0.0</v>
      </c>
      <c r="K545" s="11">
        <f t="shared" si="1"/>
        <v>499</v>
      </c>
      <c r="L545" s="11">
        <f t="shared" si="2"/>
        <v>37.5</v>
      </c>
    </row>
    <row r="546" ht="15.75" customHeight="1">
      <c r="A546" s="10" t="s">
        <v>1181</v>
      </c>
      <c r="B546" s="10" t="s">
        <v>1182</v>
      </c>
      <c r="C546" s="11">
        <v>0.0</v>
      </c>
      <c r="D546" s="11">
        <v>0.0</v>
      </c>
      <c r="E546" s="11">
        <v>0.0</v>
      </c>
      <c r="F546" s="11">
        <v>0.0</v>
      </c>
      <c r="G546" s="11">
        <v>0.0</v>
      </c>
      <c r="H546" s="11">
        <v>0.0</v>
      </c>
      <c r="I546" s="11">
        <v>0.0</v>
      </c>
      <c r="J546" s="11">
        <v>0.0</v>
      </c>
      <c r="K546" s="11">
        <f t="shared" si="1"/>
        <v>0</v>
      </c>
      <c r="L546" s="11">
        <f t="shared" si="2"/>
        <v>0</v>
      </c>
    </row>
    <row r="547" ht="15.75" customHeight="1">
      <c r="A547" s="10" t="s">
        <v>1183</v>
      </c>
      <c r="B547" s="10" t="s">
        <v>1184</v>
      </c>
      <c r="C547" s="11">
        <v>0.0</v>
      </c>
      <c r="D547" s="11">
        <v>0.0</v>
      </c>
      <c r="E547" s="11">
        <v>0.0</v>
      </c>
      <c r="F547" s="11">
        <v>0.0</v>
      </c>
      <c r="G547" s="11">
        <v>0.0</v>
      </c>
      <c r="H547" s="11">
        <v>0.0</v>
      </c>
      <c r="I547" s="11">
        <v>0.0</v>
      </c>
      <c r="J547" s="11">
        <v>0.0</v>
      </c>
      <c r="K547" s="11">
        <f t="shared" si="1"/>
        <v>0</v>
      </c>
      <c r="L547" s="11">
        <f t="shared" si="2"/>
        <v>0</v>
      </c>
    </row>
    <row r="548" ht="15.75" customHeight="1">
      <c r="A548" s="10" t="s">
        <v>1185</v>
      </c>
      <c r="B548" s="10" t="s">
        <v>1186</v>
      </c>
      <c r="C548" s="11">
        <v>40.0</v>
      </c>
      <c r="D548" s="11">
        <v>120.0</v>
      </c>
      <c r="E548" s="11">
        <v>80.0</v>
      </c>
      <c r="F548" s="11">
        <v>40.0</v>
      </c>
      <c r="G548" s="11">
        <v>0.0</v>
      </c>
      <c r="H548" s="11">
        <v>40.0</v>
      </c>
      <c r="I548" s="11">
        <v>138.5</v>
      </c>
      <c r="J548" s="11">
        <v>100.0</v>
      </c>
      <c r="K548" s="11">
        <f t="shared" si="1"/>
        <v>558.5</v>
      </c>
      <c r="L548" s="11">
        <f t="shared" si="2"/>
        <v>69.625</v>
      </c>
    </row>
    <row r="549" ht="15.75" customHeight="1">
      <c r="A549" s="10" t="s">
        <v>1187</v>
      </c>
      <c r="B549" s="10" t="s">
        <v>1188</v>
      </c>
      <c r="C549" s="11">
        <v>830.4</v>
      </c>
      <c r="D549" s="11">
        <v>0.0</v>
      </c>
      <c r="E549" s="11">
        <v>0.0</v>
      </c>
      <c r="F549" s="11">
        <v>0.0</v>
      </c>
      <c r="G549" s="11">
        <v>0.0</v>
      </c>
      <c r="H549" s="11">
        <v>0.0</v>
      </c>
      <c r="I549" s="11">
        <v>0.0</v>
      </c>
      <c r="J549" s="11">
        <v>0.0</v>
      </c>
      <c r="K549" s="11">
        <f t="shared" si="1"/>
        <v>830.4</v>
      </c>
      <c r="L549" s="11">
        <f t="shared" si="2"/>
        <v>0</v>
      </c>
    </row>
    <row r="550" ht="15.75" customHeight="1">
      <c r="A550" s="10" t="s">
        <v>1189</v>
      </c>
      <c r="B550" s="10" t="s">
        <v>1190</v>
      </c>
      <c r="C550" s="11">
        <v>0.0</v>
      </c>
      <c r="D550" s="11">
        <v>0.0</v>
      </c>
      <c r="E550" s="11">
        <v>0.0</v>
      </c>
      <c r="F550" s="11">
        <v>0.0</v>
      </c>
      <c r="G550" s="11">
        <v>0.0</v>
      </c>
      <c r="H550" s="11">
        <v>0.0</v>
      </c>
      <c r="I550" s="11">
        <v>0.0</v>
      </c>
      <c r="J550" s="11">
        <v>0.0</v>
      </c>
      <c r="K550" s="11">
        <f t="shared" si="1"/>
        <v>0</v>
      </c>
      <c r="L550" s="11">
        <f t="shared" si="2"/>
        <v>0</v>
      </c>
    </row>
    <row r="551" ht="15.75" customHeight="1">
      <c r="A551" s="10" t="s">
        <v>1191</v>
      </c>
      <c r="B551" s="10" t="s">
        <v>1192</v>
      </c>
      <c r="C551" s="11">
        <v>0.0</v>
      </c>
      <c r="D551" s="11">
        <v>0.0</v>
      </c>
      <c r="E551" s="11">
        <v>0.0</v>
      </c>
      <c r="F551" s="11">
        <v>0.0</v>
      </c>
      <c r="G551" s="11">
        <v>0.0</v>
      </c>
      <c r="H551" s="11">
        <v>0.0</v>
      </c>
      <c r="I551" s="11">
        <v>0.0</v>
      </c>
      <c r="J551" s="11">
        <v>0.0</v>
      </c>
      <c r="K551" s="11">
        <f t="shared" si="1"/>
        <v>0</v>
      </c>
      <c r="L551" s="11">
        <f t="shared" si="2"/>
        <v>0</v>
      </c>
    </row>
    <row r="552" ht="15.75" customHeight="1">
      <c r="A552" s="10" t="s">
        <v>1193</v>
      </c>
      <c r="B552" s="10" t="s">
        <v>1194</v>
      </c>
      <c r="C552" s="11">
        <v>0.0</v>
      </c>
      <c r="D552" s="11">
        <v>0.0</v>
      </c>
      <c r="E552" s="11">
        <v>0.0</v>
      </c>
      <c r="F552" s="11">
        <v>0.0</v>
      </c>
      <c r="G552" s="11">
        <v>0.0</v>
      </c>
      <c r="H552" s="11">
        <v>0.0</v>
      </c>
      <c r="I552" s="11">
        <v>0.0</v>
      </c>
      <c r="J552" s="11">
        <v>0.0</v>
      </c>
      <c r="K552" s="11">
        <f t="shared" si="1"/>
        <v>0</v>
      </c>
      <c r="L552" s="11">
        <f t="shared" si="2"/>
        <v>0</v>
      </c>
    </row>
    <row r="553" ht="15.75" customHeight="1">
      <c r="A553" s="10" t="s">
        <v>1195</v>
      </c>
      <c r="B553" s="10" t="s">
        <v>1196</v>
      </c>
      <c r="C553" s="11">
        <v>0.0</v>
      </c>
      <c r="D553" s="11">
        <v>0.0</v>
      </c>
      <c r="E553" s="11">
        <v>0.0</v>
      </c>
      <c r="F553" s="11">
        <v>0.0</v>
      </c>
      <c r="G553" s="11">
        <v>0.0</v>
      </c>
      <c r="H553" s="11">
        <v>0.0</v>
      </c>
      <c r="I553" s="11">
        <v>0.0</v>
      </c>
      <c r="J553" s="11">
        <v>0.0</v>
      </c>
      <c r="K553" s="11">
        <f t="shared" si="1"/>
        <v>0</v>
      </c>
      <c r="L553" s="11">
        <f t="shared" si="2"/>
        <v>0</v>
      </c>
    </row>
    <row r="554" ht="15.75" customHeight="1">
      <c r="A554" s="10" t="s">
        <v>1197</v>
      </c>
      <c r="B554" s="10" t="s">
        <v>1198</v>
      </c>
      <c r="C554" s="11">
        <v>0.0</v>
      </c>
      <c r="D554" s="11">
        <v>0.0</v>
      </c>
      <c r="E554" s="11">
        <v>0.0</v>
      </c>
      <c r="F554" s="11">
        <v>0.0</v>
      </c>
      <c r="G554" s="11">
        <v>0.0</v>
      </c>
      <c r="H554" s="11">
        <v>0.0</v>
      </c>
      <c r="I554" s="11">
        <v>0.0</v>
      </c>
      <c r="J554" s="11">
        <v>0.0</v>
      </c>
      <c r="K554" s="11">
        <f t="shared" si="1"/>
        <v>0</v>
      </c>
      <c r="L554" s="11">
        <f t="shared" si="2"/>
        <v>0</v>
      </c>
    </row>
    <row r="555" ht="15.75" customHeight="1">
      <c r="A555" s="10" t="s">
        <v>1199</v>
      </c>
      <c r="B555" s="10" t="s">
        <v>1200</v>
      </c>
      <c r="C555" s="11">
        <v>0.0</v>
      </c>
      <c r="D555" s="11">
        <v>0.0</v>
      </c>
      <c r="E555" s="11">
        <v>0.0</v>
      </c>
      <c r="F555" s="11">
        <v>0.0</v>
      </c>
      <c r="G555" s="11">
        <v>0.0</v>
      </c>
      <c r="H555" s="11">
        <v>0.0</v>
      </c>
      <c r="I555" s="11">
        <v>0.0</v>
      </c>
      <c r="J555" s="11">
        <v>0.0</v>
      </c>
      <c r="K555" s="11">
        <f t="shared" si="1"/>
        <v>0</v>
      </c>
      <c r="L555" s="11">
        <f t="shared" si="2"/>
        <v>0</v>
      </c>
    </row>
    <row r="556" ht="15.75" customHeight="1">
      <c r="A556" s="10" t="s">
        <v>1201</v>
      </c>
      <c r="B556" s="10" t="s">
        <v>1202</v>
      </c>
      <c r="C556" s="11">
        <v>0.0</v>
      </c>
      <c r="D556" s="11">
        <v>0.0</v>
      </c>
      <c r="E556" s="11">
        <v>0.0</v>
      </c>
      <c r="F556" s="11">
        <v>0.0</v>
      </c>
      <c r="G556" s="11">
        <v>0.0</v>
      </c>
      <c r="H556" s="11">
        <v>0.0</v>
      </c>
      <c r="I556" s="11">
        <v>0.0</v>
      </c>
      <c r="J556" s="11">
        <v>0.0</v>
      </c>
      <c r="K556" s="11">
        <f t="shared" si="1"/>
        <v>0</v>
      </c>
      <c r="L556" s="11">
        <f t="shared" si="2"/>
        <v>0</v>
      </c>
    </row>
    <row r="557" ht="15.75" customHeight="1">
      <c r="A557" s="10" t="s">
        <v>1203</v>
      </c>
      <c r="B557" s="10" t="s">
        <v>1204</v>
      </c>
      <c r="C557" s="11">
        <v>0.0</v>
      </c>
      <c r="D557" s="11">
        <v>0.0</v>
      </c>
      <c r="E557" s="11">
        <v>0.0</v>
      </c>
      <c r="F557" s="11">
        <v>0.0</v>
      </c>
      <c r="G557" s="11">
        <v>0.0</v>
      </c>
      <c r="H557" s="11">
        <v>0.0</v>
      </c>
      <c r="I557" s="11">
        <v>0.0</v>
      </c>
      <c r="J557" s="11">
        <v>0.0</v>
      </c>
      <c r="K557" s="11">
        <f t="shared" si="1"/>
        <v>0</v>
      </c>
      <c r="L557" s="11">
        <f t="shared" si="2"/>
        <v>0</v>
      </c>
    </row>
    <row r="558" ht="15.75" customHeight="1">
      <c r="A558" s="10" t="s">
        <v>1205</v>
      </c>
      <c r="B558" s="10" t="s">
        <v>1206</v>
      </c>
      <c r="C558" s="11">
        <v>0.0</v>
      </c>
      <c r="D558" s="11">
        <v>0.0</v>
      </c>
      <c r="E558" s="11">
        <v>0.0</v>
      </c>
      <c r="F558" s="11">
        <v>0.0</v>
      </c>
      <c r="G558" s="11">
        <v>0.0</v>
      </c>
      <c r="H558" s="11">
        <v>0.0</v>
      </c>
      <c r="I558" s="11">
        <v>0.0</v>
      </c>
      <c r="J558" s="11">
        <v>0.0</v>
      </c>
      <c r="K558" s="11">
        <f t="shared" si="1"/>
        <v>0</v>
      </c>
      <c r="L558" s="11">
        <f t="shared" si="2"/>
        <v>0</v>
      </c>
    </row>
    <row r="559" ht="15.75" customHeight="1">
      <c r="A559" s="10" t="s">
        <v>1207</v>
      </c>
      <c r="B559" s="10" t="s">
        <v>1208</v>
      </c>
      <c r="C559" s="11">
        <v>0.0</v>
      </c>
      <c r="D559" s="11">
        <v>0.0</v>
      </c>
      <c r="E559" s="11">
        <v>0.0</v>
      </c>
      <c r="F559" s="11">
        <v>0.0</v>
      </c>
      <c r="G559" s="11">
        <v>0.0</v>
      </c>
      <c r="H559" s="11">
        <v>0.0</v>
      </c>
      <c r="I559" s="11">
        <v>0.0</v>
      </c>
      <c r="J559" s="11">
        <v>0.0</v>
      </c>
      <c r="K559" s="11">
        <f t="shared" si="1"/>
        <v>0</v>
      </c>
      <c r="L559" s="11">
        <f t="shared" si="2"/>
        <v>0</v>
      </c>
    </row>
    <row r="560" ht="15.75" customHeight="1">
      <c r="A560" s="10" t="s">
        <v>1209</v>
      </c>
      <c r="B560" s="10" t="s">
        <v>1210</v>
      </c>
      <c r="C560" s="11">
        <v>0.0</v>
      </c>
      <c r="D560" s="11">
        <v>0.0</v>
      </c>
      <c r="E560" s="11">
        <v>0.0</v>
      </c>
      <c r="F560" s="11">
        <v>0.0</v>
      </c>
      <c r="G560" s="11">
        <v>0.0</v>
      </c>
      <c r="H560" s="11">
        <v>0.0</v>
      </c>
      <c r="I560" s="11">
        <v>0.0</v>
      </c>
      <c r="J560" s="11">
        <v>0.0</v>
      </c>
      <c r="K560" s="11">
        <f t="shared" si="1"/>
        <v>0</v>
      </c>
      <c r="L560" s="11">
        <f t="shared" si="2"/>
        <v>0</v>
      </c>
    </row>
    <row r="561" ht="15.75" customHeight="1">
      <c r="A561" s="10" t="s">
        <v>1211</v>
      </c>
      <c r="B561" s="10" t="s">
        <v>1212</v>
      </c>
      <c r="C561" s="11">
        <v>0.0</v>
      </c>
      <c r="D561" s="11">
        <v>0.0</v>
      </c>
      <c r="E561" s="11">
        <v>0.0</v>
      </c>
      <c r="F561" s="11">
        <v>0.0</v>
      </c>
      <c r="G561" s="11">
        <v>0.0</v>
      </c>
      <c r="H561" s="11">
        <v>0.0</v>
      </c>
      <c r="I561" s="11">
        <v>0.0</v>
      </c>
      <c r="J561" s="11">
        <v>0.0</v>
      </c>
      <c r="K561" s="11">
        <f t="shared" si="1"/>
        <v>0</v>
      </c>
      <c r="L561" s="11">
        <f t="shared" si="2"/>
        <v>0</v>
      </c>
    </row>
    <row r="562" ht="15.75" customHeight="1">
      <c r="A562" s="10" t="s">
        <v>1213</v>
      </c>
      <c r="B562" s="10" t="s">
        <v>1214</v>
      </c>
      <c r="C562" s="11">
        <v>0.0</v>
      </c>
      <c r="D562" s="11">
        <v>0.0</v>
      </c>
      <c r="E562" s="11">
        <v>0.0</v>
      </c>
      <c r="F562" s="11">
        <v>0.0</v>
      </c>
      <c r="G562" s="11">
        <v>0.0</v>
      </c>
      <c r="H562" s="11">
        <v>0.0</v>
      </c>
      <c r="I562" s="11">
        <v>0.0</v>
      </c>
      <c r="J562" s="11">
        <v>0.0</v>
      </c>
      <c r="K562" s="11">
        <f t="shared" si="1"/>
        <v>0</v>
      </c>
      <c r="L562" s="11">
        <f t="shared" si="2"/>
        <v>0</v>
      </c>
    </row>
    <row r="563" ht="15.75" customHeight="1">
      <c r="A563" s="10" t="s">
        <v>1215</v>
      </c>
      <c r="B563" s="10" t="s">
        <v>1216</v>
      </c>
      <c r="C563" s="11">
        <v>0.0</v>
      </c>
      <c r="D563" s="11">
        <v>0.0</v>
      </c>
      <c r="E563" s="11">
        <v>0.0</v>
      </c>
      <c r="F563" s="11">
        <v>0.0</v>
      </c>
      <c r="G563" s="11">
        <v>0.0</v>
      </c>
      <c r="H563" s="11">
        <v>0.0</v>
      </c>
      <c r="I563" s="11">
        <v>0.0</v>
      </c>
      <c r="J563" s="11">
        <v>0.0</v>
      </c>
      <c r="K563" s="11">
        <f t="shared" si="1"/>
        <v>0</v>
      </c>
      <c r="L563" s="11">
        <f t="shared" si="2"/>
        <v>0</v>
      </c>
    </row>
    <row r="564" ht="15.75" customHeight="1">
      <c r="A564" s="10" t="s">
        <v>1217</v>
      </c>
      <c r="B564" s="10" t="s">
        <v>1218</v>
      </c>
      <c r="C564" s="11">
        <v>0.0</v>
      </c>
      <c r="D564" s="11">
        <v>0.0</v>
      </c>
      <c r="E564" s="11">
        <v>0.0</v>
      </c>
      <c r="F564" s="11">
        <v>0.0</v>
      </c>
      <c r="G564" s="11">
        <v>0.0</v>
      </c>
      <c r="H564" s="11">
        <v>0.0</v>
      </c>
      <c r="I564" s="11">
        <v>0.0</v>
      </c>
      <c r="J564" s="11">
        <v>0.0</v>
      </c>
      <c r="K564" s="11">
        <f t="shared" si="1"/>
        <v>0</v>
      </c>
      <c r="L564" s="11">
        <f t="shared" si="2"/>
        <v>0</v>
      </c>
    </row>
    <row r="565" ht="15.75" customHeight="1">
      <c r="A565" s="10" t="s">
        <v>1219</v>
      </c>
      <c r="B565" s="10" t="s">
        <v>1220</v>
      </c>
      <c r="C565" s="11">
        <v>0.0</v>
      </c>
      <c r="D565" s="11">
        <v>0.0</v>
      </c>
      <c r="E565" s="11">
        <v>0.0</v>
      </c>
      <c r="F565" s="11">
        <v>0.0</v>
      </c>
      <c r="G565" s="11">
        <v>0.0</v>
      </c>
      <c r="H565" s="11">
        <v>0.0</v>
      </c>
      <c r="I565" s="11">
        <v>0.0</v>
      </c>
      <c r="J565" s="11">
        <v>0.0</v>
      </c>
      <c r="K565" s="11">
        <f t="shared" si="1"/>
        <v>0</v>
      </c>
      <c r="L565" s="11">
        <f t="shared" si="2"/>
        <v>0</v>
      </c>
    </row>
    <row r="566" ht="15.75" customHeight="1">
      <c r="A566" s="10" t="s">
        <v>1221</v>
      </c>
      <c r="B566" s="10" t="s">
        <v>1222</v>
      </c>
      <c r="C566" s="11">
        <v>0.0</v>
      </c>
      <c r="D566" s="11">
        <v>0.0</v>
      </c>
      <c r="E566" s="11">
        <v>0.0</v>
      </c>
      <c r="F566" s="11">
        <v>0.0</v>
      </c>
      <c r="G566" s="11">
        <v>0.0</v>
      </c>
      <c r="H566" s="11">
        <v>0.0</v>
      </c>
      <c r="I566" s="11">
        <v>0.0</v>
      </c>
      <c r="J566" s="11">
        <v>0.0</v>
      </c>
      <c r="K566" s="11">
        <f t="shared" si="1"/>
        <v>0</v>
      </c>
      <c r="L566" s="11">
        <f t="shared" si="2"/>
        <v>0</v>
      </c>
    </row>
    <row r="567" ht="15.75" customHeight="1">
      <c r="A567" s="10" t="s">
        <v>1223</v>
      </c>
      <c r="B567" s="10" t="s">
        <v>1224</v>
      </c>
      <c r="C567" s="11">
        <v>0.0</v>
      </c>
      <c r="D567" s="11">
        <v>0.0</v>
      </c>
      <c r="E567" s="11">
        <v>0.0</v>
      </c>
      <c r="F567" s="11">
        <v>0.0</v>
      </c>
      <c r="G567" s="11">
        <v>0.0</v>
      </c>
      <c r="H567" s="11">
        <v>0.0</v>
      </c>
      <c r="I567" s="11">
        <v>0.0</v>
      </c>
      <c r="J567" s="11">
        <v>0.0</v>
      </c>
      <c r="K567" s="11">
        <f t="shared" si="1"/>
        <v>0</v>
      </c>
      <c r="L567" s="11">
        <f t="shared" si="2"/>
        <v>0</v>
      </c>
    </row>
    <row r="568" ht="15.75" customHeight="1">
      <c r="A568" s="10" t="s">
        <v>1226</v>
      </c>
      <c r="B568" s="10" t="s">
        <v>1227</v>
      </c>
      <c r="C568" s="11">
        <v>0.0</v>
      </c>
      <c r="D568" s="11">
        <v>0.0</v>
      </c>
      <c r="E568" s="11">
        <v>0.0</v>
      </c>
      <c r="F568" s="11">
        <v>0.0</v>
      </c>
      <c r="G568" s="11">
        <v>0.0</v>
      </c>
      <c r="H568" s="11">
        <v>0.0</v>
      </c>
      <c r="I568" s="11">
        <v>0.0</v>
      </c>
      <c r="J568" s="11">
        <v>0.0</v>
      </c>
      <c r="K568" s="11">
        <f t="shared" si="1"/>
        <v>0</v>
      </c>
      <c r="L568" s="11">
        <f t="shared" si="2"/>
        <v>0</v>
      </c>
    </row>
    <row r="569" ht="15.75" customHeight="1">
      <c r="A569" s="10" t="s">
        <v>1228</v>
      </c>
      <c r="B569" s="10" t="s">
        <v>1229</v>
      </c>
      <c r="C569" s="11">
        <v>0.0</v>
      </c>
      <c r="D569" s="11">
        <v>0.0</v>
      </c>
      <c r="E569" s="11">
        <v>0.0</v>
      </c>
      <c r="F569" s="11">
        <v>0.0</v>
      </c>
      <c r="G569" s="11">
        <v>0.0</v>
      </c>
      <c r="H569" s="11">
        <v>0.0</v>
      </c>
      <c r="I569" s="11">
        <v>0.0</v>
      </c>
      <c r="J569" s="11">
        <v>0.0</v>
      </c>
      <c r="K569" s="11">
        <f t="shared" si="1"/>
        <v>0</v>
      </c>
      <c r="L569" s="11">
        <f t="shared" si="2"/>
        <v>0</v>
      </c>
    </row>
    <row r="570" ht="15.75" customHeight="1">
      <c r="A570" s="10" t="s">
        <v>1230</v>
      </c>
      <c r="B570" s="10" t="s">
        <v>1231</v>
      </c>
      <c r="C570" s="11">
        <v>0.0</v>
      </c>
      <c r="D570" s="11">
        <v>0.0</v>
      </c>
      <c r="E570" s="11">
        <v>60.0</v>
      </c>
      <c r="F570" s="11">
        <v>50.0</v>
      </c>
      <c r="G570" s="11">
        <v>20.0</v>
      </c>
      <c r="H570" s="11">
        <v>0.0</v>
      </c>
      <c r="I570" s="11">
        <v>20.0</v>
      </c>
      <c r="J570" s="11">
        <v>0.0</v>
      </c>
      <c r="K570" s="11">
        <f t="shared" si="1"/>
        <v>150</v>
      </c>
      <c r="L570" s="11">
        <f t="shared" si="2"/>
        <v>10</v>
      </c>
    </row>
    <row r="571" ht="15.75" customHeight="1">
      <c r="A571" s="10" t="s">
        <v>1232</v>
      </c>
      <c r="B571" s="10" t="s">
        <v>1233</v>
      </c>
      <c r="C571" s="11">
        <v>0.0</v>
      </c>
      <c r="D571" s="11">
        <v>0.0</v>
      </c>
      <c r="E571" s="11">
        <v>40.0</v>
      </c>
      <c r="F571" s="11">
        <v>30.0</v>
      </c>
      <c r="G571" s="11">
        <v>0.0</v>
      </c>
      <c r="H571" s="11">
        <v>0.0</v>
      </c>
      <c r="I571" s="11">
        <v>0.0</v>
      </c>
      <c r="J571" s="11">
        <v>0.0</v>
      </c>
      <c r="K571" s="11">
        <f t="shared" si="1"/>
        <v>70</v>
      </c>
      <c r="L571" s="11">
        <f t="shared" si="2"/>
        <v>0</v>
      </c>
    </row>
    <row r="572" ht="15.75" customHeight="1">
      <c r="A572" s="10" t="s">
        <v>1234</v>
      </c>
      <c r="B572" s="10" t="s">
        <v>1235</v>
      </c>
      <c r="C572" s="11">
        <v>0.0</v>
      </c>
      <c r="D572" s="11">
        <v>0.0</v>
      </c>
      <c r="E572" s="11">
        <v>40.0</v>
      </c>
      <c r="F572" s="11">
        <v>20.0</v>
      </c>
      <c r="G572" s="11">
        <v>10.0</v>
      </c>
      <c r="H572" s="11">
        <v>0.0</v>
      </c>
      <c r="I572" s="11">
        <v>10.0</v>
      </c>
      <c r="J572" s="11">
        <v>0.0</v>
      </c>
      <c r="K572" s="11">
        <f t="shared" si="1"/>
        <v>80</v>
      </c>
      <c r="L572" s="11">
        <f t="shared" si="2"/>
        <v>5</v>
      </c>
    </row>
    <row r="573" ht="15.75" customHeight="1">
      <c r="A573" s="10" t="s">
        <v>1236</v>
      </c>
      <c r="B573" s="10" t="s">
        <v>1237</v>
      </c>
      <c r="C573" s="11">
        <v>0.0</v>
      </c>
      <c r="D573" s="11">
        <v>0.0</v>
      </c>
      <c r="E573" s="11">
        <v>50.0</v>
      </c>
      <c r="F573" s="11">
        <v>50.0</v>
      </c>
      <c r="G573" s="11">
        <v>10.0</v>
      </c>
      <c r="H573" s="11">
        <v>10.0</v>
      </c>
      <c r="I573" s="11">
        <v>10.0</v>
      </c>
      <c r="J573" s="11">
        <v>0.0</v>
      </c>
      <c r="K573" s="11">
        <f t="shared" si="1"/>
        <v>130</v>
      </c>
      <c r="L573" s="11">
        <f t="shared" si="2"/>
        <v>7.5</v>
      </c>
    </row>
    <row r="574" ht="15.75" customHeight="1">
      <c r="A574" s="10" t="s">
        <v>1238</v>
      </c>
      <c r="B574" s="10" t="s">
        <v>1239</v>
      </c>
      <c r="C574" s="11">
        <v>0.0</v>
      </c>
      <c r="D574" s="11">
        <v>0.0</v>
      </c>
      <c r="E574" s="11">
        <v>40.0</v>
      </c>
      <c r="F574" s="11">
        <v>40.0</v>
      </c>
      <c r="G574" s="11">
        <v>0.0</v>
      </c>
      <c r="H574" s="11">
        <v>0.0</v>
      </c>
      <c r="I574" s="11">
        <v>10.0</v>
      </c>
      <c r="J574" s="11">
        <v>0.0</v>
      </c>
      <c r="K574" s="11">
        <f t="shared" si="1"/>
        <v>90</v>
      </c>
      <c r="L574" s="11">
        <f t="shared" si="2"/>
        <v>2.5</v>
      </c>
    </row>
    <row r="575" ht="15.75" customHeight="1">
      <c r="A575" s="10" t="s">
        <v>1240</v>
      </c>
      <c r="B575" s="10" t="s">
        <v>1241</v>
      </c>
      <c r="C575" s="11">
        <v>0.0</v>
      </c>
      <c r="D575" s="11">
        <v>0.0</v>
      </c>
      <c r="E575" s="11">
        <v>50.0</v>
      </c>
      <c r="F575" s="11">
        <v>30.0</v>
      </c>
      <c r="G575" s="11">
        <v>10.0</v>
      </c>
      <c r="H575" s="11">
        <v>10.0</v>
      </c>
      <c r="I575" s="11">
        <v>20.0</v>
      </c>
      <c r="J575" s="11">
        <v>0.0</v>
      </c>
      <c r="K575" s="11">
        <f t="shared" si="1"/>
        <v>120</v>
      </c>
      <c r="L575" s="11">
        <f t="shared" si="2"/>
        <v>10</v>
      </c>
    </row>
    <row r="576" ht="15.75" customHeight="1">
      <c r="A576" s="10" t="s">
        <v>1242</v>
      </c>
      <c r="B576" s="10" t="s">
        <v>1243</v>
      </c>
      <c r="C576" s="11">
        <v>0.0</v>
      </c>
      <c r="D576" s="11">
        <v>0.0</v>
      </c>
      <c r="E576" s="11">
        <v>40.0</v>
      </c>
      <c r="F576" s="11">
        <v>20.0</v>
      </c>
      <c r="G576" s="11">
        <v>10.0</v>
      </c>
      <c r="H576" s="11">
        <v>10.0</v>
      </c>
      <c r="I576" s="11">
        <v>0.0</v>
      </c>
      <c r="J576" s="11">
        <v>0.0</v>
      </c>
      <c r="K576" s="11">
        <f t="shared" si="1"/>
        <v>80</v>
      </c>
      <c r="L576" s="11">
        <f t="shared" si="2"/>
        <v>5</v>
      </c>
    </row>
    <row r="577" ht="15.75" customHeight="1">
      <c r="A577" s="10" t="s">
        <v>1244</v>
      </c>
      <c r="B577" s="10" t="s">
        <v>1245</v>
      </c>
      <c r="C577" s="11">
        <v>0.0</v>
      </c>
      <c r="D577" s="11">
        <v>0.0</v>
      </c>
      <c r="E577" s="11">
        <v>50.0</v>
      </c>
      <c r="F577" s="11">
        <v>30.0</v>
      </c>
      <c r="G577" s="11">
        <v>30.0</v>
      </c>
      <c r="H577" s="11">
        <v>0.0</v>
      </c>
      <c r="I577" s="11">
        <v>10.0</v>
      </c>
      <c r="J577" s="11">
        <v>0.0</v>
      </c>
      <c r="K577" s="11">
        <f t="shared" si="1"/>
        <v>120</v>
      </c>
      <c r="L577" s="11">
        <f t="shared" si="2"/>
        <v>10</v>
      </c>
    </row>
    <row r="578" ht="15.75" customHeight="1">
      <c r="A578" s="10" t="s">
        <v>1246</v>
      </c>
      <c r="B578" s="10" t="s">
        <v>1247</v>
      </c>
      <c r="C578" s="11">
        <v>0.0</v>
      </c>
      <c r="D578" s="11">
        <v>0.0</v>
      </c>
      <c r="E578" s="11">
        <v>50.0</v>
      </c>
      <c r="F578" s="11">
        <v>40.0</v>
      </c>
      <c r="G578" s="11">
        <v>20.0</v>
      </c>
      <c r="H578" s="11">
        <v>0.0</v>
      </c>
      <c r="I578" s="11">
        <v>0.0</v>
      </c>
      <c r="J578" s="11">
        <v>0.0</v>
      </c>
      <c r="K578" s="11">
        <f t="shared" si="1"/>
        <v>110</v>
      </c>
      <c r="L578" s="11">
        <f t="shared" si="2"/>
        <v>5</v>
      </c>
    </row>
    <row r="579" ht="15.75" customHeight="1">
      <c r="A579" s="10" t="s">
        <v>1248</v>
      </c>
      <c r="B579" s="10" t="s">
        <v>1249</v>
      </c>
      <c r="C579" s="11">
        <v>0.0</v>
      </c>
      <c r="D579" s="11">
        <v>0.0</v>
      </c>
      <c r="E579" s="11">
        <v>40.0</v>
      </c>
      <c r="F579" s="11">
        <v>70.0</v>
      </c>
      <c r="G579" s="11">
        <v>50.0</v>
      </c>
      <c r="H579" s="11">
        <v>10.0</v>
      </c>
      <c r="I579" s="11">
        <v>0.0</v>
      </c>
      <c r="J579" s="11">
        <v>0.0</v>
      </c>
      <c r="K579" s="11">
        <f t="shared" si="1"/>
        <v>170</v>
      </c>
      <c r="L579" s="11">
        <f t="shared" si="2"/>
        <v>15</v>
      </c>
    </row>
    <row r="580" ht="15.75" customHeight="1">
      <c r="A580" s="10" t="s">
        <v>1250</v>
      </c>
      <c r="B580" s="10" t="s">
        <v>1251</v>
      </c>
      <c r="C580" s="11">
        <v>0.0</v>
      </c>
      <c r="D580" s="11">
        <v>0.0</v>
      </c>
      <c r="E580" s="11">
        <v>0.0</v>
      </c>
      <c r="F580" s="11">
        <v>0.0</v>
      </c>
      <c r="G580" s="11">
        <v>0.0</v>
      </c>
      <c r="H580" s="11">
        <v>0.0</v>
      </c>
      <c r="I580" s="11">
        <v>0.0</v>
      </c>
      <c r="J580" s="11">
        <v>0.0</v>
      </c>
      <c r="K580" s="11">
        <f t="shared" si="1"/>
        <v>0</v>
      </c>
      <c r="L580" s="11">
        <f t="shared" si="2"/>
        <v>0</v>
      </c>
    </row>
    <row r="581" ht="15.75" customHeight="1">
      <c r="A581" s="10" t="s">
        <v>1252</v>
      </c>
      <c r="B581" s="10" t="s">
        <v>1253</v>
      </c>
      <c r="C581" s="11">
        <v>0.0</v>
      </c>
      <c r="D581" s="11">
        <v>0.0</v>
      </c>
      <c r="E581" s="11">
        <v>0.0</v>
      </c>
      <c r="F581" s="11">
        <v>0.0</v>
      </c>
      <c r="G581" s="11">
        <v>0.0</v>
      </c>
      <c r="H581" s="11">
        <v>0.0</v>
      </c>
      <c r="I581" s="11">
        <v>50.0</v>
      </c>
      <c r="J581" s="11">
        <v>0.0</v>
      </c>
      <c r="K581" s="11">
        <f t="shared" si="1"/>
        <v>50</v>
      </c>
      <c r="L581" s="11">
        <f t="shared" si="2"/>
        <v>12.5</v>
      </c>
    </row>
    <row r="582" ht="15.75" customHeight="1">
      <c r="A582" s="10" t="s">
        <v>1254</v>
      </c>
      <c r="B582" s="10" t="s">
        <v>1255</v>
      </c>
      <c r="C582" s="11">
        <v>0.0</v>
      </c>
      <c r="D582" s="11">
        <v>0.0</v>
      </c>
      <c r="E582" s="11">
        <v>0.0</v>
      </c>
      <c r="F582" s="11">
        <v>0.0</v>
      </c>
      <c r="G582" s="11">
        <v>0.0</v>
      </c>
      <c r="H582" s="11">
        <v>0.0</v>
      </c>
      <c r="I582" s="11">
        <v>0.0</v>
      </c>
      <c r="J582" s="11">
        <v>0.0</v>
      </c>
      <c r="K582" s="11">
        <f t="shared" si="1"/>
        <v>0</v>
      </c>
      <c r="L582" s="11">
        <f t="shared" si="2"/>
        <v>0</v>
      </c>
    </row>
    <row r="583" ht="15.75" customHeight="1">
      <c r="A583" s="10" t="s">
        <v>1256</v>
      </c>
      <c r="B583" s="10" t="s">
        <v>1257</v>
      </c>
      <c r="C583" s="11">
        <v>0.0</v>
      </c>
      <c r="D583" s="11">
        <v>0.0</v>
      </c>
      <c r="E583" s="11">
        <v>0.0</v>
      </c>
      <c r="F583" s="11">
        <v>0.0</v>
      </c>
      <c r="G583" s="11">
        <v>0.0</v>
      </c>
      <c r="H583" s="11">
        <v>0.0</v>
      </c>
      <c r="I583" s="11">
        <v>0.0</v>
      </c>
      <c r="J583" s="11">
        <v>0.0</v>
      </c>
      <c r="K583" s="11">
        <f t="shared" si="1"/>
        <v>0</v>
      </c>
      <c r="L583" s="11">
        <f t="shared" si="2"/>
        <v>0</v>
      </c>
    </row>
    <row r="584" ht="15.75" customHeight="1">
      <c r="A584" s="10" t="s">
        <v>1258</v>
      </c>
      <c r="B584" s="10" t="s">
        <v>1259</v>
      </c>
      <c r="C584" s="11">
        <v>0.0</v>
      </c>
      <c r="D584" s="11">
        <v>0.0</v>
      </c>
      <c r="E584" s="11">
        <v>0.0</v>
      </c>
      <c r="F584" s="11">
        <v>0.0</v>
      </c>
      <c r="G584" s="11">
        <v>0.0</v>
      </c>
      <c r="H584" s="11">
        <v>0.0</v>
      </c>
      <c r="I584" s="11">
        <v>0.0</v>
      </c>
      <c r="J584" s="11">
        <v>0.0</v>
      </c>
      <c r="K584" s="11">
        <f t="shared" si="1"/>
        <v>0</v>
      </c>
      <c r="L584" s="11">
        <f t="shared" si="2"/>
        <v>0</v>
      </c>
    </row>
    <row r="585" ht="15.75" customHeight="1">
      <c r="A585" s="10" t="s">
        <v>1260</v>
      </c>
      <c r="B585" s="10" t="s">
        <v>1261</v>
      </c>
      <c r="C585" s="11">
        <v>0.0</v>
      </c>
      <c r="D585" s="11">
        <v>0.0</v>
      </c>
      <c r="E585" s="11">
        <v>0.0</v>
      </c>
      <c r="F585" s="11">
        <v>0.0</v>
      </c>
      <c r="G585" s="11">
        <v>0.0</v>
      </c>
      <c r="H585" s="11">
        <v>0.0</v>
      </c>
      <c r="I585" s="11">
        <v>0.0</v>
      </c>
      <c r="J585" s="11">
        <v>0.0</v>
      </c>
      <c r="K585" s="11">
        <f t="shared" si="1"/>
        <v>0</v>
      </c>
      <c r="L585" s="11">
        <f t="shared" si="2"/>
        <v>0</v>
      </c>
    </row>
    <row r="586" ht="15.75" customHeight="1">
      <c r="A586" s="10" t="s">
        <v>1262</v>
      </c>
      <c r="B586" s="10" t="s">
        <v>1263</v>
      </c>
      <c r="C586" s="11">
        <v>0.0</v>
      </c>
      <c r="D586" s="11">
        <v>0.0</v>
      </c>
      <c r="E586" s="11">
        <v>0.0</v>
      </c>
      <c r="F586" s="11">
        <v>0.0</v>
      </c>
      <c r="G586" s="11">
        <v>0.0</v>
      </c>
      <c r="H586" s="11">
        <v>0.0</v>
      </c>
      <c r="I586" s="11">
        <v>0.0</v>
      </c>
      <c r="J586" s="11">
        <v>0.0</v>
      </c>
      <c r="K586" s="11">
        <f t="shared" si="1"/>
        <v>0</v>
      </c>
      <c r="L586" s="11">
        <f t="shared" si="2"/>
        <v>0</v>
      </c>
    </row>
    <row r="587" ht="15.75" customHeight="1">
      <c r="A587" s="10" t="s">
        <v>1264</v>
      </c>
      <c r="B587" s="10" t="s">
        <v>1265</v>
      </c>
      <c r="C587" s="11">
        <v>0.0</v>
      </c>
      <c r="D587" s="11">
        <v>0.0</v>
      </c>
      <c r="E587" s="11">
        <v>0.0</v>
      </c>
      <c r="F587" s="11">
        <v>0.0</v>
      </c>
      <c r="G587" s="11">
        <v>0.0</v>
      </c>
      <c r="H587" s="11">
        <v>0.0</v>
      </c>
      <c r="I587" s="11">
        <v>0.0</v>
      </c>
      <c r="J587" s="11">
        <v>0.0</v>
      </c>
      <c r="K587" s="11">
        <f t="shared" si="1"/>
        <v>0</v>
      </c>
      <c r="L587" s="11">
        <f t="shared" si="2"/>
        <v>0</v>
      </c>
    </row>
    <row r="588" ht="15.75" customHeight="1">
      <c r="A588" s="10" t="s">
        <v>1266</v>
      </c>
      <c r="B588" s="10" t="s">
        <v>1267</v>
      </c>
      <c r="C588" s="11">
        <v>0.0</v>
      </c>
      <c r="D588" s="11">
        <v>0.0</v>
      </c>
      <c r="E588" s="11">
        <v>0.0</v>
      </c>
      <c r="F588" s="11">
        <v>0.0</v>
      </c>
      <c r="G588" s="11">
        <v>0.0</v>
      </c>
      <c r="H588" s="11">
        <v>0.0</v>
      </c>
      <c r="I588" s="11">
        <v>0.0</v>
      </c>
      <c r="J588" s="11">
        <v>0.0</v>
      </c>
      <c r="K588" s="11">
        <f t="shared" si="1"/>
        <v>0</v>
      </c>
      <c r="L588" s="11">
        <f t="shared" si="2"/>
        <v>0</v>
      </c>
    </row>
    <row r="589" ht="15.75" customHeight="1">
      <c r="A589" s="10" t="s">
        <v>1268</v>
      </c>
      <c r="B589" s="10" t="s">
        <v>1269</v>
      </c>
      <c r="C589" s="11">
        <v>0.0</v>
      </c>
      <c r="D589" s="11">
        <v>0.0</v>
      </c>
      <c r="E589" s="11">
        <v>0.0</v>
      </c>
      <c r="F589" s="11">
        <v>0.0</v>
      </c>
      <c r="G589" s="11">
        <v>0.0</v>
      </c>
      <c r="H589" s="11">
        <v>0.0</v>
      </c>
      <c r="I589" s="11">
        <v>0.0</v>
      </c>
      <c r="J589" s="11">
        <v>0.0</v>
      </c>
      <c r="K589" s="11">
        <f t="shared" si="1"/>
        <v>0</v>
      </c>
      <c r="L589" s="11">
        <f t="shared" si="2"/>
        <v>0</v>
      </c>
    </row>
    <row r="590" ht="15.75" customHeight="1">
      <c r="A590" s="10" t="s">
        <v>1270</v>
      </c>
      <c r="B590" s="10" t="s">
        <v>1271</v>
      </c>
      <c r="C590" s="11">
        <v>0.0</v>
      </c>
      <c r="D590" s="11">
        <v>0.0</v>
      </c>
      <c r="E590" s="11">
        <v>0.0</v>
      </c>
      <c r="F590" s="11">
        <v>0.0</v>
      </c>
      <c r="G590" s="11">
        <v>0.0</v>
      </c>
      <c r="H590" s="11">
        <v>0.0</v>
      </c>
      <c r="I590" s="11">
        <v>0.0</v>
      </c>
      <c r="J590" s="11">
        <v>0.0</v>
      </c>
      <c r="K590" s="11">
        <f t="shared" si="1"/>
        <v>0</v>
      </c>
      <c r="L590" s="11">
        <f t="shared" si="2"/>
        <v>0</v>
      </c>
    </row>
    <row r="591" ht="15.75" customHeight="1">
      <c r="A591" s="10" t="s">
        <v>1272</v>
      </c>
      <c r="B591" s="10" t="s">
        <v>1273</v>
      </c>
      <c r="C591" s="11">
        <v>50.0</v>
      </c>
      <c r="D591" s="11">
        <v>0.0</v>
      </c>
      <c r="E591" s="11">
        <v>0.0</v>
      </c>
      <c r="F591" s="11">
        <v>50.0</v>
      </c>
      <c r="G591" s="11">
        <v>0.0</v>
      </c>
      <c r="H591" s="11">
        <v>0.0</v>
      </c>
      <c r="I591" s="11">
        <v>50.0</v>
      </c>
      <c r="J591" s="11">
        <v>200.0</v>
      </c>
      <c r="K591" s="11">
        <f t="shared" si="1"/>
        <v>350</v>
      </c>
      <c r="L591" s="11">
        <f t="shared" si="2"/>
        <v>62.5</v>
      </c>
    </row>
    <row r="592" ht="15.75" customHeight="1">
      <c r="A592" s="10" t="s">
        <v>1274</v>
      </c>
      <c r="B592" s="10" t="s">
        <v>1275</v>
      </c>
      <c r="C592" s="11">
        <v>0.0</v>
      </c>
      <c r="D592" s="11">
        <v>0.0</v>
      </c>
      <c r="E592" s="11">
        <v>0.0</v>
      </c>
      <c r="F592" s="11">
        <v>0.0</v>
      </c>
      <c r="G592" s="11">
        <v>0.0</v>
      </c>
      <c r="H592" s="11">
        <v>0.0</v>
      </c>
      <c r="I592" s="11">
        <v>0.0</v>
      </c>
      <c r="J592" s="11">
        <v>0.0</v>
      </c>
      <c r="K592" s="11">
        <f t="shared" si="1"/>
        <v>0</v>
      </c>
      <c r="L592" s="11">
        <f t="shared" si="2"/>
        <v>0</v>
      </c>
    </row>
    <row r="593" ht="15.75" customHeight="1">
      <c r="A593" s="10" t="s">
        <v>1276</v>
      </c>
      <c r="B593" s="10" t="s">
        <v>1277</v>
      </c>
      <c r="C593" s="11">
        <v>0.0</v>
      </c>
      <c r="D593" s="11">
        <v>0.0</v>
      </c>
      <c r="E593" s="11">
        <v>0.0</v>
      </c>
      <c r="F593" s="11">
        <v>0.0</v>
      </c>
      <c r="G593" s="11">
        <v>0.0</v>
      </c>
      <c r="H593" s="11">
        <v>0.0</v>
      </c>
      <c r="I593" s="11">
        <v>0.0</v>
      </c>
      <c r="J593" s="11">
        <v>0.0</v>
      </c>
      <c r="K593" s="11">
        <f t="shared" si="1"/>
        <v>0</v>
      </c>
      <c r="L593" s="11">
        <f t="shared" si="2"/>
        <v>0</v>
      </c>
    </row>
    <row r="594" ht="15.75" customHeight="1">
      <c r="A594" s="10" t="s">
        <v>1278</v>
      </c>
      <c r="B594" s="10" t="s">
        <v>1279</v>
      </c>
      <c r="C594" s="11">
        <v>0.0</v>
      </c>
      <c r="D594" s="11">
        <v>0.0</v>
      </c>
      <c r="E594" s="11">
        <v>0.0</v>
      </c>
      <c r="F594" s="11">
        <v>0.0</v>
      </c>
      <c r="G594" s="11">
        <v>0.0</v>
      </c>
      <c r="H594" s="11">
        <v>0.0</v>
      </c>
      <c r="I594" s="11">
        <v>0.0</v>
      </c>
      <c r="J594" s="11">
        <v>0.0</v>
      </c>
      <c r="K594" s="11">
        <f t="shared" si="1"/>
        <v>0</v>
      </c>
      <c r="L594" s="11">
        <f t="shared" si="2"/>
        <v>0</v>
      </c>
    </row>
    <row r="595" ht="15.75" customHeight="1">
      <c r="A595" s="10" t="s">
        <v>1280</v>
      </c>
      <c r="B595" s="10" t="s">
        <v>1281</v>
      </c>
      <c r="C595" s="11">
        <v>0.0</v>
      </c>
      <c r="D595" s="11">
        <v>0.0</v>
      </c>
      <c r="E595" s="11">
        <v>22.7</v>
      </c>
      <c r="F595" s="11">
        <v>121.5</v>
      </c>
      <c r="G595" s="11">
        <v>0.0</v>
      </c>
      <c r="H595" s="11">
        <v>0.0</v>
      </c>
      <c r="I595" s="11">
        <v>0.0</v>
      </c>
      <c r="J595" s="11">
        <v>0.0</v>
      </c>
      <c r="K595" s="11">
        <f t="shared" si="1"/>
        <v>144.2</v>
      </c>
      <c r="L595" s="11">
        <f t="shared" si="2"/>
        <v>0</v>
      </c>
    </row>
    <row r="596" ht="15.75" customHeight="1">
      <c r="A596" s="10" t="s">
        <v>1282</v>
      </c>
      <c r="B596" s="10" t="s">
        <v>1283</v>
      </c>
      <c r="C596" s="11">
        <v>0.0</v>
      </c>
      <c r="D596" s="11">
        <v>0.0</v>
      </c>
      <c r="E596" s="11">
        <v>0.0</v>
      </c>
      <c r="F596" s="11">
        <v>0.0</v>
      </c>
      <c r="G596" s="11">
        <v>0.0</v>
      </c>
      <c r="H596" s="11">
        <v>0.0</v>
      </c>
      <c r="I596" s="11">
        <v>0.0</v>
      </c>
      <c r="J596" s="11">
        <v>0.0</v>
      </c>
      <c r="K596" s="11">
        <f t="shared" si="1"/>
        <v>0</v>
      </c>
      <c r="L596" s="11">
        <f t="shared" si="2"/>
        <v>0</v>
      </c>
    </row>
    <row r="597" ht="15.75" customHeight="1">
      <c r="A597" s="10" t="s">
        <v>1284</v>
      </c>
      <c r="B597" s="10" t="s">
        <v>1285</v>
      </c>
      <c r="C597" s="11">
        <v>0.0</v>
      </c>
      <c r="D597" s="11">
        <v>0.0</v>
      </c>
      <c r="E597" s="11">
        <v>504.0</v>
      </c>
      <c r="F597" s="11">
        <v>72.0</v>
      </c>
      <c r="G597" s="11">
        <v>0.0</v>
      </c>
      <c r="H597" s="11">
        <v>72.0</v>
      </c>
      <c r="I597" s="11">
        <v>0.0</v>
      </c>
      <c r="J597" s="11">
        <v>0.0</v>
      </c>
      <c r="K597" s="11">
        <f t="shared" si="1"/>
        <v>648</v>
      </c>
      <c r="L597" s="11">
        <f t="shared" si="2"/>
        <v>18</v>
      </c>
    </row>
    <row r="598" ht="15.75" customHeight="1">
      <c r="A598" s="10" t="s">
        <v>1286</v>
      </c>
      <c r="B598" s="10" t="s">
        <v>1287</v>
      </c>
      <c r="C598" s="11">
        <v>0.0</v>
      </c>
      <c r="D598" s="11">
        <v>0.0</v>
      </c>
      <c r="E598" s="11">
        <v>0.0</v>
      </c>
      <c r="F598" s="11">
        <v>0.0</v>
      </c>
      <c r="G598" s="11">
        <v>0.0</v>
      </c>
      <c r="H598" s="11">
        <v>0.0</v>
      </c>
      <c r="I598" s="11">
        <v>0.0</v>
      </c>
      <c r="J598" s="11">
        <v>0.0</v>
      </c>
      <c r="K598" s="11">
        <f t="shared" si="1"/>
        <v>0</v>
      </c>
      <c r="L598" s="11">
        <f t="shared" si="2"/>
        <v>0</v>
      </c>
    </row>
    <row r="599" ht="15.75" customHeight="1">
      <c r="A599" s="10" t="s">
        <v>1288</v>
      </c>
      <c r="B599" s="10" t="s">
        <v>1289</v>
      </c>
      <c r="C599" s="11">
        <v>0.0</v>
      </c>
      <c r="D599" s="11">
        <v>0.0</v>
      </c>
      <c r="E599" s="11">
        <v>0.0</v>
      </c>
      <c r="F599" s="11">
        <v>0.0</v>
      </c>
      <c r="G599" s="11">
        <v>0.0</v>
      </c>
      <c r="H599" s="11">
        <v>0.0</v>
      </c>
      <c r="I599" s="11">
        <v>0.0</v>
      </c>
      <c r="J599" s="11">
        <v>0.0</v>
      </c>
      <c r="K599" s="11">
        <f t="shared" si="1"/>
        <v>0</v>
      </c>
      <c r="L599" s="11">
        <f t="shared" si="2"/>
        <v>0</v>
      </c>
    </row>
    <row r="600" ht="15.75" customHeight="1">
      <c r="A600" s="10" t="s">
        <v>1290</v>
      </c>
      <c r="B600" s="10" t="s">
        <v>1291</v>
      </c>
      <c r="C600" s="11">
        <v>0.0</v>
      </c>
      <c r="D600" s="11">
        <v>0.0</v>
      </c>
      <c r="E600" s="11">
        <v>0.0</v>
      </c>
      <c r="F600" s="11">
        <v>0.0</v>
      </c>
      <c r="G600" s="11">
        <v>0.0</v>
      </c>
      <c r="H600" s="11">
        <v>0.0</v>
      </c>
      <c r="I600" s="11">
        <v>0.0</v>
      </c>
      <c r="J600" s="11">
        <v>0.0</v>
      </c>
      <c r="K600" s="11">
        <f t="shared" si="1"/>
        <v>0</v>
      </c>
      <c r="L600" s="11">
        <f t="shared" si="2"/>
        <v>0</v>
      </c>
    </row>
    <row r="601" ht="15.75" customHeight="1">
      <c r="A601" s="10" t="s">
        <v>1292</v>
      </c>
      <c r="B601" s="10" t="s">
        <v>1293</v>
      </c>
      <c r="C601" s="11">
        <v>0.0</v>
      </c>
      <c r="D601" s="11">
        <v>0.0</v>
      </c>
      <c r="E601" s="11">
        <v>0.0</v>
      </c>
      <c r="F601" s="11">
        <v>0.0</v>
      </c>
      <c r="G601" s="11">
        <v>0.0</v>
      </c>
      <c r="H601" s="11">
        <v>0.0</v>
      </c>
      <c r="I601" s="11">
        <v>0.0</v>
      </c>
      <c r="J601" s="11">
        <v>0.0</v>
      </c>
      <c r="K601" s="11">
        <f t="shared" si="1"/>
        <v>0</v>
      </c>
      <c r="L601" s="11">
        <f t="shared" si="2"/>
        <v>0</v>
      </c>
    </row>
    <row r="602" ht="15.75" customHeight="1">
      <c r="A602" s="10" t="s">
        <v>1294</v>
      </c>
      <c r="B602" s="10" t="s">
        <v>1295</v>
      </c>
      <c r="C602" s="11">
        <v>0.0</v>
      </c>
      <c r="D602" s="11">
        <v>0.0</v>
      </c>
      <c r="E602" s="11">
        <v>0.0</v>
      </c>
      <c r="F602" s="11">
        <v>0.0</v>
      </c>
      <c r="G602" s="11">
        <v>0.0</v>
      </c>
      <c r="H602" s="11">
        <v>0.0</v>
      </c>
      <c r="I602" s="11">
        <v>0.0</v>
      </c>
      <c r="J602" s="11">
        <v>0.0</v>
      </c>
      <c r="K602" s="11">
        <f t="shared" si="1"/>
        <v>0</v>
      </c>
      <c r="L602" s="11">
        <f t="shared" si="2"/>
        <v>0</v>
      </c>
    </row>
    <row r="603" ht="15.75" customHeight="1">
      <c r="A603" s="10" t="s">
        <v>1296</v>
      </c>
      <c r="B603" s="10" t="s">
        <v>1297</v>
      </c>
      <c r="C603" s="11">
        <v>0.0</v>
      </c>
      <c r="D603" s="11">
        <v>0.0</v>
      </c>
      <c r="E603" s="11">
        <v>0.0</v>
      </c>
      <c r="F603" s="11">
        <v>0.0</v>
      </c>
      <c r="G603" s="11">
        <v>0.0</v>
      </c>
      <c r="H603" s="11">
        <v>0.0</v>
      </c>
      <c r="I603" s="11">
        <v>0.0</v>
      </c>
      <c r="J603" s="11">
        <v>0.0</v>
      </c>
      <c r="K603" s="11">
        <f t="shared" si="1"/>
        <v>0</v>
      </c>
      <c r="L603" s="11">
        <f t="shared" si="2"/>
        <v>0</v>
      </c>
    </row>
    <row r="604" ht="15.75" customHeight="1">
      <c r="A604" s="10" t="s">
        <v>1298</v>
      </c>
      <c r="B604" s="10" t="s">
        <v>1299</v>
      </c>
      <c r="C604" s="11">
        <v>0.0</v>
      </c>
      <c r="D604" s="11">
        <v>0.0</v>
      </c>
      <c r="E604" s="11">
        <v>0.0</v>
      </c>
      <c r="F604" s="11">
        <v>0.0</v>
      </c>
      <c r="G604" s="11">
        <v>0.0</v>
      </c>
      <c r="H604" s="11">
        <v>0.0</v>
      </c>
      <c r="I604" s="11">
        <v>0.0</v>
      </c>
      <c r="J604" s="11">
        <v>0.0</v>
      </c>
      <c r="K604" s="11">
        <f t="shared" si="1"/>
        <v>0</v>
      </c>
      <c r="L604" s="11">
        <f t="shared" si="2"/>
        <v>0</v>
      </c>
    </row>
    <row r="605" ht="15.75" customHeight="1">
      <c r="A605" s="10" t="s">
        <v>1300</v>
      </c>
      <c r="B605" s="10" t="s">
        <v>1301</v>
      </c>
      <c r="C605" s="11">
        <v>0.0</v>
      </c>
      <c r="D605" s="11">
        <v>0.0</v>
      </c>
      <c r="E605" s="11">
        <v>0.0</v>
      </c>
      <c r="F605" s="11">
        <v>0.0</v>
      </c>
      <c r="G605" s="11">
        <v>0.0</v>
      </c>
      <c r="H605" s="11">
        <v>0.0</v>
      </c>
      <c r="I605" s="11">
        <v>0.0</v>
      </c>
      <c r="J605" s="11">
        <v>0.0</v>
      </c>
      <c r="K605" s="11">
        <f t="shared" si="1"/>
        <v>0</v>
      </c>
      <c r="L605" s="11">
        <f t="shared" si="2"/>
        <v>0</v>
      </c>
    </row>
    <row r="606" ht="15.75" customHeight="1">
      <c r="A606" s="10" t="s">
        <v>1302</v>
      </c>
      <c r="B606" s="10" t="s">
        <v>1303</v>
      </c>
      <c r="C606" s="11">
        <v>0.0</v>
      </c>
      <c r="D606" s="11">
        <v>0.0</v>
      </c>
      <c r="E606" s="11">
        <v>0.0</v>
      </c>
      <c r="F606" s="11">
        <v>0.0</v>
      </c>
      <c r="G606" s="11">
        <v>0.0</v>
      </c>
      <c r="H606" s="11">
        <v>0.0</v>
      </c>
      <c r="I606" s="11">
        <v>0.0</v>
      </c>
      <c r="J606" s="11">
        <v>0.0</v>
      </c>
      <c r="K606" s="11">
        <f t="shared" si="1"/>
        <v>0</v>
      </c>
      <c r="L606" s="11">
        <f t="shared" si="2"/>
        <v>0</v>
      </c>
    </row>
    <row r="607" ht="15.75" customHeight="1">
      <c r="A607" s="10" t="s">
        <v>1304</v>
      </c>
      <c r="B607" s="10" t="s">
        <v>1305</v>
      </c>
      <c r="C607" s="11">
        <v>0.0</v>
      </c>
      <c r="D607" s="11">
        <v>0.0</v>
      </c>
      <c r="E607" s="11">
        <v>0.0</v>
      </c>
      <c r="F607" s="11">
        <v>0.0</v>
      </c>
      <c r="G607" s="11">
        <v>0.0</v>
      </c>
      <c r="H607" s="11">
        <v>0.0</v>
      </c>
      <c r="I607" s="11">
        <v>0.0</v>
      </c>
      <c r="J607" s="11">
        <v>0.0</v>
      </c>
      <c r="K607" s="11">
        <f t="shared" si="1"/>
        <v>0</v>
      </c>
      <c r="L607" s="11">
        <f t="shared" si="2"/>
        <v>0</v>
      </c>
    </row>
    <row r="608" ht="15.75" customHeight="1">
      <c r="A608" s="10" t="s">
        <v>1306</v>
      </c>
      <c r="B608" s="10" t="s">
        <v>1307</v>
      </c>
      <c r="C608" s="11">
        <v>0.0</v>
      </c>
      <c r="D608" s="11">
        <v>0.0</v>
      </c>
      <c r="E608" s="11">
        <v>0.0</v>
      </c>
      <c r="F608" s="11">
        <v>0.0</v>
      </c>
      <c r="G608" s="11">
        <v>0.0</v>
      </c>
      <c r="H608" s="11">
        <v>0.0</v>
      </c>
      <c r="I608" s="11">
        <v>0.0</v>
      </c>
      <c r="J608" s="11">
        <v>0.0</v>
      </c>
      <c r="K608" s="11">
        <f t="shared" si="1"/>
        <v>0</v>
      </c>
      <c r="L608" s="11">
        <f t="shared" si="2"/>
        <v>0</v>
      </c>
    </row>
    <row r="609" ht="15.75" customHeight="1">
      <c r="A609" s="10" t="s">
        <v>1308</v>
      </c>
      <c r="B609" s="10" t="s">
        <v>1309</v>
      </c>
      <c r="C609" s="11">
        <v>0.0</v>
      </c>
      <c r="D609" s="11">
        <v>0.0</v>
      </c>
      <c r="E609" s="11">
        <v>0.0</v>
      </c>
      <c r="F609" s="11">
        <v>0.0</v>
      </c>
      <c r="G609" s="11">
        <v>0.0</v>
      </c>
      <c r="H609" s="11">
        <v>0.0</v>
      </c>
      <c r="I609" s="11">
        <v>0.0</v>
      </c>
      <c r="J609" s="11">
        <v>0.0</v>
      </c>
      <c r="K609" s="11">
        <f t="shared" si="1"/>
        <v>0</v>
      </c>
      <c r="L609" s="11">
        <f t="shared" si="2"/>
        <v>0</v>
      </c>
    </row>
    <row r="610" ht="15.75" customHeight="1">
      <c r="A610" s="10" t="s">
        <v>1310</v>
      </c>
      <c r="B610" s="10" t="s">
        <v>1311</v>
      </c>
      <c r="C610" s="11">
        <v>0.0</v>
      </c>
      <c r="D610" s="11">
        <v>0.0</v>
      </c>
      <c r="E610" s="11">
        <v>0.0</v>
      </c>
      <c r="F610" s="11">
        <v>0.0</v>
      </c>
      <c r="G610" s="11">
        <v>0.0</v>
      </c>
      <c r="H610" s="11">
        <v>0.0</v>
      </c>
      <c r="I610" s="11">
        <v>0.0</v>
      </c>
      <c r="J610" s="11">
        <v>0.0</v>
      </c>
      <c r="K610" s="11">
        <f t="shared" si="1"/>
        <v>0</v>
      </c>
      <c r="L610" s="11">
        <f t="shared" si="2"/>
        <v>0</v>
      </c>
    </row>
    <row r="611" ht="15.75" customHeight="1">
      <c r="A611" s="10" t="s">
        <v>1312</v>
      </c>
      <c r="B611" s="10" t="s">
        <v>1313</v>
      </c>
      <c r="C611" s="11">
        <v>0.0</v>
      </c>
      <c r="D611" s="11">
        <v>0.0</v>
      </c>
      <c r="E611" s="11">
        <v>0.0</v>
      </c>
      <c r="F611" s="11">
        <v>0.0</v>
      </c>
      <c r="G611" s="11">
        <v>0.0</v>
      </c>
      <c r="H611" s="11">
        <v>0.0</v>
      </c>
      <c r="I611" s="11">
        <v>0.0</v>
      </c>
      <c r="J611" s="11">
        <v>0.0</v>
      </c>
      <c r="K611" s="11">
        <f t="shared" si="1"/>
        <v>0</v>
      </c>
      <c r="L611" s="11">
        <f t="shared" si="2"/>
        <v>0</v>
      </c>
    </row>
    <row r="612" ht="15.75" customHeight="1">
      <c r="A612" s="10" t="s">
        <v>1314</v>
      </c>
      <c r="B612" s="10" t="s">
        <v>1315</v>
      </c>
      <c r="C612" s="11">
        <v>0.0</v>
      </c>
      <c r="D612" s="11">
        <v>216.0</v>
      </c>
      <c r="E612" s="11">
        <v>72.0</v>
      </c>
      <c r="F612" s="11">
        <v>72.0</v>
      </c>
      <c r="G612" s="11">
        <v>72.0</v>
      </c>
      <c r="H612" s="11">
        <v>0.0</v>
      </c>
      <c r="I612" s="11">
        <v>0.0</v>
      </c>
      <c r="J612" s="11">
        <v>0.0</v>
      </c>
      <c r="K612" s="11">
        <f t="shared" si="1"/>
        <v>432</v>
      </c>
      <c r="L612" s="11">
        <f t="shared" si="2"/>
        <v>18</v>
      </c>
    </row>
    <row r="613" ht="15.75" customHeight="1">
      <c r="A613" s="10" t="s">
        <v>1316</v>
      </c>
      <c r="B613" s="10" t="s">
        <v>1317</v>
      </c>
      <c r="C613" s="11">
        <v>0.0</v>
      </c>
      <c r="D613" s="11">
        <v>0.0</v>
      </c>
      <c r="E613" s="11">
        <v>91.0</v>
      </c>
      <c r="F613" s="11">
        <v>191.0</v>
      </c>
      <c r="G613" s="11">
        <v>91.0</v>
      </c>
      <c r="H613" s="11">
        <v>0.0</v>
      </c>
      <c r="I613" s="11">
        <v>91.0</v>
      </c>
      <c r="J613" s="11">
        <v>0.0</v>
      </c>
      <c r="K613" s="11">
        <f t="shared" si="1"/>
        <v>464</v>
      </c>
      <c r="L613" s="11">
        <f t="shared" si="2"/>
        <v>45.5</v>
      </c>
    </row>
    <row r="614" ht="15.75" customHeight="1">
      <c r="A614" s="10" t="s">
        <v>1318</v>
      </c>
      <c r="B614" s="10" t="s">
        <v>1319</v>
      </c>
      <c r="C614" s="11">
        <v>600.0</v>
      </c>
      <c r="D614" s="11">
        <v>1042.5</v>
      </c>
      <c r="E614" s="11">
        <v>100.0</v>
      </c>
      <c r="F614" s="11">
        <v>598.5</v>
      </c>
      <c r="G614" s="11">
        <v>492.5</v>
      </c>
      <c r="H614" s="11">
        <v>197.0</v>
      </c>
      <c r="I614" s="11">
        <v>197.0</v>
      </c>
      <c r="J614" s="11">
        <v>198.5</v>
      </c>
      <c r="K614" s="11">
        <f t="shared" si="1"/>
        <v>3426</v>
      </c>
      <c r="L614" s="11">
        <f t="shared" si="2"/>
        <v>271.25</v>
      </c>
    </row>
    <row r="615" ht="15.75" customHeight="1">
      <c r="A615" s="10" t="s">
        <v>1320</v>
      </c>
      <c r="B615" s="10" t="s">
        <v>1321</v>
      </c>
      <c r="C615" s="11">
        <v>0.0</v>
      </c>
      <c r="D615" s="11">
        <v>350.0</v>
      </c>
      <c r="E615" s="11">
        <v>150.0</v>
      </c>
      <c r="F615" s="11">
        <v>700.0</v>
      </c>
      <c r="G615" s="11">
        <v>200.0</v>
      </c>
      <c r="H615" s="11">
        <v>400.0</v>
      </c>
      <c r="I615" s="11">
        <v>300.0</v>
      </c>
      <c r="J615" s="11">
        <v>450.0</v>
      </c>
      <c r="K615" s="11">
        <f t="shared" si="1"/>
        <v>2550</v>
      </c>
      <c r="L615" s="11">
        <f t="shared" si="2"/>
        <v>337.5</v>
      </c>
    </row>
    <row r="616" ht="15.75" customHeight="1">
      <c r="A616" s="10" t="s">
        <v>1322</v>
      </c>
      <c r="B616" s="10" t="s">
        <v>1323</v>
      </c>
      <c r="C616" s="11">
        <v>0.0</v>
      </c>
      <c r="D616" s="11">
        <v>0.0</v>
      </c>
      <c r="E616" s="11">
        <v>0.0</v>
      </c>
      <c r="F616" s="11">
        <v>0.0</v>
      </c>
      <c r="G616" s="11">
        <v>0.0</v>
      </c>
      <c r="H616" s="11">
        <v>0.0</v>
      </c>
      <c r="I616" s="11">
        <v>0.0</v>
      </c>
      <c r="J616" s="11">
        <v>50.0</v>
      </c>
      <c r="K616" s="11">
        <f t="shared" si="1"/>
        <v>50</v>
      </c>
      <c r="L616" s="11">
        <f t="shared" si="2"/>
        <v>12.5</v>
      </c>
    </row>
    <row r="617" ht="15.75" customHeight="1">
      <c r="A617" s="10" t="s">
        <v>1324</v>
      </c>
      <c r="B617" s="10" t="s">
        <v>1325</v>
      </c>
      <c r="C617" s="11">
        <v>0.0</v>
      </c>
      <c r="D617" s="11">
        <v>0.0</v>
      </c>
      <c r="E617" s="11">
        <v>0.0</v>
      </c>
      <c r="F617" s="11">
        <v>0.0</v>
      </c>
      <c r="G617" s="11">
        <v>0.0</v>
      </c>
      <c r="H617" s="11">
        <v>0.0</v>
      </c>
      <c r="I617" s="11">
        <v>0.0</v>
      </c>
      <c r="J617" s="11">
        <v>0.0</v>
      </c>
      <c r="K617" s="11">
        <f t="shared" si="1"/>
        <v>0</v>
      </c>
      <c r="L617" s="11">
        <f t="shared" si="2"/>
        <v>0</v>
      </c>
    </row>
    <row r="618" ht="15.75" customHeight="1">
      <c r="A618" s="10" t="s">
        <v>1330</v>
      </c>
      <c r="B618" s="10" t="s">
        <v>1331</v>
      </c>
      <c r="C618" s="11">
        <v>0.0</v>
      </c>
      <c r="D618" s="11">
        <v>0.0</v>
      </c>
      <c r="E618" s="11">
        <v>0.0</v>
      </c>
      <c r="F618" s="11">
        <v>50.0</v>
      </c>
      <c r="G618" s="11">
        <v>68.0</v>
      </c>
      <c r="H618" s="11">
        <v>0.0</v>
      </c>
      <c r="I618" s="11">
        <v>0.0</v>
      </c>
      <c r="J618" s="11">
        <v>0.0</v>
      </c>
      <c r="K618" s="11">
        <f t="shared" si="1"/>
        <v>118</v>
      </c>
      <c r="L618" s="11">
        <f t="shared" si="2"/>
        <v>17</v>
      </c>
    </row>
    <row r="619" ht="15.75" customHeight="1">
      <c r="A619" s="10" t="s">
        <v>1332</v>
      </c>
      <c r="B619" s="10" t="s">
        <v>1333</v>
      </c>
      <c r="C619" s="11">
        <v>90.0</v>
      </c>
      <c r="D619" s="11">
        <v>30.0</v>
      </c>
      <c r="E619" s="11">
        <v>0.0</v>
      </c>
      <c r="F619" s="11">
        <v>56.0</v>
      </c>
      <c r="G619" s="11">
        <v>30.0</v>
      </c>
      <c r="H619" s="11">
        <v>0.0</v>
      </c>
      <c r="I619" s="11">
        <v>30.0</v>
      </c>
      <c r="J619" s="11">
        <v>0.0</v>
      </c>
      <c r="K619" s="11">
        <f t="shared" si="1"/>
        <v>236</v>
      </c>
      <c r="L619" s="11">
        <f t="shared" si="2"/>
        <v>15</v>
      </c>
    </row>
    <row r="620" ht="15.75" customHeight="1">
      <c r="A620" s="10" t="s">
        <v>1334</v>
      </c>
      <c r="B620" s="10" t="s">
        <v>1335</v>
      </c>
      <c r="C620" s="11">
        <v>235.0</v>
      </c>
      <c r="D620" s="11">
        <v>282.5</v>
      </c>
      <c r="E620" s="11">
        <v>150.0</v>
      </c>
      <c r="F620" s="11">
        <v>150.0</v>
      </c>
      <c r="G620" s="11">
        <v>0.0</v>
      </c>
      <c r="H620" s="11">
        <v>0.0</v>
      </c>
      <c r="I620" s="11">
        <v>0.0</v>
      </c>
      <c r="J620" s="11">
        <v>0.0</v>
      </c>
      <c r="K620" s="11">
        <f t="shared" si="1"/>
        <v>817.5</v>
      </c>
      <c r="L620" s="11">
        <f t="shared" si="2"/>
        <v>0</v>
      </c>
    </row>
    <row r="621" ht="15.75" customHeight="1">
      <c r="A621" s="10" t="s">
        <v>1336</v>
      </c>
      <c r="B621" s="10" t="s">
        <v>1337</v>
      </c>
      <c r="C621" s="11">
        <v>75.0</v>
      </c>
      <c r="D621" s="11">
        <v>125.0</v>
      </c>
      <c r="E621" s="11">
        <v>50.0</v>
      </c>
      <c r="F621" s="11">
        <v>50.0</v>
      </c>
      <c r="G621" s="11">
        <v>100.0</v>
      </c>
      <c r="H621" s="11">
        <v>369.5</v>
      </c>
      <c r="I621" s="11">
        <v>391.9</v>
      </c>
      <c r="J621" s="11">
        <v>225.0</v>
      </c>
      <c r="K621" s="11">
        <f t="shared" si="1"/>
        <v>1386.4</v>
      </c>
      <c r="L621" s="11">
        <f t="shared" si="2"/>
        <v>271.6</v>
      </c>
    </row>
    <row r="622" ht="15.75" customHeight="1">
      <c r="A622" s="10" t="s">
        <v>1338</v>
      </c>
      <c r="B622" s="10" t="s">
        <v>1339</v>
      </c>
      <c r="C622" s="11">
        <v>330.0</v>
      </c>
      <c r="D622" s="11">
        <v>240.0</v>
      </c>
      <c r="E622" s="11">
        <v>0.0</v>
      </c>
      <c r="F622" s="11">
        <v>0.0</v>
      </c>
      <c r="G622" s="11">
        <v>0.0</v>
      </c>
      <c r="H622" s="11">
        <v>0.0</v>
      </c>
      <c r="I622" s="11">
        <v>0.0</v>
      </c>
      <c r="J622" s="11">
        <v>0.0</v>
      </c>
      <c r="K622" s="11">
        <f t="shared" si="1"/>
        <v>570</v>
      </c>
      <c r="L622" s="11">
        <f t="shared" si="2"/>
        <v>0</v>
      </c>
    </row>
    <row r="623" ht="15.75" customHeight="1">
      <c r="A623" s="10" t="s">
        <v>1340</v>
      </c>
      <c r="B623" s="10" t="s">
        <v>1341</v>
      </c>
      <c r="C623" s="11">
        <v>60.0</v>
      </c>
      <c r="D623" s="11">
        <v>30.0</v>
      </c>
      <c r="E623" s="11">
        <v>30.0</v>
      </c>
      <c r="F623" s="11">
        <v>30.0</v>
      </c>
      <c r="G623" s="11">
        <v>30.0</v>
      </c>
      <c r="H623" s="11">
        <v>30.0</v>
      </c>
      <c r="I623" s="11">
        <v>90.0</v>
      </c>
      <c r="J623" s="11">
        <v>30.0</v>
      </c>
      <c r="K623" s="11">
        <f t="shared" si="1"/>
        <v>330</v>
      </c>
      <c r="L623" s="11">
        <f t="shared" si="2"/>
        <v>45</v>
      </c>
    </row>
    <row r="624" ht="15.75" customHeight="1">
      <c r="A624" s="10" t="s">
        <v>1342</v>
      </c>
      <c r="B624" s="10" t="s">
        <v>1343</v>
      </c>
      <c r="C624" s="11">
        <v>861.5</v>
      </c>
      <c r="D624" s="11">
        <v>2656.8</v>
      </c>
      <c r="E624" s="11">
        <v>1429.1</v>
      </c>
      <c r="F624" s="11">
        <v>1496.3</v>
      </c>
      <c r="G624" s="11">
        <v>1275.0</v>
      </c>
      <c r="H624" s="11">
        <v>1590.0</v>
      </c>
      <c r="I624" s="11">
        <v>1560.0</v>
      </c>
      <c r="J624" s="11">
        <v>0.0</v>
      </c>
      <c r="K624" s="11">
        <f t="shared" si="1"/>
        <v>10868.7</v>
      </c>
      <c r="L624" s="11">
        <f t="shared" si="2"/>
        <v>1106.25</v>
      </c>
    </row>
    <row r="625" ht="15.75" customHeight="1">
      <c r="A625" s="10" t="s">
        <v>1344</v>
      </c>
      <c r="B625" s="10" t="s">
        <v>1345</v>
      </c>
      <c r="C625" s="11">
        <v>0.0</v>
      </c>
      <c r="D625" s="11">
        <v>0.0</v>
      </c>
      <c r="E625" s="11">
        <v>0.0</v>
      </c>
      <c r="F625" s="11">
        <v>0.0</v>
      </c>
      <c r="G625" s="11">
        <v>0.0</v>
      </c>
      <c r="H625" s="11">
        <v>0.0</v>
      </c>
      <c r="I625" s="11">
        <v>0.0</v>
      </c>
      <c r="J625" s="11">
        <v>0.0</v>
      </c>
      <c r="K625" s="11">
        <f t="shared" si="1"/>
        <v>0</v>
      </c>
      <c r="L625" s="11">
        <f t="shared" si="2"/>
        <v>0</v>
      </c>
    </row>
    <row r="626" ht="15.75" customHeight="1">
      <c r="A626" s="10" t="s">
        <v>1346</v>
      </c>
      <c r="B626" s="10" t="s">
        <v>1347</v>
      </c>
      <c r="C626" s="11">
        <v>0.0</v>
      </c>
      <c r="D626" s="11">
        <v>0.0</v>
      </c>
      <c r="E626" s="11">
        <v>0.0</v>
      </c>
      <c r="F626" s="11">
        <v>0.0</v>
      </c>
      <c r="G626" s="11">
        <v>0.0</v>
      </c>
      <c r="H626" s="11">
        <v>0.0</v>
      </c>
      <c r="I626" s="11">
        <v>0.0</v>
      </c>
      <c r="J626" s="11">
        <v>0.0</v>
      </c>
      <c r="K626" s="11">
        <f t="shared" si="1"/>
        <v>0</v>
      </c>
      <c r="L626" s="11">
        <f t="shared" si="2"/>
        <v>0</v>
      </c>
    </row>
    <row r="627" ht="15.75" customHeight="1">
      <c r="A627" s="10" t="s">
        <v>1348</v>
      </c>
      <c r="B627" s="10" t="s">
        <v>1349</v>
      </c>
      <c r="C627" s="11">
        <v>0.0</v>
      </c>
      <c r="D627" s="11">
        <v>0.0</v>
      </c>
      <c r="E627" s="11">
        <v>0.0</v>
      </c>
      <c r="F627" s="11">
        <v>50.0</v>
      </c>
      <c r="G627" s="11">
        <v>0.0</v>
      </c>
      <c r="H627" s="11">
        <v>0.0</v>
      </c>
      <c r="I627" s="11">
        <v>50.0</v>
      </c>
      <c r="J627" s="11">
        <v>25.0</v>
      </c>
      <c r="K627" s="11">
        <f t="shared" si="1"/>
        <v>125</v>
      </c>
      <c r="L627" s="11">
        <f t="shared" si="2"/>
        <v>18.75</v>
      </c>
    </row>
    <row r="628" ht="15.75" customHeight="1">
      <c r="A628" s="10" t="s">
        <v>1350</v>
      </c>
      <c r="B628" s="10" t="s">
        <v>1351</v>
      </c>
      <c r="C628" s="11">
        <v>0.0</v>
      </c>
      <c r="D628" s="11">
        <v>0.0</v>
      </c>
      <c r="E628" s="11">
        <v>0.0</v>
      </c>
      <c r="F628" s="11">
        <v>0.0</v>
      </c>
      <c r="G628" s="11">
        <v>0.0</v>
      </c>
      <c r="H628" s="11">
        <v>0.0</v>
      </c>
      <c r="I628" s="11">
        <v>0.0</v>
      </c>
      <c r="J628" s="11">
        <v>0.0</v>
      </c>
      <c r="K628" s="11">
        <f t="shared" si="1"/>
        <v>0</v>
      </c>
      <c r="L628" s="11">
        <f t="shared" si="2"/>
        <v>0</v>
      </c>
    </row>
    <row r="629" ht="15.75" customHeight="1">
      <c r="A629" s="10" t="s">
        <v>1352</v>
      </c>
      <c r="B629" s="10" t="s">
        <v>1353</v>
      </c>
      <c r="C629" s="11">
        <v>0.0</v>
      </c>
      <c r="D629" s="11">
        <v>0.0</v>
      </c>
      <c r="E629" s="11">
        <v>0.0</v>
      </c>
      <c r="F629" s="11">
        <v>0.0</v>
      </c>
      <c r="G629" s="11">
        <v>50.0</v>
      </c>
      <c r="H629" s="11">
        <v>0.0</v>
      </c>
      <c r="I629" s="11">
        <v>0.0</v>
      </c>
      <c r="J629" s="11">
        <v>0.0</v>
      </c>
      <c r="K629" s="11">
        <f t="shared" si="1"/>
        <v>50</v>
      </c>
      <c r="L629" s="11">
        <f t="shared" si="2"/>
        <v>12.5</v>
      </c>
    </row>
    <row r="630" ht="15.75" customHeight="1">
      <c r="A630" s="10" t="s">
        <v>1354</v>
      </c>
      <c r="B630" s="10" t="s">
        <v>1355</v>
      </c>
      <c r="C630" s="11">
        <v>0.0</v>
      </c>
      <c r="D630" s="11">
        <v>0.0</v>
      </c>
      <c r="E630" s="11">
        <v>50.0</v>
      </c>
      <c r="F630" s="11">
        <v>0.0</v>
      </c>
      <c r="G630" s="11">
        <v>0.0</v>
      </c>
      <c r="H630" s="11">
        <v>0.0</v>
      </c>
      <c r="I630" s="11">
        <v>0.0</v>
      </c>
      <c r="J630" s="11">
        <v>0.0</v>
      </c>
      <c r="K630" s="11">
        <f t="shared" si="1"/>
        <v>50</v>
      </c>
      <c r="L630" s="11">
        <f t="shared" si="2"/>
        <v>0</v>
      </c>
    </row>
    <row r="631" ht="15.75" customHeight="1">
      <c r="A631" s="10" t="s">
        <v>1356</v>
      </c>
      <c r="B631" s="10" t="s">
        <v>1357</v>
      </c>
      <c r="C631" s="11">
        <v>0.0</v>
      </c>
      <c r="D631" s="11">
        <v>0.0</v>
      </c>
      <c r="E631" s="11">
        <v>0.0</v>
      </c>
      <c r="F631" s="11">
        <v>0.0</v>
      </c>
      <c r="G631" s="11">
        <v>0.0</v>
      </c>
      <c r="H631" s="11">
        <v>0.0</v>
      </c>
      <c r="I631" s="11">
        <v>50.0</v>
      </c>
      <c r="J631" s="11">
        <v>0.0</v>
      </c>
      <c r="K631" s="11">
        <f t="shared" si="1"/>
        <v>50</v>
      </c>
      <c r="L631" s="11">
        <f t="shared" si="2"/>
        <v>12.5</v>
      </c>
    </row>
    <row r="632" ht="15.75" customHeight="1">
      <c r="A632" s="10" t="s">
        <v>1358</v>
      </c>
      <c r="B632" s="10" t="s">
        <v>1359</v>
      </c>
      <c r="C632" s="11">
        <v>0.0</v>
      </c>
      <c r="D632" s="11">
        <v>0.0</v>
      </c>
      <c r="E632" s="11">
        <v>0.0</v>
      </c>
      <c r="F632" s="11">
        <v>0.0</v>
      </c>
      <c r="G632" s="11">
        <v>0.0</v>
      </c>
      <c r="H632" s="11">
        <v>0.0</v>
      </c>
      <c r="I632" s="11">
        <v>0.0</v>
      </c>
      <c r="J632" s="11">
        <v>0.0</v>
      </c>
      <c r="K632" s="11">
        <f t="shared" si="1"/>
        <v>0</v>
      </c>
      <c r="L632" s="11">
        <f t="shared" si="2"/>
        <v>0</v>
      </c>
    </row>
    <row r="633" ht="15.75" customHeight="1">
      <c r="A633" s="10" t="s">
        <v>1360</v>
      </c>
      <c r="B633" s="10" t="s">
        <v>1361</v>
      </c>
      <c r="C633" s="11">
        <v>0.0</v>
      </c>
      <c r="D633" s="11">
        <v>0.0</v>
      </c>
      <c r="E633" s="11">
        <v>0.0</v>
      </c>
      <c r="F633" s="11">
        <v>0.0</v>
      </c>
      <c r="G633" s="11">
        <v>0.0</v>
      </c>
      <c r="H633" s="11">
        <v>0.0</v>
      </c>
      <c r="I633" s="11">
        <v>0.0</v>
      </c>
      <c r="J633" s="11">
        <v>0.0</v>
      </c>
      <c r="K633" s="11">
        <f t="shared" si="1"/>
        <v>0</v>
      </c>
      <c r="L633" s="11">
        <f t="shared" si="2"/>
        <v>0</v>
      </c>
    </row>
    <row r="634" ht="15.75" customHeight="1">
      <c r="A634" s="10" t="s">
        <v>1362</v>
      </c>
      <c r="B634" s="10" t="s">
        <v>1363</v>
      </c>
      <c r="C634" s="11">
        <v>0.0</v>
      </c>
      <c r="D634" s="11">
        <v>0.0</v>
      </c>
      <c r="E634" s="11">
        <v>0.0</v>
      </c>
      <c r="F634" s="11">
        <v>0.0</v>
      </c>
      <c r="G634" s="11">
        <v>0.0</v>
      </c>
      <c r="H634" s="11">
        <v>0.0</v>
      </c>
      <c r="I634" s="11">
        <v>50.0</v>
      </c>
      <c r="J634" s="11">
        <v>0.0</v>
      </c>
      <c r="K634" s="11">
        <f t="shared" si="1"/>
        <v>50</v>
      </c>
      <c r="L634" s="11">
        <f t="shared" si="2"/>
        <v>12.5</v>
      </c>
    </row>
    <row r="635" ht="15.75" customHeight="1">
      <c r="A635" s="10" t="s">
        <v>1364</v>
      </c>
      <c r="B635" s="10" t="s">
        <v>1365</v>
      </c>
      <c r="C635" s="11">
        <v>0.0</v>
      </c>
      <c r="D635" s="11">
        <v>0.0</v>
      </c>
      <c r="E635" s="11">
        <v>0.0</v>
      </c>
      <c r="F635" s="11">
        <v>0.0</v>
      </c>
      <c r="G635" s="11">
        <v>0.0</v>
      </c>
      <c r="H635" s="11">
        <v>0.0</v>
      </c>
      <c r="I635" s="11">
        <v>0.0</v>
      </c>
      <c r="J635" s="11">
        <v>0.0</v>
      </c>
      <c r="K635" s="11">
        <f t="shared" si="1"/>
        <v>0</v>
      </c>
      <c r="L635" s="11">
        <f t="shared" si="2"/>
        <v>0</v>
      </c>
    </row>
    <row r="636" ht="15.75" customHeight="1">
      <c r="A636" s="10" t="s">
        <v>1366</v>
      </c>
      <c r="B636" s="10" t="s">
        <v>1367</v>
      </c>
      <c r="C636" s="11">
        <v>48.0</v>
      </c>
      <c r="D636" s="11">
        <v>0.0</v>
      </c>
      <c r="E636" s="11">
        <v>50.0</v>
      </c>
      <c r="F636" s="11">
        <v>100.0</v>
      </c>
      <c r="G636" s="11">
        <v>0.0</v>
      </c>
      <c r="H636" s="11">
        <v>0.0</v>
      </c>
      <c r="I636" s="11">
        <v>48.5</v>
      </c>
      <c r="J636" s="11">
        <v>50.0</v>
      </c>
      <c r="K636" s="11">
        <f t="shared" si="1"/>
        <v>296.5</v>
      </c>
      <c r="L636" s="11">
        <f t="shared" si="2"/>
        <v>24.625</v>
      </c>
    </row>
    <row r="637" ht="15.75" customHeight="1">
      <c r="A637" s="10" t="s">
        <v>1368</v>
      </c>
      <c r="B637" s="10" t="s">
        <v>1369</v>
      </c>
      <c r="C637" s="11">
        <v>0.0</v>
      </c>
      <c r="D637" s="11">
        <v>0.0</v>
      </c>
      <c r="E637" s="11">
        <v>0.0</v>
      </c>
      <c r="F637" s="11">
        <v>25.0</v>
      </c>
      <c r="G637" s="11">
        <v>0.0</v>
      </c>
      <c r="H637" s="11">
        <v>0.0</v>
      </c>
      <c r="I637" s="11">
        <v>0.0</v>
      </c>
      <c r="J637" s="11">
        <v>0.0</v>
      </c>
      <c r="K637" s="11">
        <f t="shared" si="1"/>
        <v>25</v>
      </c>
      <c r="L637" s="11">
        <f t="shared" si="2"/>
        <v>0</v>
      </c>
    </row>
    <row r="638" ht="15.75" customHeight="1">
      <c r="A638" s="10" t="s">
        <v>1370</v>
      </c>
      <c r="B638" s="10" t="s">
        <v>1371</v>
      </c>
      <c r="C638" s="11">
        <v>50.0</v>
      </c>
      <c r="D638" s="11">
        <v>50.0</v>
      </c>
      <c r="E638" s="11">
        <v>0.0</v>
      </c>
      <c r="F638" s="11">
        <v>25.0</v>
      </c>
      <c r="G638" s="11">
        <v>50.0</v>
      </c>
      <c r="H638" s="11">
        <v>0.0</v>
      </c>
      <c r="I638" s="11">
        <v>50.0</v>
      </c>
      <c r="J638" s="11">
        <v>25.0</v>
      </c>
      <c r="K638" s="11">
        <f t="shared" si="1"/>
        <v>250</v>
      </c>
      <c r="L638" s="11">
        <f t="shared" si="2"/>
        <v>31.25</v>
      </c>
    </row>
    <row r="639" ht="15.75" customHeight="1">
      <c r="A639" s="10" t="s">
        <v>1373</v>
      </c>
      <c r="B639" s="10" t="s">
        <v>1375</v>
      </c>
      <c r="C639" s="11">
        <v>0.0</v>
      </c>
      <c r="D639" s="11">
        <v>87.5</v>
      </c>
      <c r="E639" s="11">
        <v>100.0</v>
      </c>
      <c r="F639" s="11">
        <v>0.0</v>
      </c>
      <c r="G639" s="11">
        <v>50.0</v>
      </c>
      <c r="H639" s="11">
        <v>0.0</v>
      </c>
      <c r="I639" s="11">
        <v>50.0</v>
      </c>
      <c r="J639" s="11">
        <v>0.0</v>
      </c>
      <c r="K639" s="11">
        <f t="shared" si="1"/>
        <v>287.5</v>
      </c>
      <c r="L639" s="11">
        <f t="shared" si="2"/>
        <v>25</v>
      </c>
    </row>
    <row r="640" ht="15.75" customHeight="1">
      <c r="A640" s="10" t="s">
        <v>1376</v>
      </c>
      <c r="B640" s="10" t="s">
        <v>1377</v>
      </c>
      <c r="C640" s="11">
        <v>50.0</v>
      </c>
      <c r="D640" s="11">
        <v>0.0</v>
      </c>
      <c r="E640" s="11">
        <v>50.0</v>
      </c>
      <c r="F640" s="11">
        <v>0.0</v>
      </c>
      <c r="G640" s="11">
        <v>0.0</v>
      </c>
      <c r="H640" s="11">
        <v>35.0</v>
      </c>
      <c r="I640" s="11">
        <v>0.0</v>
      </c>
      <c r="J640" s="11">
        <v>0.0</v>
      </c>
      <c r="K640" s="11">
        <f t="shared" si="1"/>
        <v>135</v>
      </c>
      <c r="L640" s="11">
        <f t="shared" si="2"/>
        <v>8.75</v>
      </c>
    </row>
    <row r="641" ht="15.75" customHeight="1">
      <c r="A641" s="10" t="s">
        <v>1378</v>
      </c>
      <c r="B641" s="10" t="s">
        <v>1379</v>
      </c>
      <c r="C641" s="11">
        <v>0.0</v>
      </c>
      <c r="D641" s="11">
        <v>0.0</v>
      </c>
      <c r="E641" s="11">
        <v>0.0</v>
      </c>
      <c r="F641" s="11">
        <v>0.0</v>
      </c>
      <c r="G641" s="11">
        <v>0.0</v>
      </c>
      <c r="H641" s="11">
        <v>0.0</v>
      </c>
      <c r="I641" s="11">
        <v>0.0</v>
      </c>
      <c r="J641" s="11">
        <v>0.0</v>
      </c>
      <c r="K641" s="11">
        <f t="shared" si="1"/>
        <v>0</v>
      </c>
      <c r="L641" s="11">
        <f t="shared" si="2"/>
        <v>0</v>
      </c>
    </row>
    <row r="642" ht="15.75" customHeight="1">
      <c r="A642" s="10" t="s">
        <v>1380</v>
      </c>
      <c r="B642" s="10" t="s">
        <v>1381</v>
      </c>
      <c r="C642" s="11">
        <v>50.0</v>
      </c>
      <c r="D642" s="11">
        <v>50.0</v>
      </c>
      <c r="E642" s="11">
        <v>51.0</v>
      </c>
      <c r="F642" s="11">
        <v>50.0</v>
      </c>
      <c r="G642" s="11">
        <v>0.0</v>
      </c>
      <c r="H642" s="11">
        <v>19.0</v>
      </c>
      <c r="I642" s="11">
        <v>100.0</v>
      </c>
      <c r="J642" s="11">
        <v>50.0</v>
      </c>
      <c r="K642" s="11">
        <f t="shared" si="1"/>
        <v>370</v>
      </c>
      <c r="L642" s="11">
        <f t="shared" si="2"/>
        <v>42.25</v>
      </c>
    </row>
    <row r="643" ht="15.75" customHeight="1">
      <c r="A643" s="10" t="s">
        <v>1382</v>
      </c>
      <c r="B643" s="10" t="s">
        <v>1383</v>
      </c>
      <c r="C643" s="11">
        <v>0.0</v>
      </c>
      <c r="D643" s="11">
        <v>0.0</v>
      </c>
      <c r="E643" s="11">
        <v>61.0</v>
      </c>
      <c r="F643" s="11">
        <v>0.0</v>
      </c>
      <c r="G643" s="11">
        <v>0.0</v>
      </c>
      <c r="H643" s="11">
        <v>0.0</v>
      </c>
      <c r="I643" s="11">
        <v>0.0</v>
      </c>
      <c r="J643" s="11">
        <v>0.0</v>
      </c>
      <c r="K643" s="11">
        <f t="shared" si="1"/>
        <v>61</v>
      </c>
      <c r="L643" s="11">
        <f t="shared" si="2"/>
        <v>0</v>
      </c>
    </row>
    <row r="644" ht="15.75" customHeight="1">
      <c r="A644" s="10" t="s">
        <v>1384</v>
      </c>
      <c r="B644" s="10" t="s">
        <v>1385</v>
      </c>
      <c r="C644" s="11">
        <v>0.0</v>
      </c>
      <c r="D644" s="11">
        <v>0.0</v>
      </c>
      <c r="E644" s="11">
        <v>0.0</v>
      </c>
      <c r="F644" s="11">
        <v>100.0</v>
      </c>
      <c r="G644" s="11">
        <v>0.0</v>
      </c>
      <c r="H644" s="11">
        <v>0.0</v>
      </c>
      <c r="I644" s="11">
        <v>0.0</v>
      </c>
      <c r="J644" s="11">
        <v>0.0</v>
      </c>
      <c r="K644" s="11">
        <f t="shared" si="1"/>
        <v>100</v>
      </c>
      <c r="L644" s="11">
        <f t="shared" si="2"/>
        <v>0</v>
      </c>
    </row>
    <row r="645" ht="15.75" customHeight="1">
      <c r="A645" s="10" t="s">
        <v>1386</v>
      </c>
      <c r="B645" s="10" t="s">
        <v>1387</v>
      </c>
      <c r="C645" s="11">
        <v>0.0</v>
      </c>
      <c r="D645" s="11">
        <v>0.0</v>
      </c>
      <c r="E645" s="11">
        <v>50.0</v>
      </c>
      <c r="F645" s="11">
        <v>0.0</v>
      </c>
      <c r="G645" s="11">
        <v>0.0</v>
      </c>
      <c r="H645" s="11">
        <v>0.0</v>
      </c>
      <c r="I645" s="11">
        <v>50.0</v>
      </c>
      <c r="J645" s="11">
        <v>133.0</v>
      </c>
      <c r="K645" s="11">
        <f t="shared" si="1"/>
        <v>233</v>
      </c>
      <c r="L645" s="11">
        <f t="shared" si="2"/>
        <v>45.75</v>
      </c>
    </row>
    <row r="646" ht="15.75" customHeight="1">
      <c r="A646" s="10" t="s">
        <v>1388</v>
      </c>
      <c r="B646" s="10" t="s">
        <v>1389</v>
      </c>
      <c r="C646" s="11">
        <v>0.0</v>
      </c>
      <c r="D646" s="11">
        <v>0.0</v>
      </c>
      <c r="E646" s="11">
        <v>0.0</v>
      </c>
      <c r="F646" s="11">
        <v>0.0</v>
      </c>
      <c r="G646" s="11">
        <v>0.0</v>
      </c>
      <c r="H646" s="11">
        <v>0.0</v>
      </c>
      <c r="I646" s="11">
        <v>0.0</v>
      </c>
      <c r="J646" s="11">
        <v>0.0</v>
      </c>
      <c r="K646" s="11">
        <f t="shared" si="1"/>
        <v>0</v>
      </c>
      <c r="L646" s="11">
        <f t="shared" si="2"/>
        <v>0</v>
      </c>
    </row>
    <row r="647" ht="15.75" customHeight="1">
      <c r="A647" s="10" t="s">
        <v>1390</v>
      </c>
      <c r="B647" s="10" t="s">
        <v>1391</v>
      </c>
      <c r="C647" s="11">
        <v>0.0</v>
      </c>
      <c r="D647" s="11">
        <v>0.0</v>
      </c>
      <c r="E647" s="11">
        <v>0.0</v>
      </c>
      <c r="F647" s="11">
        <v>0.0</v>
      </c>
      <c r="G647" s="11">
        <v>20.0</v>
      </c>
      <c r="H647" s="11">
        <v>0.0</v>
      </c>
      <c r="I647" s="11">
        <v>50.0</v>
      </c>
      <c r="J647" s="11">
        <v>49.5</v>
      </c>
      <c r="K647" s="11">
        <f t="shared" si="1"/>
        <v>119.5</v>
      </c>
      <c r="L647" s="11">
        <f t="shared" si="2"/>
        <v>29.875</v>
      </c>
    </row>
    <row r="648" ht="15.75" customHeight="1">
      <c r="A648" s="10" t="s">
        <v>1392</v>
      </c>
      <c r="B648" s="10" t="s">
        <v>1393</v>
      </c>
      <c r="C648" s="11">
        <v>0.0</v>
      </c>
      <c r="D648" s="11">
        <v>0.0</v>
      </c>
      <c r="E648" s="11">
        <v>0.0</v>
      </c>
      <c r="F648" s="11">
        <v>0.0</v>
      </c>
      <c r="G648" s="11">
        <v>0.0</v>
      </c>
      <c r="H648" s="11">
        <v>0.0</v>
      </c>
      <c r="I648" s="11">
        <v>0.0</v>
      </c>
      <c r="J648" s="11">
        <v>0.0</v>
      </c>
      <c r="K648" s="11">
        <f t="shared" si="1"/>
        <v>0</v>
      </c>
      <c r="L648" s="11">
        <f t="shared" si="2"/>
        <v>0</v>
      </c>
    </row>
    <row r="649" ht="15.75" customHeight="1">
      <c r="A649" s="10" t="s">
        <v>1394</v>
      </c>
      <c r="B649" s="10" t="s">
        <v>1395</v>
      </c>
      <c r="C649" s="11">
        <v>0.0</v>
      </c>
      <c r="D649" s="11">
        <v>0.0</v>
      </c>
      <c r="E649" s="11">
        <v>0.0</v>
      </c>
      <c r="F649" s="11">
        <v>0.0</v>
      </c>
      <c r="G649" s="11">
        <v>0.0</v>
      </c>
      <c r="H649" s="11">
        <v>0.0</v>
      </c>
      <c r="I649" s="11">
        <v>0.0</v>
      </c>
      <c r="J649" s="11">
        <v>0.0</v>
      </c>
      <c r="K649" s="11">
        <f t="shared" si="1"/>
        <v>0</v>
      </c>
      <c r="L649" s="11">
        <f t="shared" si="2"/>
        <v>0</v>
      </c>
    </row>
    <row r="650" ht="15.75" customHeight="1">
      <c r="A650" s="10" t="s">
        <v>1396</v>
      </c>
      <c r="B650" s="10" t="s">
        <v>1397</v>
      </c>
      <c r="C650" s="11">
        <v>0.0</v>
      </c>
      <c r="D650" s="11">
        <v>0.0</v>
      </c>
      <c r="E650" s="11">
        <v>0.0</v>
      </c>
      <c r="F650" s="11">
        <v>0.0</v>
      </c>
      <c r="G650" s="11">
        <v>0.0</v>
      </c>
      <c r="H650" s="11">
        <v>0.0</v>
      </c>
      <c r="I650" s="11">
        <v>0.0</v>
      </c>
      <c r="J650" s="11">
        <v>0.0</v>
      </c>
      <c r="K650" s="11">
        <f t="shared" si="1"/>
        <v>0</v>
      </c>
      <c r="L650" s="11">
        <f t="shared" si="2"/>
        <v>0</v>
      </c>
    </row>
    <row r="651" ht="15.75" customHeight="1">
      <c r="A651" s="10" t="s">
        <v>1398</v>
      </c>
      <c r="B651" s="10" t="s">
        <v>1399</v>
      </c>
      <c r="C651" s="11">
        <v>50.0</v>
      </c>
      <c r="D651" s="11">
        <v>0.0</v>
      </c>
      <c r="E651" s="11">
        <v>0.0</v>
      </c>
      <c r="F651" s="11">
        <v>0.0</v>
      </c>
      <c r="G651" s="11">
        <v>50.0</v>
      </c>
      <c r="H651" s="11">
        <v>0.0</v>
      </c>
      <c r="I651" s="11">
        <v>50.0</v>
      </c>
      <c r="J651" s="11">
        <v>0.0</v>
      </c>
      <c r="K651" s="11">
        <f t="shared" si="1"/>
        <v>150</v>
      </c>
      <c r="L651" s="11">
        <f t="shared" si="2"/>
        <v>25</v>
      </c>
    </row>
    <row r="652" ht="15.75" customHeight="1">
      <c r="A652" s="10" t="s">
        <v>1400</v>
      </c>
      <c r="B652" s="10" t="s">
        <v>1401</v>
      </c>
      <c r="C652" s="11">
        <v>100.0</v>
      </c>
      <c r="D652" s="11">
        <v>202.0</v>
      </c>
      <c r="E652" s="11">
        <v>196.0</v>
      </c>
      <c r="F652" s="11">
        <v>190.0</v>
      </c>
      <c r="G652" s="11">
        <v>16.8</v>
      </c>
      <c r="H652" s="11">
        <v>150.0</v>
      </c>
      <c r="I652" s="11">
        <v>100.0</v>
      </c>
      <c r="J652" s="11">
        <v>190.0</v>
      </c>
      <c r="K652" s="11">
        <f t="shared" si="1"/>
        <v>1144.8</v>
      </c>
      <c r="L652" s="11">
        <f t="shared" si="2"/>
        <v>114.2</v>
      </c>
    </row>
    <row r="653" ht="15.75" customHeight="1">
      <c r="A653" s="10" t="s">
        <v>1402</v>
      </c>
      <c r="B653" s="10" t="s">
        <v>1403</v>
      </c>
      <c r="C653" s="11">
        <v>37.0</v>
      </c>
      <c r="D653" s="11">
        <v>50.0</v>
      </c>
      <c r="E653" s="11">
        <v>96.0</v>
      </c>
      <c r="F653" s="11">
        <v>92.0</v>
      </c>
      <c r="G653" s="11">
        <v>140.0</v>
      </c>
      <c r="H653" s="11">
        <v>71.0</v>
      </c>
      <c r="I653" s="11">
        <v>163.5</v>
      </c>
      <c r="J653" s="11">
        <v>50.0</v>
      </c>
      <c r="K653" s="11">
        <f t="shared" si="1"/>
        <v>699.5</v>
      </c>
      <c r="L653" s="11">
        <f t="shared" si="2"/>
        <v>106.125</v>
      </c>
    </row>
    <row r="654" ht="15.75" customHeight="1">
      <c r="A654" s="10" t="s">
        <v>1404</v>
      </c>
      <c r="B654" s="10" t="s">
        <v>1405</v>
      </c>
      <c r="C654" s="11">
        <v>100.0</v>
      </c>
      <c r="D654" s="11">
        <v>0.0</v>
      </c>
      <c r="E654" s="11">
        <v>50.0</v>
      </c>
      <c r="F654" s="11">
        <v>146.0</v>
      </c>
      <c r="G654" s="11">
        <v>50.0</v>
      </c>
      <c r="H654" s="11">
        <v>100.0</v>
      </c>
      <c r="I654" s="11">
        <v>50.0</v>
      </c>
      <c r="J654" s="11">
        <v>0.0</v>
      </c>
      <c r="K654" s="11">
        <f t="shared" si="1"/>
        <v>496</v>
      </c>
      <c r="L654" s="11">
        <f t="shared" si="2"/>
        <v>50</v>
      </c>
    </row>
    <row r="655" ht="15.75" customHeight="1">
      <c r="A655" s="10" t="s">
        <v>1406</v>
      </c>
      <c r="B655" s="10" t="s">
        <v>1407</v>
      </c>
      <c r="C655" s="11">
        <v>1401.0</v>
      </c>
      <c r="D655" s="11">
        <v>1347.0</v>
      </c>
      <c r="E655" s="11">
        <v>799.0</v>
      </c>
      <c r="F655" s="11">
        <v>50.0</v>
      </c>
      <c r="G655" s="11">
        <v>1284.0</v>
      </c>
      <c r="H655" s="11">
        <v>50.0</v>
      </c>
      <c r="I655" s="11">
        <v>100.0</v>
      </c>
      <c r="J655" s="11">
        <v>1218.0</v>
      </c>
      <c r="K655" s="11">
        <f t="shared" si="1"/>
        <v>6249</v>
      </c>
      <c r="L655" s="11">
        <f t="shared" si="2"/>
        <v>663</v>
      </c>
    </row>
    <row r="656" ht="15.75" customHeight="1">
      <c r="A656" s="10" t="s">
        <v>1408</v>
      </c>
      <c r="B656" s="10" t="s">
        <v>1409</v>
      </c>
      <c r="C656" s="11">
        <v>100.0</v>
      </c>
      <c r="D656" s="11">
        <v>100.0</v>
      </c>
      <c r="E656" s="11">
        <v>50.0</v>
      </c>
      <c r="F656" s="11">
        <v>50.0</v>
      </c>
      <c r="G656" s="11">
        <v>100.0</v>
      </c>
      <c r="H656" s="11">
        <v>0.0</v>
      </c>
      <c r="I656" s="11">
        <v>72.0</v>
      </c>
      <c r="J656" s="11">
        <v>98.0</v>
      </c>
      <c r="K656" s="11">
        <f t="shared" si="1"/>
        <v>570</v>
      </c>
      <c r="L656" s="11">
        <f t="shared" si="2"/>
        <v>67.5</v>
      </c>
    </row>
    <row r="657" ht="15.75" customHeight="1">
      <c r="A657" s="10" t="s">
        <v>1410</v>
      </c>
      <c r="B657" s="10" t="s">
        <v>1411</v>
      </c>
      <c r="C657" s="11">
        <v>100.0</v>
      </c>
      <c r="D657" s="11">
        <v>50.0</v>
      </c>
      <c r="E657" s="11">
        <v>0.0</v>
      </c>
      <c r="F657" s="11">
        <v>50.0</v>
      </c>
      <c r="G657" s="11">
        <v>0.0</v>
      </c>
      <c r="H657" s="11">
        <v>0.0</v>
      </c>
      <c r="I657" s="11">
        <v>0.0</v>
      </c>
      <c r="J657" s="11">
        <v>48.0</v>
      </c>
      <c r="K657" s="11">
        <f t="shared" si="1"/>
        <v>248</v>
      </c>
      <c r="L657" s="11">
        <f t="shared" si="2"/>
        <v>12</v>
      </c>
    </row>
    <row r="658" ht="15.75" customHeight="1">
      <c r="A658" s="10" t="s">
        <v>1412</v>
      </c>
      <c r="B658" s="10" t="s">
        <v>1413</v>
      </c>
      <c r="C658" s="11">
        <v>0.0</v>
      </c>
      <c r="D658" s="11">
        <v>0.0</v>
      </c>
      <c r="E658" s="11">
        <v>0.0</v>
      </c>
      <c r="F658" s="11">
        <v>0.0</v>
      </c>
      <c r="G658" s="11">
        <v>50.0</v>
      </c>
      <c r="H658" s="11">
        <v>0.0</v>
      </c>
      <c r="I658" s="11">
        <v>0.0</v>
      </c>
      <c r="J658" s="11">
        <v>50.0</v>
      </c>
      <c r="K658" s="11">
        <f t="shared" si="1"/>
        <v>100</v>
      </c>
      <c r="L658" s="11">
        <f t="shared" si="2"/>
        <v>25</v>
      </c>
    </row>
    <row r="659" ht="15.75" customHeight="1">
      <c r="A659" s="10" t="s">
        <v>1414</v>
      </c>
      <c r="B659" s="10" t="s">
        <v>1415</v>
      </c>
      <c r="C659" s="11">
        <v>0.0</v>
      </c>
      <c r="D659" s="11">
        <v>0.0</v>
      </c>
      <c r="E659" s="11">
        <v>0.0</v>
      </c>
      <c r="F659" s="11">
        <v>0.0</v>
      </c>
      <c r="G659" s="11">
        <v>0.0</v>
      </c>
      <c r="H659" s="11">
        <v>0.0</v>
      </c>
      <c r="I659" s="11">
        <v>0.0</v>
      </c>
      <c r="J659" s="11">
        <v>0.0</v>
      </c>
      <c r="K659" s="11">
        <f t="shared" si="1"/>
        <v>0</v>
      </c>
      <c r="L659" s="11">
        <f t="shared" si="2"/>
        <v>0</v>
      </c>
    </row>
    <row r="660" ht="15.75" customHeight="1">
      <c r="A660" s="10" t="s">
        <v>1416</v>
      </c>
      <c r="B660" s="10" t="s">
        <v>1417</v>
      </c>
      <c r="C660" s="11">
        <v>0.0</v>
      </c>
      <c r="D660" s="11">
        <v>0.0</v>
      </c>
      <c r="E660" s="11">
        <v>0.0</v>
      </c>
      <c r="F660" s="11">
        <v>0.0</v>
      </c>
      <c r="G660" s="11">
        <v>0.0</v>
      </c>
      <c r="H660" s="11">
        <v>0.0</v>
      </c>
      <c r="I660" s="11">
        <v>0.0</v>
      </c>
      <c r="J660" s="11">
        <v>0.0</v>
      </c>
      <c r="K660" s="11">
        <f t="shared" si="1"/>
        <v>0</v>
      </c>
      <c r="L660" s="11">
        <f t="shared" si="2"/>
        <v>0</v>
      </c>
    </row>
    <row r="661" ht="15.75" customHeight="1">
      <c r="A661" s="10" t="s">
        <v>1418</v>
      </c>
      <c r="B661" s="10" t="s">
        <v>1419</v>
      </c>
      <c r="C661" s="11">
        <v>0.0</v>
      </c>
      <c r="D661" s="11">
        <v>0.0</v>
      </c>
      <c r="E661" s="11">
        <v>0.0</v>
      </c>
      <c r="F661" s="11">
        <v>0.0</v>
      </c>
      <c r="G661" s="11">
        <v>0.0</v>
      </c>
      <c r="H661" s="11">
        <v>0.0</v>
      </c>
      <c r="I661" s="11">
        <v>0.0</v>
      </c>
      <c r="J661" s="11">
        <v>0.0</v>
      </c>
      <c r="K661" s="11">
        <f t="shared" si="1"/>
        <v>0</v>
      </c>
      <c r="L661" s="11">
        <f t="shared" si="2"/>
        <v>0</v>
      </c>
    </row>
    <row r="662" ht="15.75" customHeight="1">
      <c r="A662" s="10" t="s">
        <v>1420</v>
      </c>
      <c r="B662" s="10" t="s">
        <v>1421</v>
      </c>
      <c r="C662" s="11">
        <v>0.0</v>
      </c>
      <c r="D662" s="11">
        <v>0.0</v>
      </c>
      <c r="E662" s="11">
        <v>0.0</v>
      </c>
      <c r="F662" s="11">
        <v>0.0</v>
      </c>
      <c r="G662" s="11">
        <v>0.0</v>
      </c>
      <c r="H662" s="11">
        <v>0.0</v>
      </c>
      <c r="I662" s="11">
        <v>0.0</v>
      </c>
      <c r="J662" s="11">
        <v>0.0</v>
      </c>
      <c r="K662" s="11">
        <f t="shared" si="1"/>
        <v>0</v>
      </c>
      <c r="L662" s="11">
        <f t="shared" si="2"/>
        <v>0</v>
      </c>
    </row>
    <row r="663" ht="15.75" customHeight="1">
      <c r="A663" s="10" t="s">
        <v>1422</v>
      </c>
      <c r="B663" s="10" t="s">
        <v>1423</v>
      </c>
      <c r="C663" s="11">
        <v>0.0</v>
      </c>
      <c r="D663" s="11">
        <v>0.0</v>
      </c>
      <c r="E663" s="11">
        <v>0.0</v>
      </c>
      <c r="F663" s="11">
        <v>0.0</v>
      </c>
      <c r="G663" s="11">
        <v>0.0</v>
      </c>
      <c r="H663" s="11">
        <v>0.0</v>
      </c>
      <c r="I663" s="11">
        <v>0.0</v>
      </c>
      <c r="J663" s="11">
        <v>0.0</v>
      </c>
      <c r="K663" s="11">
        <f t="shared" si="1"/>
        <v>0</v>
      </c>
      <c r="L663" s="11">
        <f t="shared" si="2"/>
        <v>0</v>
      </c>
    </row>
    <row r="664" ht="15.75" customHeight="1">
      <c r="A664" s="10" t="s">
        <v>1424</v>
      </c>
      <c r="B664" s="10" t="s">
        <v>1425</v>
      </c>
      <c r="C664" s="11">
        <v>0.0</v>
      </c>
      <c r="D664" s="11">
        <v>0.0</v>
      </c>
      <c r="E664" s="11">
        <v>0.0</v>
      </c>
      <c r="F664" s="11">
        <v>0.0</v>
      </c>
      <c r="G664" s="11">
        <v>0.0</v>
      </c>
      <c r="H664" s="11">
        <v>0.0</v>
      </c>
      <c r="I664" s="11">
        <v>0.0</v>
      </c>
      <c r="J664" s="11">
        <v>0.0</v>
      </c>
      <c r="K664" s="11">
        <f t="shared" si="1"/>
        <v>0</v>
      </c>
      <c r="L664" s="11">
        <f t="shared" si="2"/>
        <v>0</v>
      </c>
    </row>
    <row r="665" ht="15.75" customHeight="1">
      <c r="A665" s="10" t="s">
        <v>1426</v>
      </c>
      <c r="B665" s="10" t="s">
        <v>1427</v>
      </c>
      <c r="C665" s="11">
        <v>85.9</v>
      </c>
      <c r="D665" s="11">
        <v>30.0</v>
      </c>
      <c r="E665" s="11">
        <v>30.0</v>
      </c>
      <c r="F665" s="11">
        <v>0.0</v>
      </c>
      <c r="G665" s="11">
        <v>54.5</v>
      </c>
      <c r="H665" s="11">
        <v>205.2</v>
      </c>
      <c r="I665" s="11">
        <v>202.0</v>
      </c>
      <c r="J665" s="11">
        <v>522.7</v>
      </c>
      <c r="K665" s="11">
        <f t="shared" si="1"/>
        <v>1130.3</v>
      </c>
      <c r="L665" s="11">
        <f t="shared" si="2"/>
        <v>246.1</v>
      </c>
    </row>
    <row r="666" ht="15.75" customHeight="1">
      <c r="A666" s="10" t="s">
        <v>1428</v>
      </c>
      <c r="B666" s="10" t="s">
        <v>1429</v>
      </c>
      <c r="C666" s="11">
        <v>0.0</v>
      </c>
      <c r="D666" s="11">
        <v>0.0</v>
      </c>
      <c r="E666" s="11">
        <v>0.0</v>
      </c>
      <c r="F666" s="11">
        <v>0.0</v>
      </c>
      <c r="G666" s="11">
        <v>0.0</v>
      </c>
      <c r="H666" s="11">
        <v>0.0</v>
      </c>
      <c r="I666" s="11">
        <v>0.0</v>
      </c>
      <c r="J666" s="11">
        <v>0.0</v>
      </c>
      <c r="K666" s="11">
        <f t="shared" si="1"/>
        <v>0</v>
      </c>
      <c r="L666" s="11">
        <f t="shared" si="2"/>
        <v>0</v>
      </c>
    </row>
    <row r="667" ht="15.75" customHeight="1">
      <c r="A667" s="10" t="s">
        <v>1430</v>
      </c>
      <c r="B667" s="10" t="s">
        <v>1431</v>
      </c>
      <c r="C667" s="11">
        <v>0.0</v>
      </c>
      <c r="D667" s="11">
        <v>0.0</v>
      </c>
      <c r="E667" s="11">
        <v>0.0</v>
      </c>
      <c r="F667" s="11">
        <v>0.0</v>
      </c>
      <c r="G667" s="11">
        <v>0.0</v>
      </c>
      <c r="H667" s="11">
        <v>0.0</v>
      </c>
      <c r="I667" s="11">
        <v>0.0</v>
      </c>
      <c r="J667" s="11">
        <v>0.0</v>
      </c>
      <c r="K667" s="11">
        <f t="shared" si="1"/>
        <v>0</v>
      </c>
      <c r="L667" s="11">
        <f t="shared" si="2"/>
        <v>0</v>
      </c>
    </row>
    <row r="668" ht="15.75" customHeight="1">
      <c r="A668" s="10" t="s">
        <v>1432</v>
      </c>
      <c r="B668" s="10" t="s">
        <v>1433</v>
      </c>
      <c r="C668" s="11">
        <v>0.0</v>
      </c>
      <c r="D668" s="11">
        <v>67.0</v>
      </c>
      <c r="E668" s="11">
        <v>0.0</v>
      </c>
      <c r="F668" s="11">
        <v>0.0</v>
      </c>
      <c r="G668" s="11">
        <v>50.0</v>
      </c>
      <c r="H668" s="11">
        <v>50.0</v>
      </c>
      <c r="I668" s="11">
        <v>0.0</v>
      </c>
      <c r="J668" s="11">
        <v>0.0</v>
      </c>
      <c r="K668" s="11">
        <f t="shared" si="1"/>
        <v>167</v>
      </c>
      <c r="L668" s="11">
        <f t="shared" si="2"/>
        <v>25</v>
      </c>
    </row>
    <row r="669" ht="15.75" customHeight="1">
      <c r="A669" s="10" t="s">
        <v>1434</v>
      </c>
      <c r="B669" s="10" t="s">
        <v>1435</v>
      </c>
      <c r="C669" s="11">
        <v>0.0</v>
      </c>
      <c r="D669" s="11">
        <v>0.0</v>
      </c>
      <c r="E669" s="11">
        <v>0.0</v>
      </c>
      <c r="F669" s="11">
        <v>0.0</v>
      </c>
      <c r="G669" s="11">
        <v>0.0</v>
      </c>
      <c r="H669" s="11">
        <v>0.0</v>
      </c>
      <c r="I669" s="11">
        <v>0.0</v>
      </c>
      <c r="J669" s="11">
        <v>0.0</v>
      </c>
      <c r="K669" s="11">
        <f t="shared" si="1"/>
        <v>0</v>
      </c>
      <c r="L669" s="11">
        <f t="shared" si="2"/>
        <v>0</v>
      </c>
    </row>
    <row r="670" ht="15.75" customHeight="1">
      <c r="A670" s="10" t="s">
        <v>1436</v>
      </c>
      <c r="B670" s="10" t="s">
        <v>1437</v>
      </c>
      <c r="C670" s="11">
        <v>50.0</v>
      </c>
      <c r="D670" s="11">
        <v>678.0</v>
      </c>
      <c r="E670" s="11">
        <v>412.0</v>
      </c>
      <c r="F670" s="11">
        <v>176.0</v>
      </c>
      <c r="G670" s="11">
        <v>100.0</v>
      </c>
      <c r="H670" s="11">
        <v>200.0</v>
      </c>
      <c r="I670" s="11">
        <v>75.0</v>
      </c>
      <c r="J670" s="11">
        <v>75.0</v>
      </c>
      <c r="K670" s="11">
        <f t="shared" si="1"/>
        <v>1766</v>
      </c>
      <c r="L670" s="11">
        <f t="shared" si="2"/>
        <v>112.5</v>
      </c>
    </row>
    <row r="671" ht="15.75" customHeight="1">
      <c r="A671" s="10" t="s">
        <v>1439</v>
      </c>
      <c r="B671" s="10" t="s">
        <v>1440</v>
      </c>
      <c r="C671" s="11">
        <v>0.0</v>
      </c>
      <c r="D671" s="11">
        <v>0.0</v>
      </c>
      <c r="E671" s="11">
        <v>0.0</v>
      </c>
      <c r="F671" s="11">
        <v>0.0</v>
      </c>
      <c r="G671" s="11">
        <v>0.0</v>
      </c>
      <c r="H671" s="11">
        <v>0.0</v>
      </c>
      <c r="I671" s="11">
        <v>0.0</v>
      </c>
      <c r="J671" s="11">
        <v>0.0</v>
      </c>
      <c r="K671" s="11">
        <f t="shared" si="1"/>
        <v>0</v>
      </c>
      <c r="L671" s="11">
        <f t="shared" si="2"/>
        <v>0</v>
      </c>
    </row>
    <row r="672" ht="15.75" customHeight="1">
      <c r="A672" s="10" t="s">
        <v>1441</v>
      </c>
      <c r="B672" s="10" t="s">
        <v>1442</v>
      </c>
      <c r="C672" s="11">
        <v>100.0</v>
      </c>
      <c r="D672" s="11">
        <v>0.0</v>
      </c>
      <c r="E672" s="11">
        <v>50.0</v>
      </c>
      <c r="F672" s="11">
        <v>0.0</v>
      </c>
      <c r="G672" s="11">
        <v>0.0</v>
      </c>
      <c r="H672" s="11">
        <v>0.0</v>
      </c>
      <c r="I672" s="11">
        <v>100.0</v>
      </c>
      <c r="J672" s="11">
        <v>0.0</v>
      </c>
      <c r="K672" s="11">
        <f t="shared" si="1"/>
        <v>250</v>
      </c>
      <c r="L672" s="11">
        <f t="shared" si="2"/>
        <v>25</v>
      </c>
    </row>
    <row r="673" ht="15.75" customHeight="1">
      <c r="A673" s="10" t="s">
        <v>1444</v>
      </c>
      <c r="B673" s="10" t="s">
        <v>1445</v>
      </c>
      <c r="C673" s="11">
        <v>0.0</v>
      </c>
      <c r="D673" s="11">
        <v>0.0</v>
      </c>
      <c r="E673" s="11">
        <v>0.0</v>
      </c>
      <c r="F673" s="11">
        <v>0.0</v>
      </c>
      <c r="G673" s="11">
        <v>0.0</v>
      </c>
      <c r="H673" s="11">
        <v>0.0</v>
      </c>
      <c r="I673" s="11">
        <v>0.0</v>
      </c>
      <c r="J673" s="11">
        <v>0.0</v>
      </c>
      <c r="K673" s="11">
        <f t="shared" si="1"/>
        <v>0</v>
      </c>
      <c r="L673" s="11">
        <f t="shared" si="2"/>
        <v>0</v>
      </c>
    </row>
    <row r="674" ht="15.75" customHeight="1">
      <c r="A674" s="10" t="s">
        <v>1446</v>
      </c>
      <c r="B674" s="10" t="s">
        <v>1447</v>
      </c>
      <c r="C674" s="11">
        <v>0.0</v>
      </c>
      <c r="D674" s="11">
        <v>0.0</v>
      </c>
      <c r="E674" s="11">
        <v>0.0</v>
      </c>
      <c r="F674" s="11">
        <v>0.0</v>
      </c>
      <c r="G674" s="11">
        <v>0.0</v>
      </c>
      <c r="H674" s="11">
        <v>0.0</v>
      </c>
      <c r="I674" s="11">
        <v>0.0</v>
      </c>
      <c r="J674" s="11">
        <v>0.0</v>
      </c>
      <c r="K674" s="11">
        <f t="shared" si="1"/>
        <v>0</v>
      </c>
      <c r="L674" s="11">
        <f t="shared" si="2"/>
        <v>0</v>
      </c>
    </row>
    <row r="675" ht="15.75" customHeight="1">
      <c r="A675" s="10" t="s">
        <v>1448</v>
      </c>
      <c r="B675" s="10" t="s">
        <v>1449</v>
      </c>
      <c r="C675" s="11">
        <v>0.0</v>
      </c>
      <c r="D675" s="11">
        <v>0.0</v>
      </c>
      <c r="E675" s="11">
        <v>0.0</v>
      </c>
      <c r="F675" s="11">
        <v>0.0</v>
      </c>
      <c r="G675" s="11">
        <v>0.0</v>
      </c>
      <c r="H675" s="11">
        <v>0.0</v>
      </c>
      <c r="I675" s="11">
        <v>0.0</v>
      </c>
      <c r="J675" s="11">
        <v>0.0</v>
      </c>
      <c r="K675" s="11">
        <f t="shared" si="1"/>
        <v>0</v>
      </c>
      <c r="L675" s="11">
        <f t="shared" si="2"/>
        <v>0</v>
      </c>
    </row>
    <row r="676" ht="15.75" customHeight="1">
      <c r="A676" s="10" t="s">
        <v>1450</v>
      </c>
      <c r="B676" s="10" t="s">
        <v>1451</v>
      </c>
      <c r="C676" s="11">
        <v>0.0</v>
      </c>
      <c r="D676" s="11">
        <v>0.0</v>
      </c>
      <c r="E676" s="11">
        <v>0.0</v>
      </c>
      <c r="F676" s="11">
        <v>0.0</v>
      </c>
      <c r="G676" s="11">
        <v>0.0</v>
      </c>
      <c r="H676" s="11">
        <v>0.0</v>
      </c>
      <c r="I676" s="11">
        <v>0.0</v>
      </c>
      <c r="J676" s="11">
        <v>0.0</v>
      </c>
      <c r="K676" s="11">
        <f t="shared" si="1"/>
        <v>0</v>
      </c>
      <c r="L676" s="11">
        <f t="shared" si="2"/>
        <v>0</v>
      </c>
    </row>
    <row r="677" ht="15.75" customHeight="1">
      <c r="A677" s="10" t="s">
        <v>1452</v>
      </c>
      <c r="B677" s="10" t="s">
        <v>1453</v>
      </c>
      <c r="C677" s="11">
        <v>0.0</v>
      </c>
      <c r="D677" s="11">
        <v>0.0</v>
      </c>
      <c r="E677" s="11">
        <v>0.0</v>
      </c>
      <c r="F677" s="11">
        <v>0.0</v>
      </c>
      <c r="G677" s="11">
        <v>0.0</v>
      </c>
      <c r="H677" s="11">
        <v>132.0</v>
      </c>
      <c r="I677" s="11">
        <v>0.0</v>
      </c>
      <c r="J677" s="11">
        <v>0.0</v>
      </c>
      <c r="K677" s="11">
        <f t="shared" si="1"/>
        <v>132</v>
      </c>
      <c r="L677" s="11">
        <f t="shared" si="2"/>
        <v>33</v>
      </c>
    </row>
    <row r="678" ht="15.75" customHeight="1">
      <c r="A678" s="10" t="s">
        <v>1454</v>
      </c>
      <c r="B678" s="10" t="s">
        <v>1455</v>
      </c>
      <c r="C678" s="11">
        <v>0.0</v>
      </c>
      <c r="D678" s="11">
        <v>0.0</v>
      </c>
      <c r="E678" s="11">
        <v>0.0</v>
      </c>
      <c r="F678" s="11">
        <v>0.0</v>
      </c>
      <c r="G678" s="11">
        <v>0.0</v>
      </c>
      <c r="H678" s="11">
        <v>0.0</v>
      </c>
      <c r="I678" s="11">
        <v>0.0</v>
      </c>
      <c r="J678" s="11">
        <v>0.0</v>
      </c>
      <c r="K678" s="11">
        <f t="shared" si="1"/>
        <v>0</v>
      </c>
      <c r="L678" s="11">
        <f t="shared" si="2"/>
        <v>0</v>
      </c>
    </row>
    <row r="679" ht="15.75" customHeight="1">
      <c r="A679" s="10" t="s">
        <v>1456</v>
      </c>
      <c r="B679" s="10" t="s">
        <v>1457</v>
      </c>
      <c r="C679" s="11">
        <v>0.0</v>
      </c>
      <c r="D679" s="11">
        <v>0.0</v>
      </c>
      <c r="E679" s="11">
        <v>0.0</v>
      </c>
      <c r="F679" s="11">
        <v>0.0</v>
      </c>
      <c r="G679" s="11">
        <v>0.0</v>
      </c>
      <c r="H679" s="11">
        <v>0.0</v>
      </c>
      <c r="I679" s="11">
        <v>0.0</v>
      </c>
      <c r="J679" s="11">
        <v>0.0</v>
      </c>
      <c r="K679" s="11">
        <f t="shared" si="1"/>
        <v>0</v>
      </c>
      <c r="L679" s="11">
        <f t="shared" si="2"/>
        <v>0</v>
      </c>
    </row>
    <row r="680" ht="15.75" customHeight="1">
      <c r="A680" s="10" t="s">
        <v>1458</v>
      </c>
      <c r="B680" s="10" t="s">
        <v>1459</v>
      </c>
      <c r="C680" s="11">
        <v>0.0</v>
      </c>
      <c r="D680" s="11">
        <v>0.0</v>
      </c>
      <c r="E680" s="11">
        <v>0.0</v>
      </c>
      <c r="F680" s="11">
        <v>0.0</v>
      </c>
      <c r="G680" s="11">
        <v>0.0</v>
      </c>
      <c r="H680" s="11">
        <v>0.0</v>
      </c>
      <c r="I680" s="11">
        <v>0.0</v>
      </c>
      <c r="J680" s="11">
        <v>0.0</v>
      </c>
      <c r="K680" s="11">
        <f t="shared" si="1"/>
        <v>0</v>
      </c>
      <c r="L680" s="11">
        <f t="shared" si="2"/>
        <v>0</v>
      </c>
    </row>
    <row r="681" ht="15.75" customHeight="1">
      <c r="A681" s="10" t="s">
        <v>1460</v>
      </c>
      <c r="B681" s="10" t="s">
        <v>1461</v>
      </c>
      <c r="C681" s="11">
        <v>0.0</v>
      </c>
      <c r="D681" s="11">
        <v>0.0</v>
      </c>
      <c r="E681" s="11">
        <v>0.0</v>
      </c>
      <c r="F681" s="11">
        <v>0.0</v>
      </c>
      <c r="G681" s="11">
        <v>0.0</v>
      </c>
      <c r="H681" s="11">
        <v>0.0</v>
      </c>
      <c r="I681" s="11">
        <v>0.0</v>
      </c>
      <c r="J681" s="11">
        <v>0.0</v>
      </c>
      <c r="K681" s="11">
        <f t="shared" si="1"/>
        <v>0</v>
      </c>
      <c r="L681" s="11">
        <f t="shared" si="2"/>
        <v>0</v>
      </c>
    </row>
    <row r="682" ht="15.75" customHeight="1">
      <c r="A682" s="10" t="s">
        <v>1462</v>
      </c>
      <c r="B682" s="10" t="s">
        <v>1463</v>
      </c>
      <c r="C682" s="11">
        <v>0.0</v>
      </c>
      <c r="D682" s="11">
        <v>0.0</v>
      </c>
      <c r="E682" s="11">
        <v>0.0</v>
      </c>
      <c r="F682" s="11">
        <v>0.0</v>
      </c>
      <c r="G682" s="11">
        <v>0.0</v>
      </c>
      <c r="H682" s="11">
        <v>0.0</v>
      </c>
      <c r="I682" s="11">
        <v>255.0</v>
      </c>
      <c r="J682" s="11">
        <v>0.0</v>
      </c>
      <c r="K682" s="11">
        <f t="shared" si="1"/>
        <v>255</v>
      </c>
      <c r="L682" s="11">
        <f t="shared" si="2"/>
        <v>63.75</v>
      </c>
    </row>
    <row r="683" ht="15.75" customHeight="1">
      <c r="A683" s="10" t="s">
        <v>1464</v>
      </c>
      <c r="B683" s="10" t="s">
        <v>1465</v>
      </c>
      <c r="C683" s="11">
        <v>0.0</v>
      </c>
      <c r="D683" s="11">
        <v>0.0</v>
      </c>
      <c r="E683" s="11">
        <v>0.0</v>
      </c>
      <c r="F683" s="11">
        <v>0.0</v>
      </c>
      <c r="G683" s="11">
        <v>0.0</v>
      </c>
      <c r="H683" s="11">
        <v>0.0</v>
      </c>
      <c r="I683" s="11">
        <v>0.0</v>
      </c>
      <c r="J683" s="11">
        <v>0.0</v>
      </c>
      <c r="K683" s="11">
        <f t="shared" si="1"/>
        <v>0</v>
      </c>
      <c r="L683" s="11">
        <f t="shared" si="2"/>
        <v>0</v>
      </c>
    </row>
    <row r="684" ht="15.75" customHeight="1">
      <c r="A684" s="10" t="s">
        <v>1466</v>
      </c>
      <c r="B684" s="10" t="s">
        <v>1467</v>
      </c>
      <c r="C684" s="11">
        <v>0.0</v>
      </c>
      <c r="D684" s="11">
        <v>0.0</v>
      </c>
      <c r="E684" s="11">
        <v>0.0</v>
      </c>
      <c r="F684" s="11">
        <v>0.0</v>
      </c>
      <c r="G684" s="11">
        <v>0.0</v>
      </c>
      <c r="H684" s="11">
        <v>0.0</v>
      </c>
      <c r="I684" s="11">
        <v>0.0</v>
      </c>
      <c r="J684" s="11">
        <v>0.0</v>
      </c>
      <c r="K684" s="11">
        <f t="shared" si="1"/>
        <v>0</v>
      </c>
      <c r="L684" s="11">
        <f t="shared" si="2"/>
        <v>0</v>
      </c>
    </row>
    <row r="685" ht="15.75" customHeight="1">
      <c r="A685" s="10" t="s">
        <v>1468</v>
      </c>
      <c r="B685" s="10" t="s">
        <v>1469</v>
      </c>
      <c r="C685" s="11">
        <v>0.0</v>
      </c>
      <c r="D685" s="11">
        <v>0.0</v>
      </c>
      <c r="E685" s="11">
        <v>50.0</v>
      </c>
      <c r="F685" s="11">
        <v>0.0</v>
      </c>
      <c r="G685" s="11">
        <v>50.0</v>
      </c>
      <c r="H685" s="11">
        <v>0.0</v>
      </c>
      <c r="I685" s="11">
        <v>0.0</v>
      </c>
      <c r="J685" s="11">
        <v>50.0</v>
      </c>
      <c r="K685" s="11">
        <f t="shared" si="1"/>
        <v>150</v>
      </c>
      <c r="L685" s="11">
        <f t="shared" si="2"/>
        <v>25</v>
      </c>
    </row>
    <row r="686" ht="15.75" customHeight="1">
      <c r="A686" s="10" t="s">
        <v>1470</v>
      </c>
      <c r="B686" s="10" t="s">
        <v>1471</v>
      </c>
      <c r="C686" s="11">
        <v>100.0</v>
      </c>
      <c r="D686" s="11">
        <v>100.0</v>
      </c>
      <c r="E686" s="11">
        <v>0.0</v>
      </c>
      <c r="F686" s="11">
        <v>0.0</v>
      </c>
      <c r="G686" s="11">
        <v>0.0</v>
      </c>
      <c r="H686" s="11">
        <v>0.0</v>
      </c>
      <c r="I686" s="11">
        <v>50.0</v>
      </c>
      <c r="J686" s="11">
        <v>281.0</v>
      </c>
      <c r="K686" s="11">
        <f t="shared" si="1"/>
        <v>531</v>
      </c>
      <c r="L686" s="11">
        <f t="shared" si="2"/>
        <v>82.75</v>
      </c>
    </row>
    <row r="687" ht="15.75" customHeight="1">
      <c r="A687" s="10" t="s">
        <v>1472</v>
      </c>
      <c r="B687" s="10" t="s">
        <v>1473</v>
      </c>
      <c r="C687" s="11">
        <v>0.0</v>
      </c>
      <c r="D687" s="11">
        <v>0.0</v>
      </c>
      <c r="E687" s="11">
        <v>109.0</v>
      </c>
      <c r="F687" s="11">
        <v>100.0</v>
      </c>
      <c r="G687" s="11">
        <v>0.0</v>
      </c>
      <c r="H687" s="11">
        <v>150.0</v>
      </c>
      <c r="I687" s="11">
        <v>50.0</v>
      </c>
      <c r="J687" s="11">
        <v>100.0</v>
      </c>
      <c r="K687" s="11">
        <f t="shared" si="1"/>
        <v>509</v>
      </c>
      <c r="L687" s="11">
        <f t="shared" si="2"/>
        <v>75</v>
      </c>
    </row>
    <row r="688" ht="15.75" customHeight="1">
      <c r="A688" s="10" t="s">
        <v>1474</v>
      </c>
      <c r="B688" s="10" t="s">
        <v>1475</v>
      </c>
      <c r="C688" s="11">
        <v>100.0</v>
      </c>
      <c r="D688" s="11">
        <v>0.0</v>
      </c>
      <c r="E688" s="11">
        <v>0.0</v>
      </c>
      <c r="F688" s="11">
        <v>0.0</v>
      </c>
      <c r="G688" s="11">
        <v>0.0</v>
      </c>
      <c r="H688" s="11">
        <v>50.0</v>
      </c>
      <c r="I688" s="11">
        <v>50.0</v>
      </c>
      <c r="J688" s="11">
        <v>50.0</v>
      </c>
      <c r="K688" s="11">
        <f t="shared" si="1"/>
        <v>250</v>
      </c>
      <c r="L688" s="11">
        <f t="shared" si="2"/>
        <v>37.5</v>
      </c>
    </row>
    <row r="689" ht="15.75" customHeight="1">
      <c r="A689" s="10" t="s">
        <v>1476</v>
      </c>
      <c r="B689" s="10" t="s">
        <v>1477</v>
      </c>
      <c r="C689" s="11">
        <v>500.0</v>
      </c>
      <c r="D689" s="11">
        <v>200.0</v>
      </c>
      <c r="E689" s="11">
        <v>200.0</v>
      </c>
      <c r="F689" s="11">
        <v>250.0</v>
      </c>
      <c r="G689" s="11">
        <v>50.0</v>
      </c>
      <c r="H689" s="11">
        <v>700.0</v>
      </c>
      <c r="I689" s="11">
        <v>700.0</v>
      </c>
      <c r="J689" s="11">
        <v>400.0</v>
      </c>
      <c r="K689" s="11">
        <f t="shared" si="1"/>
        <v>3000</v>
      </c>
      <c r="L689" s="11">
        <f t="shared" si="2"/>
        <v>462.5</v>
      </c>
    </row>
    <row r="690" ht="15.75" customHeight="1">
      <c r="A690" s="10" t="s">
        <v>1478</v>
      </c>
      <c r="B690" s="10" t="s">
        <v>1479</v>
      </c>
      <c r="C690" s="11">
        <v>1250.0</v>
      </c>
      <c r="D690" s="11">
        <v>400.0</v>
      </c>
      <c r="E690" s="11">
        <v>1050.0</v>
      </c>
      <c r="F690" s="11">
        <v>1010.0</v>
      </c>
      <c r="G690" s="11">
        <v>1060.0</v>
      </c>
      <c r="H690" s="11">
        <v>1020.0</v>
      </c>
      <c r="I690" s="11">
        <v>510.0</v>
      </c>
      <c r="J690" s="11">
        <v>900.0</v>
      </c>
      <c r="K690" s="11">
        <f t="shared" si="1"/>
        <v>7200</v>
      </c>
      <c r="L690" s="11">
        <f t="shared" si="2"/>
        <v>872.5</v>
      </c>
    </row>
    <row r="691" ht="15.75" customHeight="1">
      <c r="A691" s="10" t="s">
        <v>1480</v>
      </c>
      <c r="B691" s="10" t="s">
        <v>1481</v>
      </c>
      <c r="C691" s="11">
        <v>0.0</v>
      </c>
      <c r="D691" s="11">
        <v>0.0</v>
      </c>
      <c r="E691" s="11">
        <v>0.0</v>
      </c>
      <c r="F691" s="11">
        <v>0.0</v>
      </c>
      <c r="G691" s="11">
        <v>0.0</v>
      </c>
      <c r="H691" s="11">
        <v>0.0</v>
      </c>
      <c r="I691" s="11">
        <v>0.0</v>
      </c>
      <c r="J691" s="11">
        <v>0.0</v>
      </c>
      <c r="K691" s="11">
        <f t="shared" si="1"/>
        <v>0</v>
      </c>
      <c r="L691" s="11">
        <f t="shared" si="2"/>
        <v>0</v>
      </c>
    </row>
    <row r="692" ht="15.75" customHeight="1">
      <c r="A692" s="10" t="s">
        <v>1482</v>
      </c>
      <c r="B692" s="10" t="s">
        <v>1483</v>
      </c>
      <c r="C692" s="11">
        <v>30.0</v>
      </c>
      <c r="D692" s="11">
        <v>0.0</v>
      </c>
      <c r="E692" s="11">
        <v>0.0</v>
      </c>
      <c r="F692" s="11">
        <v>0.0</v>
      </c>
      <c r="G692" s="11">
        <v>0.0</v>
      </c>
      <c r="H692" s="11">
        <v>0.0</v>
      </c>
      <c r="I692" s="11">
        <v>0.0</v>
      </c>
      <c r="J692" s="11">
        <v>0.0</v>
      </c>
      <c r="K692" s="11">
        <f t="shared" si="1"/>
        <v>30</v>
      </c>
      <c r="L692" s="11">
        <f t="shared" si="2"/>
        <v>0</v>
      </c>
    </row>
    <row r="693" ht="15.75" customHeight="1">
      <c r="A693" s="10" t="s">
        <v>1484</v>
      </c>
      <c r="B693" s="10" t="s">
        <v>1485</v>
      </c>
      <c r="C693" s="11">
        <v>300.0</v>
      </c>
      <c r="D693" s="11">
        <v>287.0</v>
      </c>
      <c r="E693" s="11">
        <v>630.0</v>
      </c>
      <c r="F693" s="11">
        <v>150.0</v>
      </c>
      <c r="G693" s="11">
        <v>270.0</v>
      </c>
      <c r="H693" s="11">
        <v>407.0</v>
      </c>
      <c r="I693" s="11">
        <v>200.0</v>
      </c>
      <c r="J693" s="11">
        <v>510.0</v>
      </c>
      <c r="K693" s="11">
        <f t="shared" si="1"/>
        <v>2754</v>
      </c>
      <c r="L693" s="11">
        <f t="shared" si="2"/>
        <v>346.75</v>
      </c>
    </row>
    <row r="694" ht="15.75" customHeight="1">
      <c r="A694" s="10" t="s">
        <v>1486</v>
      </c>
      <c r="B694" s="10" t="s">
        <v>1487</v>
      </c>
      <c r="C694" s="11">
        <v>0.0</v>
      </c>
      <c r="D694" s="11">
        <v>0.0</v>
      </c>
      <c r="E694" s="11">
        <v>0.0</v>
      </c>
      <c r="F694" s="11">
        <v>0.0</v>
      </c>
      <c r="G694" s="11">
        <v>0.0</v>
      </c>
      <c r="H694" s="11">
        <v>0.0</v>
      </c>
      <c r="I694" s="11">
        <v>0.0</v>
      </c>
      <c r="J694" s="11">
        <v>0.0</v>
      </c>
      <c r="K694" s="11">
        <f t="shared" si="1"/>
        <v>0</v>
      </c>
      <c r="L694" s="11">
        <f t="shared" si="2"/>
        <v>0</v>
      </c>
    </row>
    <row r="695" ht="15.75" customHeight="1">
      <c r="A695" s="10" t="s">
        <v>1488</v>
      </c>
      <c r="B695" s="10" t="s">
        <v>1489</v>
      </c>
      <c r="C695" s="11">
        <v>2657.0</v>
      </c>
      <c r="D695" s="11">
        <v>2100.0</v>
      </c>
      <c r="E695" s="11">
        <v>300.0</v>
      </c>
      <c r="F695" s="11">
        <v>0.0</v>
      </c>
      <c r="G695" s="11">
        <v>0.0</v>
      </c>
      <c r="H695" s="11">
        <v>0.0</v>
      </c>
      <c r="I695" s="11">
        <v>30.0</v>
      </c>
      <c r="J695" s="11">
        <v>1080.0</v>
      </c>
      <c r="K695" s="11">
        <f t="shared" si="1"/>
        <v>6167</v>
      </c>
      <c r="L695" s="11">
        <f t="shared" si="2"/>
        <v>277.5</v>
      </c>
    </row>
    <row r="696" ht="15.75" customHeight="1">
      <c r="A696" s="10" t="s">
        <v>1490</v>
      </c>
      <c r="B696" s="10" t="s">
        <v>1491</v>
      </c>
      <c r="C696" s="11">
        <v>0.0</v>
      </c>
      <c r="D696" s="11">
        <v>0.0</v>
      </c>
      <c r="E696" s="11">
        <v>0.0</v>
      </c>
      <c r="F696" s="11">
        <v>0.0</v>
      </c>
      <c r="G696" s="11">
        <v>0.0</v>
      </c>
      <c r="H696" s="11">
        <v>0.0</v>
      </c>
      <c r="I696" s="11">
        <v>0.0</v>
      </c>
      <c r="J696" s="11">
        <v>0.0</v>
      </c>
      <c r="K696" s="11">
        <f t="shared" si="1"/>
        <v>0</v>
      </c>
      <c r="L696" s="11">
        <f t="shared" si="2"/>
        <v>0</v>
      </c>
    </row>
    <row r="697" ht="15.75" customHeight="1">
      <c r="A697" s="10" t="s">
        <v>1492</v>
      </c>
      <c r="B697" s="10" t="s">
        <v>1493</v>
      </c>
      <c r="C697" s="11">
        <v>400.0</v>
      </c>
      <c r="D697" s="11">
        <v>203.0</v>
      </c>
      <c r="E697" s="11">
        <v>338.0</v>
      </c>
      <c r="F697" s="11">
        <v>440.0</v>
      </c>
      <c r="G697" s="11">
        <v>520.0</v>
      </c>
      <c r="H697" s="11">
        <v>240.0</v>
      </c>
      <c r="I697" s="11">
        <v>87.0</v>
      </c>
      <c r="J697" s="11">
        <v>60.0</v>
      </c>
      <c r="K697" s="11">
        <f t="shared" si="1"/>
        <v>2288</v>
      </c>
      <c r="L697" s="11">
        <f t="shared" si="2"/>
        <v>226.75</v>
      </c>
    </row>
    <row r="698" ht="15.75" customHeight="1">
      <c r="A698" s="10" t="s">
        <v>1494</v>
      </c>
      <c r="B698" s="10" t="s">
        <v>1495</v>
      </c>
      <c r="C698" s="11">
        <v>860.0</v>
      </c>
      <c r="D698" s="11">
        <v>518.0</v>
      </c>
      <c r="E698" s="11">
        <v>720.0</v>
      </c>
      <c r="F698" s="11">
        <v>402.0</v>
      </c>
      <c r="G698" s="11">
        <v>728.0</v>
      </c>
      <c r="H698" s="11">
        <v>430.0</v>
      </c>
      <c r="I698" s="11">
        <v>0.0</v>
      </c>
      <c r="J698" s="11">
        <v>0.0</v>
      </c>
      <c r="K698" s="11">
        <f t="shared" si="1"/>
        <v>3658</v>
      </c>
      <c r="L698" s="11">
        <f t="shared" si="2"/>
        <v>289.5</v>
      </c>
    </row>
    <row r="699" ht="15.75" customHeight="1">
      <c r="A699" s="10" t="s">
        <v>1496</v>
      </c>
      <c r="B699" s="10" t="s">
        <v>1497</v>
      </c>
      <c r="C699" s="11">
        <v>0.0</v>
      </c>
      <c r="D699" s="11">
        <v>0.0</v>
      </c>
      <c r="E699" s="11">
        <v>0.0</v>
      </c>
      <c r="F699" s="11">
        <v>0.0</v>
      </c>
      <c r="G699" s="11">
        <v>0.0</v>
      </c>
      <c r="H699" s="11">
        <v>0.0</v>
      </c>
      <c r="I699" s="11">
        <v>0.0</v>
      </c>
      <c r="J699" s="11">
        <v>0.0</v>
      </c>
      <c r="K699" s="11">
        <f t="shared" si="1"/>
        <v>0</v>
      </c>
      <c r="L699" s="11">
        <f t="shared" si="2"/>
        <v>0</v>
      </c>
    </row>
    <row r="700" ht="15.75" customHeight="1">
      <c r="A700" s="10" t="s">
        <v>1500</v>
      </c>
      <c r="B700" s="10" t="s">
        <v>1501</v>
      </c>
      <c r="C700" s="11">
        <v>0.0</v>
      </c>
      <c r="D700" s="11">
        <v>0.0</v>
      </c>
      <c r="E700" s="11">
        <v>0.0</v>
      </c>
      <c r="F700" s="11">
        <v>0.0</v>
      </c>
      <c r="G700" s="11">
        <v>0.0</v>
      </c>
      <c r="H700" s="11">
        <v>0.0</v>
      </c>
      <c r="I700" s="11">
        <v>0.0</v>
      </c>
      <c r="J700" s="11">
        <v>0.0</v>
      </c>
      <c r="K700" s="11">
        <f t="shared" si="1"/>
        <v>0</v>
      </c>
      <c r="L700" s="11">
        <f t="shared" si="2"/>
        <v>0</v>
      </c>
    </row>
    <row r="701" ht="15.75" customHeight="1">
      <c r="A701" s="10" t="s">
        <v>1502</v>
      </c>
      <c r="B701" s="10" t="s">
        <v>1503</v>
      </c>
      <c r="C701" s="11">
        <v>0.0</v>
      </c>
      <c r="D701" s="11">
        <v>0.0</v>
      </c>
      <c r="E701" s="11">
        <v>0.0</v>
      </c>
      <c r="F701" s="11">
        <v>0.0</v>
      </c>
      <c r="G701" s="11">
        <v>0.0</v>
      </c>
      <c r="H701" s="11">
        <v>0.0</v>
      </c>
      <c r="I701" s="11">
        <v>0.0</v>
      </c>
      <c r="J701" s="11">
        <v>0.0</v>
      </c>
      <c r="K701" s="11">
        <f t="shared" si="1"/>
        <v>0</v>
      </c>
      <c r="L701" s="11">
        <f t="shared" si="2"/>
        <v>0</v>
      </c>
    </row>
    <row r="702" ht="15.75" customHeight="1">
      <c r="A702" s="10" t="s">
        <v>1504</v>
      </c>
      <c r="B702" s="10" t="s">
        <v>1505</v>
      </c>
      <c r="C702" s="11">
        <v>0.0</v>
      </c>
      <c r="D702" s="11">
        <v>0.0</v>
      </c>
      <c r="E702" s="11">
        <v>0.0</v>
      </c>
      <c r="F702" s="11">
        <v>0.0</v>
      </c>
      <c r="G702" s="11">
        <v>0.0</v>
      </c>
      <c r="H702" s="11">
        <v>0.0</v>
      </c>
      <c r="I702" s="11">
        <v>0.0</v>
      </c>
      <c r="J702" s="11">
        <v>0.0</v>
      </c>
      <c r="K702" s="11">
        <f t="shared" si="1"/>
        <v>0</v>
      </c>
      <c r="L702" s="11">
        <f t="shared" si="2"/>
        <v>0</v>
      </c>
    </row>
    <row r="703" ht="15.75" customHeight="1">
      <c r="A703" s="10" t="s">
        <v>1506</v>
      </c>
      <c r="B703" s="10" t="s">
        <v>1507</v>
      </c>
      <c r="C703" s="11">
        <v>0.0</v>
      </c>
      <c r="D703" s="11">
        <v>0.0</v>
      </c>
      <c r="E703" s="11">
        <v>0.0</v>
      </c>
      <c r="F703" s="11">
        <v>0.0</v>
      </c>
      <c r="G703" s="11">
        <v>0.0</v>
      </c>
      <c r="H703" s="11">
        <v>0.0</v>
      </c>
      <c r="I703" s="11">
        <v>0.0</v>
      </c>
      <c r="J703" s="11">
        <v>0.0</v>
      </c>
      <c r="K703" s="11">
        <f t="shared" si="1"/>
        <v>0</v>
      </c>
      <c r="L703" s="11">
        <f t="shared" si="2"/>
        <v>0</v>
      </c>
    </row>
    <row r="704" ht="15.75" customHeight="1">
      <c r="A704" s="10" t="s">
        <v>1508</v>
      </c>
      <c r="B704" s="10" t="s">
        <v>1509</v>
      </c>
      <c r="C704" s="11">
        <v>0.0</v>
      </c>
      <c r="D704" s="11">
        <v>0.0</v>
      </c>
      <c r="E704" s="11">
        <v>0.0</v>
      </c>
      <c r="F704" s="11">
        <v>0.0</v>
      </c>
      <c r="G704" s="11">
        <v>0.0</v>
      </c>
      <c r="H704" s="11">
        <v>0.0</v>
      </c>
      <c r="I704" s="11">
        <v>0.0</v>
      </c>
      <c r="J704" s="11">
        <v>0.0</v>
      </c>
      <c r="K704" s="11">
        <f t="shared" si="1"/>
        <v>0</v>
      </c>
      <c r="L704" s="11">
        <f t="shared" si="2"/>
        <v>0</v>
      </c>
    </row>
    <row r="705" ht="15.75" customHeight="1">
      <c r="A705" s="10" t="s">
        <v>1510</v>
      </c>
      <c r="B705" s="10" t="s">
        <v>1511</v>
      </c>
      <c r="C705" s="11">
        <v>0.0</v>
      </c>
      <c r="D705" s="11">
        <v>0.0</v>
      </c>
      <c r="E705" s="11">
        <v>0.0</v>
      </c>
      <c r="F705" s="11">
        <v>0.0</v>
      </c>
      <c r="G705" s="11">
        <v>0.0</v>
      </c>
      <c r="H705" s="11">
        <v>0.0</v>
      </c>
      <c r="I705" s="11">
        <v>0.0</v>
      </c>
      <c r="J705" s="11">
        <v>0.0</v>
      </c>
      <c r="K705" s="11">
        <f t="shared" si="1"/>
        <v>0</v>
      </c>
      <c r="L705" s="11">
        <f t="shared" si="2"/>
        <v>0</v>
      </c>
    </row>
    <row r="706" ht="15.75" customHeight="1">
      <c r="A706" s="10" t="s">
        <v>1512</v>
      </c>
      <c r="B706" s="10" t="s">
        <v>1513</v>
      </c>
      <c r="C706" s="11">
        <v>0.0</v>
      </c>
      <c r="D706" s="11">
        <v>0.0</v>
      </c>
      <c r="E706" s="11">
        <v>0.0</v>
      </c>
      <c r="F706" s="11">
        <v>0.0</v>
      </c>
      <c r="G706" s="11">
        <v>0.0</v>
      </c>
      <c r="H706" s="11">
        <v>0.0</v>
      </c>
      <c r="I706" s="11">
        <v>0.0</v>
      </c>
      <c r="J706" s="11">
        <v>0.0</v>
      </c>
      <c r="K706" s="11">
        <f t="shared" si="1"/>
        <v>0</v>
      </c>
      <c r="L706" s="11">
        <f t="shared" si="2"/>
        <v>0</v>
      </c>
    </row>
    <row r="707" ht="15.75" customHeight="1">
      <c r="A707" s="10" t="s">
        <v>1514</v>
      </c>
      <c r="B707" s="10" t="s">
        <v>1515</v>
      </c>
      <c r="C707" s="11">
        <v>0.0</v>
      </c>
      <c r="D707" s="11">
        <v>0.0</v>
      </c>
      <c r="E707" s="11">
        <v>0.0</v>
      </c>
      <c r="F707" s="11">
        <v>0.0</v>
      </c>
      <c r="G707" s="11">
        <v>0.0</v>
      </c>
      <c r="H707" s="11">
        <v>0.0</v>
      </c>
      <c r="I707" s="11">
        <v>0.0</v>
      </c>
      <c r="J707" s="11">
        <v>0.0</v>
      </c>
      <c r="K707" s="11">
        <f t="shared" si="1"/>
        <v>0</v>
      </c>
      <c r="L707" s="11">
        <f t="shared" si="2"/>
        <v>0</v>
      </c>
    </row>
    <row r="708" ht="15.75" customHeight="1">
      <c r="A708" s="10" t="s">
        <v>1516</v>
      </c>
      <c r="B708" s="10" t="s">
        <v>1517</v>
      </c>
      <c r="C708" s="11">
        <v>0.0</v>
      </c>
      <c r="D708" s="11">
        <v>0.0</v>
      </c>
      <c r="E708" s="11">
        <v>0.0</v>
      </c>
      <c r="F708" s="11">
        <v>0.0</v>
      </c>
      <c r="G708" s="11">
        <v>0.0</v>
      </c>
      <c r="H708" s="11">
        <v>10.0</v>
      </c>
      <c r="I708" s="11">
        <v>10.0</v>
      </c>
      <c r="J708" s="11">
        <v>0.0</v>
      </c>
      <c r="K708" s="11">
        <f t="shared" si="1"/>
        <v>20</v>
      </c>
      <c r="L708" s="11">
        <f t="shared" si="2"/>
        <v>5</v>
      </c>
    </row>
    <row r="709" ht="15.75" customHeight="1">
      <c r="A709" s="10" t="s">
        <v>1518</v>
      </c>
      <c r="B709" s="10" t="s">
        <v>1519</v>
      </c>
      <c r="C709" s="11">
        <v>0.0</v>
      </c>
      <c r="D709" s="11">
        <v>0.0</v>
      </c>
      <c r="E709" s="11">
        <v>0.0</v>
      </c>
      <c r="F709" s="11">
        <v>0.0</v>
      </c>
      <c r="G709" s="11">
        <v>0.0</v>
      </c>
      <c r="H709" s="11">
        <v>30.0</v>
      </c>
      <c r="I709" s="11">
        <v>10.0</v>
      </c>
      <c r="J709" s="11">
        <v>30.0</v>
      </c>
      <c r="K709" s="11">
        <f t="shared" si="1"/>
        <v>70</v>
      </c>
      <c r="L709" s="11">
        <f t="shared" si="2"/>
        <v>17.5</v>
      </c>
    </row>
    <row r="710" ht="15.75" customHeight="1">
      <c r="A710" s="10" t="s">
        <v>1520</v>
      </c>
      <c r="B710" s="10" t="s">
        <v>1521</v>
      </c>
      <c r="C710" s="11">
        <v>0.0</v>
      </c>
      <c r="D710" s="11">
        <v>0.0</v>
      </c>
      <c r="E710" s="11">
        <v>0.0</v>
      </c>
      <c r="F710" s="11">
        <v>0.0</v>
      </c>
      <c r="G710" s="11">
        <v>0.0</v>
      </c>
      <c r="H710" s="11">
        <v>60.0</v>
      </c>
      <c r="I710" s="11">
        <v>20.0</v>
      </c>
      <c r="J710" s="11">
        <v>0.0</v>
      </c>
      <c r="K710" s="11">
        <f t="shared" si="1"/>
        <v>80</v>
      </c>
      <c r="L710" s="11">
        <f t="shared" si="2"/>
        <v>20</v>
      </c>
    </row>
    <row r="711" ht="15.75" customHeight="1">
      <c r="A711" s="10" t="s">
        <v>1522</v>
      </c>
      <c r="B711" s="10" t="s">
        <v>1523</v>
      </c>
      <c r="C711" s="11">
        <v>0.0</v>
      </c>
      <c r="D711" s="11">
        <v>0.0</v>
      </c>
      <c r="E711" s="11">
        <v>0.0</v>
      </c>
      <c r="F711" s="11">
        <v>0.0</v>
      </c>
      <c r="G711" s="11">
        <v>0.0</v>
      </c>
      <c r="H711" s="11">
        <v>30.0</v>
      </c>
      <c r="I711" s="11">
        <v>0.0</v>
      </c>
      <c r="J711" s="11">
        <v>0.0</v>
      </c>
      <c r="K711" s="11">
        <f t="shared" si="1"/>
        <v>30</v>
      </c>
      <c r="L711" s="11">
        <f t="shared" si="2"/>
        <v>7.5</v>
      </c>
    </row>
    <row r="712" ht="15.75" customHeight="1">
      <c r="A712" s="10" t="s">
        <v>1524</v>
      </c>
      <c r="B712" s="10" t="s">
        <v>1525</v>
      </c>
      <c r="C712" s="11">
        <v>0.0</v>
      </c>
      <c r="D712" s="11">
        <v>0.0</v>
      </c>
      <c r="E712" s="11">
        <v>0.0</v>
      </c>
      <c r="F712" s="11">
        <v>0.0</v>
      </c>
      <c r="G712" s="11">
        <v>0.0</v>
      </c>
      <c r="H712" s="11">
        <v>30.0</v>
      </c>
      <c r="I712" s="11">
        <v>0.0</v>
      </c>
      <c r="J712" s="11">
        <v>30.0</v>
      </c>
      <c r="K712" s="11">
        <f t="shared" si="1"/>
        <v>60</v>
      </c>
      <c r="L712" s="11">
        <f t="shared" si="2"/>
        <v>15</v>
      </c>
    </row>
    <row r="713" ht="15.75" customHeight="1">
      <c r="A713" s="10" t="s">
        <v>1526</v>
      </c>
      <c r="B713" s="10" t="s">
        <v>1527</v>
      </c>
      <c r="C713" s="11">
        <v>0.0</v>
      </c>
      <c r="D713" s="11">
        <v>0.0</v>
      </c>
      <c r="E713" s="11">
        <v>0.0</v>
      </c>
      <c r="F713" s="11">
        <v>0.0</v>
      </c>
      <c r="G713" s="11">
        <v>0.0</v>
      </c>
      <c r="H713" s="11">
        <v>80.0</v>
      </c>
      <c r="I713" s="11">
        <v>10.0</v>
      </c>
      <c r="J713" s="11">
        <v>0.0</v>
      </c>
      <c r="K713" s="11">
        <f t="shared" si="1"/>
        <v>90</v>
      </c>
      <c r="L713" s="11">
        <f t="shared" si="2"/>
        <v>22.5</v>
      </c>
    </row>
    <row r="714" ht="15.75" customHeight="1">
      <c r="A714" s="10" t="s">
        <v>1528</v>
      </c>
      <c r="B714" s="10" t="s">
        <v>1529</v>
      </c>
      <c r="C714" s="11">
        <v>0.0</v>
      </c>
      <c r="D714" s="11">
        <v>0.0</v>
      </c>
      <c r="E714" s="11">
        <v>0.0</v>
      </c>
      <c r="F714" s="11">
        <v>0.0</v>
      </c>
      <c r="G714" s="11">
        <v>0.0</v>
      </c>
      <c r="H714" s="11">
        <v>10.0</v>
      </c>
      <c r="I714" s="11">
        <v>10.0</v>
      </c>
      <c r="J714" s="11">
        <v>20.0</v>
      </c>
      <c r="K714" s="11">
        <f t="shared" si="1"/>
        <v>40</v>
      </c>
      <c r="L714" s="11">
        <f t="shared" si="2"/>
        <v>10</v>
      </c>
    </row>
    <row r="715" ht="15.75" customHeight="1">
      <c r="A715" s="10" t="s">
        <v>1530</v>
      </c>
      <c r="B715" s="10" t="s">
        <v>1531</v>
      </c>
      <c r="C715" s="11">
        <v>0.0</v>
      </c>
      <c r="D715" s="11">
        <v>0.0</v>
      </c>
      <c r="E715" s="11">
        <v>0.0</v>
      </c>
      <c r="F715" s="11">
        <v>0.0</v>
      </c>
      <c r="G715" s="11">
        <v>0.0</v>
      </c>
      <c r="H715" s="11">
        <v>50.0</v>
      </c>
      <c r="I715" s="11">
        <v>0.0</v>
      </c>
      <c r="J715" s="11">
        <v>0.0</v>
      </c>
      <c r="K715" s="11">
        <f t="shared" si="1"/>
        <v>50</v>
      </c>
      <c r="L715" s="11">
        <f t="shared" si="2"/>
        <v>12.5</v>
      </c>
    </row>
    <row r="716" ht="15.75" customHeight="1">
      <c r="A716" s="10" t="s">
        <v>1532</v>
      </c>
      <c r="B716" s="10" t="s">
        <v>1533</v>
      </c>
      <c r="C716" s="11">
        <v>0.0</v>
      </c>
      <c r="D716" s="11">
        <v>0.0</v>
      </c>
      <c r="E716" s="11">
        <v>0.0</v>
      </c>
      <c r="F716" s="11">
        <v>0.0</v>
      </c>
      <c r="G716" s="11">
        <v>0.0</v>
      </c>
      <c r="H716" s="11">
        <v>50.0</v>
      </c>
      <c r="I716" s="11">
        <v>10.0</v>
      </c>
      <c r="J716" s="11">
        <v>0.0</v>
      </c>
      <c r="K716" s="11">
        <f t="shared" si="1"/>
        <v>60</v>
      </c>
      <c r="L716" s="11">
        <f t="shared" si="2"/>
        <v>15</v>
      </c>
    </row>
    <row r="717" ht="15.75" customHeight="1">
      <c r="A717" s="10" t="s">
        <v>1534</v>
      </c>
      <c r="B717" s="10" t="s">
        <v>1535</v>
      </c>
      <c r="C717" s="11">
        <v>0.0</v>
      </c>
      <c r="D717" s="11">
        <v>0.0</v>
      </c>
      <c r="E717" s="11">
        <v>0.0</v>
      </c>
      <c r="F717" s="11">
        <v>0.0</v>
      </c>
      <c r="G717" s="11">
        <v>0.0</v>
      </c>
      <c r="H717" s="11">
        <v>30.0</v>
      </c>
      <c r="I717" s="11">
        <v>10.0</v>
      </c>
      <c r="J717" s="11">
        <v>30.0</v>
      </c>
      <c r="K717" s="11">
        <f t="shared" si="1"/>
        <v>70</v>
      </c>
      <c r="L717" s="11">
        <f t="shared" si="2"/>
        <v>17.5</v>
      </c>
    </row>
    <row r="718" ht="15.75" customHeight="1">
      <c r="A718" s="10" t="s">
        <v>1536</v>
      </c>
      <c r="B718" s="10" t="s">
        <v>1537</v>
      </c>
      <c r="C718" s="11">
        <v>0.0</v>
      </c>
      <c r="D718" s="11">
        <v>0.0</v>
      </c>
      <c r="E718" s="11">
        <v>0.0</v>
      </c>
      <c r="F718" s="11">
        <v>0.0</v>
      </c>
      <c r="G718" s="11">
        <v>0.0</v>
      </c>
      <c r="H718" s="11">
        <v>50.0</v>
      </c>
      <c r="I718" s="11">
        <v>0.0</v>
      </c>
      <c r="J718" s="11">
        <v>10.0</v>
      </c>
      <c r="K718" s="11">
        <f t="shared" si="1"/>
        <v>60</v>
      </c>
      <c r="L718" s="11">
        <f t="shared" si="2"/>
        <v>15</v>
      </c>
    </row>
    <row r="719" ht="15.75" customHeight="1">
      <c r="A719" s="10" t="s">
        <v>1538</v>
      </c>
      <c r="B719" s="10" t="s">
        <v>1539</v>
      </c>
      <c r="C719" s="11">
        <v>0.0</v>
      </c>
      <c r="D719" s="11">
        <v>0.0</v>
      </c>
      <c r="E719" s="11">
        <v>0.0</v>
      </c>
      <c r="F719" s="11">
        <v>0.0</v>
      </c>
      <c r="G719" s="11">
        <v>0.0</v>
      </c>
      <c r="H719" s="11">
        <v>100.0</v>
      </c>
      <c r="I719" s="11">
        <v>0.0</v>
      </c>
      <c r="J719" s="11">
        <v>0.0</v>
      </c>
      <c r="K719" s="11">
        <f t="shared" si="1"/>
        <v>100</v>
      </c>
      <c r="L719" s="11">
        <f t="shared" si="2"/>
        <v>25</v>
      </c>
    </row>
    <row r="720" ht="15.75" customHeight="1">
      <c r="A720" s="10" t="s">
        <v>1540</v>
      </c>
      <c r="B720" s="10" t="s">
        <v>1541</v>
      </c>
      <c r="C720" s="11">
        <v>0.0</v>
      </c>
      <c r="D720" s="11">
        <v>0.0</v>
      </c>
      <c r="E720" s="11">
        <v>0.0</v>
      </c>
      <c r="F720" s="11">
        <v>0.0</v>
      </c>
      <c r="G720" s="11">
        <v>0.0</v>
      </c>
      <c r="H720" s="11">
        <v>0.0</v>
      </c>
      <c r="I720" s="11">
        <v>0.0</v>
      </c>
      <c r="J720" s="11">
        <v>0.0</v>
      </c>
      <c r="K720" s="11">
        <f t="shared" si="1"/>
        <v>0</v>
      </c>
      <c r="L720" s="11">
        <f t="shared" si="2"/>
        <v>0</v>
      </c>
    </row>
    <row r="721" ht="15.75" customHeight="1">
      <c r="A721" s="10" t="s">
        <v>1542</v>
      </c>
      <c r="B721" s="10" t="s">
        <v>1543</v>
      </c>
      <c r="C721" s="11">
        <v>0.0</v>
      </c>
      <c r="D721" s="11">
        <v>0.0</v>
      </c>
      <c r="E721" s="11">
        <v>0.0</v>
      </c>
      <c r="F721" s="11">
        <v>0.0</v>
      </c>
      <c r="G721" s="11">
        <v>0.0</v>
      </c>
      <c r="H721" s="11">
        <v>0.0</v>
      </c>
      <c r="I721" s="11">
        <v>0.0</v>
      </c>
      <c r="J721" s="11">
        <v>0.0</v>
      </c>
      <c r="K721" s="11">
        <f t="shared" si="1"/>
        <v>0</v>
      </c>
      <c r="L721" s="11">
        <f t="shared" si="2"/>
        <v>0</v>
      </c>
    </row>
    <row r="722" ht="15.75" customHeight="1">
      <c r="A722" s="10" t="s">
        <v>1544</v>
      </c>
      <c r="B722" s="10" t="s">
        <v>1545</v>
      </c>
      <c r="C722" s="11">
        <v>0.0</v>
      </c>
      <c r="D722" s="11">
        <v>0.0</v>
      </c>
      <c r="E722" s="11">
        <v>0.0</v>
      </c>
      <c r="F722" s="11">
        <v>0.0</v>
      </c>
      <c r="G722" s="11">
        <v>0.0</v>
      </c>
      <c r="H722" s="11">
        <v>0.0</v>
      </c>
      <c r="I722" s="11">
        <v>0.0</v>
      </c>
      <c r="J722" s="11">
        <v>0.0</v>
      </c>
      <c r="K722" s="11">
        <f t="shared" si="1"/>
        <v>0</v>
      </c>
      <c r="L722" s="11">
        <f t="shared" si="2"/>
        <v>0</v>
      </c>
    </row>
    <row r="723" ht="15.75" customHeight="1">
      <c r="A723" s="10" t="s">
        <v>1548</v>
      </c>
      <c r="B723" s="10" t="s">
        <v>1549</v>
      </c>
      <c r="C723" s="11">
        <v>0.0</v>
      </c>
      <c r="D723" s="11">
        <v>0.0</v>
      </c>
      <c r="E723" s="11">
        <v>0.0</v>
      </c>
      <c r="F723" s="11">
        <v>0.0</v>
      </c>
      <c r="G723" s="11">
        <v>0.0</v>
      </c>
      <c r="H723" s="11">
        <v>20.0</v>
      </c>
      <c r="I723" s="11">
        <v>20.0</v>
      </c>
      <c r="J723" s="11">
        <v>15.0</v>
      </c>
      <c r="K723" s="11">
        <f t="shared" si="1"/>
        <v>55</v>
      </c>
      <c r="L723" s="11">
        <f t="shared" si="2"/>
        <v>13.75</v>
      </c>
    </row>
    <row r="724" ht="15.75" customHeight="1">
      <c r="A724" s="10" t="s">
        <v>1550</v>
      </c>
      <c r="B724" s="10" t="s">
        <v>1551</v>
      </c>
      <c r="C724" s="11">
        <v>0.0</v>
      </c>
      <c r="D724" s="11">
        <v>0.0</v>
      </c>
      <c r="E724" s="11">
        <v>0.0</v>
      </c>
      <c r="F724" s="11">
        <v>0.0</v>
      </c>
      <c r="G724" s="11">
        <v>0.0</v>
      </c>
      <c r="H724" s="11">
        <v>50.0</v>
      </c>
      <c r="I724" s="11">
        <v>40.0</v>
      </c>
      <c r="J724" s="11">
        <v>30.0</v>
      </c>
      <c r="K724" s="11">
        <f t="shared" si="1"/>
        <v>120</v>
      </c>
      <c r="L724" s="11">
        <f t="shared" si="2"/>
        <v>30</v>
      </c>
    </row>
    <row r="725" ht="15.75" customHeight="1">
      <c r="A725" s="10" t="s">
        <v>1552</v>
      </c>
      <c r="B725" s="10" t="s">
        <v>1553</v>
      </c>
      <c r="C725" s="11">
        <v>0.0</v>
      </c>
      <c r="D725" s="11">
        <v>0.0</v>
      </c>
      <c r="E725" s="11">
        <v>0.0</v>
      </c>
      <c r="F725" s="11">
        <v>0.0</v>
      </c>
      <c r="G725" s="11">
        <v>0.0</v>
      </c>
      <c r="H725" s="11">
        <v>220.0</v>
      </c>
      <c r="I725" s="11">
        <v>30.0</v>
      </c>
      <c r="J725" s="11">
        <v>10.0</v>
      </c>
      <c r="K725" s="11">
        <f t="shared" si="1"/>
        <v>260</v>
      </c>
      <c r="L725" s="11">
        <f t="shared" si="2"/>
        <v>65</v>
      </c>
    </row>
    <row r="726" ht="15.75" customHeight="1">
      <c r="A726" s="10" t="s">
        <v>1554</v>
      </c>
      <c r="B726" s="10" t="s">
        <v>1555</v>
      </c>
      <c r="C726" s="11">
        <v>0.0</v>
      </c>
      <c r="D726" s="11">
        <v>0.0</v>
      </c>
      <c r="E726" s="11">
        <v>0.0</v>
      </c>
      <c r="F726" s="11">
        <v>0.0</v>
      </c>
      <c r="G726" s="11">
        <v>0.0</v>
      </c>
      <c r="H726" s="11">
        <v>150.0</v>
      </c>
      <c r="I726" s="11">
        <v>90.0</v>
      </c>
      <c r="J726" s="11">
        <v>30.0</v>
      </c>
      <c r="K726" s="11">
        <f t="shared" si="1"/>
        <v>270</v>
      </c>
      <c r="L726" s="11">
        <f t="shared" si="2"/>
        <v>67.5</v>
      </c>
    </row>
    <row r="727" ht="15.75" customHeight="1">
      <c r="A727" s="10" t="s">
        <v>1556</v>
      </c>
      <c r="B727" s="10" t="s">
        <v>1557</v>
      </c>
      <c r="C727" s="11">
        <v>0.0</v>
      </c>
      <c r="D727" s="11">
        <v>0.0</v>
      </c>
      <c r="E727" s="11">
        <v>0.0</v>
      </c>
      <c r="F727" s="11">
        <v>0.0</v>
      </c>
      <c r="G727" s="11">
        <v>0.0</v>
      </c>
      <c r="H727" s="11">
        <v>250.0</v>
      </c>
      <c r="I727" s="11">
        <v>0.0</v>
      </c>
      <c r="J727" s="11">
        <v>10.0</v>
      </c>
      <c r="K727" s="11">
        <f t="shared" si="1"/>
        <v>260</v>
      </c>
      <c r="L727" s="11">
        <f t="shared" si="2"/>
        <v>65</v>
      </c>
    </row>
    <row r="728" ht="15.75" customHeight="1">
      <c r="A728" s="10" t="s">
        <v>1558</v>
      </c>
      <c r="B728" s="10" t="s">
        <v>1559</v>
      </c>
      <c r="C728" s="11">
        <v>0.0</v>
      </c>
      <c r="D728" s="11">
        <v>0.0</v>
      </c>
      <c r="E728" s="11">
        <v>0.0</v>
      </c>
      <c r="F728" s="11">
        <v>0.0</v>
      </c>
      <c r="G728" s="11">
        <v>0.0</v>
      </c>
      <c r="H728" s="11">
        <v>0.0</v>
      </c>
      <c r="I728" s="11">
        <v>0.0</v>
      </c>
      <c r="J728" s="11">
        <v>0.0</v>
      </c>
      <c r="K728" s="11">
        <f t="shared" si="1"/>
        <v>0</v>
      </c>
      <c r="L728" s="11">
        <f t="shared" si="2"/>
        <v>0</v>
      </c>
    </row>
    <row r="729" ht="15.75" customHeight="1">
      <c r="A729" s="10" t="s">
        <v>1560</v>
      </c>
      <c r="B729" s="10" t="s">
        <v>1561</v>
      </c>
      <c r="C729" s="11">
        <v>0.0</v>
      </c>
      <c r="D729" s="11">
        <v>0.0</v>
      </c>
      <c r="E729" s="11">
        <v>0.0</v>
      </c>
      <c r="F729" s="11">
        <v>0.0</v>
      </c>
      <c r="G729" s="11">
        <v>0.0</v>
      </c>
      <c r="H729" s="11">
        <v>0.0</v>
      </c>
      <c r="I729" s="11">
        <v>0.0</v>
      </c>
      <c r="J729" s="11">
        <v>0.0</v>
      </c>
      <c r="K729" s="11">
        <f t="shared" si="1"/>
        <v>0</v>
      </c>
      <c r="L729" s="11">
        <f t="shared" si="2"/>
        <v>0</v>
      </c>
    </row>
    <row r="730" ht="15.75" customHeight="1">
      <c r="A730" s="10" t="s">
        <v>1562</v>
      </c>
      <c r="B730" s="10" t="s">
        <v>1563</v>
      </c>
      <c r="C730" s="11">
        <v>0.0</v>
      </c>
      <c r="D730" s="11">
        <v>0.0</v>
      </c>
      <c r="E730" s="11">
        <v>0.0</v>
      </c>
      <c r="F730" s="11">
        <v>0.0</v>
      </c>
      <c r="G730" s="11">
        <v>0.0</v>
      </c>
      <c r="H730" s="11">
        <v>10.0</v>
      </c>
      <c r="I730" s="11">
        <v>0.0</v>
      </c>
      <c r="J730" s="11">
        <v>10.0</v>
      </c>
      <c r="K730" s="11">
        <f t="shared" si="1"/>
        <v>20</v>
      </c>
      <c r="L730" s="11">
        <f t="shared" si="2"/>
        <v>5</v>
      </c>
    </row>
    <row r="731" ht="15.75" customHeight="1">
      <c r="A731" s="10" t="s">
        <v>1564</v>
      </c>
      <c r="B731" s="10" t="s">
        <v>1565</v>
      </c>
      <c r="C731" s="11">
        <v>0.0</v>
      </c>
      <c r="D731" s="11">
        <v>0.0</v>
      </c>
      <c r="E731" s="11">
        <v>0.0</v>
      </c>
      <c r="F731" s="11">
        <v>0.0</v>
      </c>
      <c r="G731" s="11">
        <v>0.0</v>
      </c>
      <c r="H731" s="11">
        <v>60.0</v>
      </c>
      <c r="I731" s="11">
        <v>30.0</v>
      </c>
      <c r="J731" s="11">
        <v>30.0</v>
      </c>
      <c r="K731" s="11">
        <f t="shared" si="1"/>
        <v>120</v>
      </c>
      <c r="L731" s="11">
        <f t="shared" si="2"/>
        <v>30</v>
      </c>
    </row>
    <row r="732" ht="15.75" customHeight="1">
      <c r="A732" s="10" t="s">
        <v>1566</v>
      </c>
      <c r="B732" s="10" t="s">
        <v>1567</v>
      </c>
      <c r="C732" s="11">
        <v>0.0</v>
      </c>
      <c r="D732" s="11">
        <v>0.0</v>
      </c>
      <c r="E732" s="11">
        <v>0.0</v>
      </c>
      <c r="F732" s="11">
        <v>0.0</v>
      </c>
      <c r="G732" s="11">
        <v>0.0</v>
      </c>
      <c r="H732" s="11">
        <v>10.0</v>
      </c>
      <c r="I732" s="11">
        <v>10.0</v>
      </c>
      <c r="J732" s="11">
        <v>20.0</v>
      </c>
      <c r="K732" s="11">
        <f t="shared" si="1"/>
        <v>40</v>
      </c>
      <c r="L732" s="11">
        <f t="shared" si="2"/>
        <v>10</v>
      </c>
    </row>
    <row r="733" ht="15.75" customHeight="1">
      <c r="A733" s="10" t="s">
        <v>1568</v>
      </c>
      <c r="B733" s="10" t="s">
        <v>1569</v>
      </c>
      <c r="C733" s="11">
        <v>0.0</v>
      </c>
      <c r="D733" s="11">
        <v>0.0</v>
      </c>
      <c r="E733" s="11">
        <v>0.0</v>
      </c>
      <c r="F733" s="11">
        <v>0.0</v>
      </c>
      <c r="G733" s="11">
        <v>0.0</v>
      </c>
      <c r="H733" s="11">
        <v>100.0</v>
      </c>
      <c r="I733" s="11">
        <v>30.0</v>
      </c>
      <c r="J733" s="11">
        <v>40.0</v>
      </c>
      <c r="K733" s="11">
        <f t="shared" si="1"/>
        <v>170</v>
      </c>
      <c r="L733" s="11">
        <f t="shared" si="2"/>
        <v>42.5</v>
      </c>
    </row>
    <row r="734" ht="15.75" customHeight="1">
      <c r="A734" s="10" t="s">
        <v>1570</v>
      </c>
      <c r="B734" s="10" t="s">
        <v>1571</v>
      </c>
      <c r="C734" s="11">
        <v>0.0</v>
      </c>
      <c r="D734" s="11">
        <v>0.0</v>
      </c>
      <c r="E734" s="11">
        <v>0.0</v>
      </c>
      <c r="F734" s="11">
        <v>0.0</v>
      </c>
      <c r="G734" s="11">
        <v>0.0</v>
      </c>
      <c r="H734" s="11">
        <v>0.0</v>
      </c>
      <c r="I734" s="11">
        <v>0.0</v>
      </c>
      <c r="J734" s="11">
        <v>0.0</v>
      </c>
      <c r="K734" s="11">
        <f t="shared" si="1"/>
        <v>0</v>
      </c>
      <c r="L734" s="11">
        <f t="shared" si="2"/>
        <v>0</v>
      </c>
    </row>
    <row r="735" ht="15.75" customHeight="1">
      <c r="A735" s="10" t="s">
        <v>1572</v>
      </c>
      <c r="B735" s="10" t="s">
        <v>1573</v>
      </c>
      <c r="C735" s="11">
        <v>0.0</v>
      </c>
      <c r="D735" s="11">
        <v>0.0</v>
      </c>
      <c r="E735" s="11">
        <v>0.0</v>
      </c>
      <c r="F735" s="11">
        <v>0.0</v>
      </c>
      <c r="G735" s="11">
        <v>0.0</v>
      </c>
      <c r="H735" s="11">
        <v>0.0</v>
      </c>
      <c r="I735" s="11">
        <v>0.0</v>
      </c>
      <c r="J735" s="11">
        <v>0.0</v>
      </c>
      <c r="K735" s="11">
        <f t="shared" si="1"/>
        <v>0</v>
      </c>
      <c r="L735" s="11">
        <f t="shared" si="2"/>
        <v>0</v>
      </c>
    </row>
    <row r="736" ht="15.75" customHeight="1">
      <c r="A736" s="10" t="s">
        <v>1574</v>
      </c>
      <c r="B736" s="10" t="s">
        <v>1575</v>
      </c>
      <c r="C736" s="11">
        <v>0.0</v>
      </c>
      <c r="D736" s="11">
        <v>0.0</v>
      </c>
      <c r="E736" s="11">
        <v>0.0</v>
      </c>
      <c r="F736" s="11">
        <v>0.0</v>
      </c>
      <c r="G736" s="11">
        <v>0.0</v>
      </c>
      <c r="H736" s="11">
        <v>0.0</v>
      </c>
      <c r="I736" s="11">
        <v>0.0</v>
      </c>
      <c r="J736" s="11">
        <v>0.0</v>
      </c>
      <c r="K736" s="11">
        <f t="shared" si="1"/>
        <v>0</v>
      </c>
      <c r="L736" s="11">
        <f t="shared" si="2"/>
        <v>0</v>
      </c>
    </row>
    <row r="737" ht="15.75" customHeight="1">
      <c r="A737" s="10" t="s">
        <v>1576</v>
      </c>
      <c r="B737" s="10" t="s">
        <v>1577</v>
      </c>
      <c r="C737" s="11">
        <v>0.0</v>
      </c>
      <c r="D737" s="11">
        <v>0.0</v>
      </c>
      <c r="E737" s="11">
        <v>0.0</v>
      </c>
      <c r="F737" s="11">
        <v>0.0</v>
      </c>
      <c r="G737" s="11">
        <v>0.0</v>
      </c>
      <c r="H737" s="11">
        <v>0.0</v>
      </c>
      <c r="I737" s="11">
        <v>0.0</v>
      </c>
      <c r="J737" s="11">
        <v>0.0</v>
      </c>
      <c r="K737" s="11">
        <f t="shared" si="1"/>
        <v>0</v>
      </c>
      <c r="L737" s="11">
        <f t="shared" si="2"/>
        <v>0</v>
      </c>
    </row>
    <row r="738" ht="15.75" customHeight="1">
      <c r="A738" s="10" t="s">
        <v>1578</v>
      </c>
      <c r="B738" s="10" t="s">
        <v>1579</v>
      </c>
      <c r="C738" s="11">
        <v>0.0</v>
      </c>
      <c r="D738" s="11">
        <v>0.0</v>
      </c>
      <c r="E738" s="11">
        <v>0.0</v>
      </c>
      <c r="F738" s="11">
        <v>0.0</v>
      </c>
      <c r="G738" s="11">
        <v>0.0</v>
      </c>
      <c r="H738" s="11">
        <v>0.0</v>
      </c>
      <c r="I738" s="11">
        <v>0.0</v>
      </c>
      <c r="J738" s="11">
        <v>0.0</v>
      </c>
      <c r="K738" s="11">
        <f t="shared" si="1"/>
        <v>0</v>
      </c>
      <c r="L738" s="11">
        <f t="shared" si="2"/>
        <v>0</v>
      </c>
    </row>
    <row r="739" ht="15.75" customHeight="1">
      <c r="A739" s="10" t="s">
        <v>1580</v>
      </c>
      <c r="B739" s="10" t="s">
        <v>1581</v>
      </c>
      <c r="C739" s="11">
        <v>0.0</v>
      </c>
      <c r="D739" s="11">
        <v>0.0</v>
      </c>
      <c r="E739" s="11">
        <v>0.0</v>
      </c>
      <c r="F739" s="11">
        <v>0.0</v>
      </c>
      <c r="G739" s="11">
        <v>0.0</v>
      </c>
      <c r="H739" s="11">
        <v>50.0</v>
      </c>
      <c r="I739" s="11">
        <v>40.0</v>
      </c>
      <c r="J739" s="11">
        <v>0.0</v>
      </c>
      <c r="K739" s="11">
        <f t="shared" si="1"/>
        <v>90</v>
      </c>
      <c r="L739" s="11">
        <f t="shared" si="2"/>
        <v>22.5</v>
      </c>
    </row>
    <row r="740" ht="15.75" customHeight="1">
      <c r="A740" s="10" t="s">
        <v>1582</v>
      </c>
      <c r="B740" s="10" t="s">
        <v>1583</v>
      </c>
      <c r="C740" s="11">
        <v>0.0</v>
      </c>
      <c r="D740" s="11">
        <v>0.0</v>
      </c>
      <c r="E740" s="11">
        <v>0.0</v>
      </c>
      <c r="F740" s="11">
        <v>0.0</v>
      </c>
      <c r="G740" s="11">
        <v>0.0</v>
      </c>
      <c r="H740" s="11">
        <v>200.0</v>
      </c>
      <c r="I740" s="11">
        <v>50.0</v>
      </c>
      <c r="J740" s="11">
        <v>0.0</v>
      </c>
      <c r="K740" s="11">
        <f t="shared" si="1"/>
        <v>250</v>
      </c>
      <c r="L740" s="11">
        <f t="shared" si="2"/>
        <v>62.5</v>
      </c>
    </row>
    <row r="741" ht="15.75" customHeight="1">
      <c r="A741" s="10" t="s">
        <v>1584</v>
      </c>
      <c r="B741" s="10" t="s">
        <v>1585</v>
      </c>
      <c r="C741" s="11">
        <v>0.0</v>
      </c>
      <c r="D741" s="11">
        <v>0.0</v>
      </c>
      <c r="E741" s="11">
        <v>0.0</v>
      </c>
      <c r="F741" s="11">
        <v>0.0</v>
      </c>
      <c r="G741" s="11">
        <v>0.0</v>
      </c>
      <c r="H741" s="11">
        <v>0.0</v>
      </c>
      <c r="I741" s="11">
        <v>50.0</v>
      </c>
      <c r="J741" s="11">
        <v>10.0</v>
      </c>
      <c r="K741" s="11">
        <f t="shared" si="1"/>
        <v>60</v>
      </c>
      <c r="L741" s="11">
        <f t="shared" si="2"/>
        <v>15</v>
      </c>
    </row>
    <row r="742" ht="15.75" customHeight="1">
      <c r="A742" s="10" t="s">
        <v>1586</v>
      </c>
      <c r="B742" s="10" t="s">
        <v>1587</v>
      </c>
      <c r="C742" s="11">
        <v>0.0</v>
      </c>
      <c r="D742" s="11">
        <v>0.0</v>
      </c>
      <c r="E742" s="11">
        <v>0.0</v>
      </c>
      <c r="F742" s="11">
        <v>0.0</v>
      </c>
      <c r="G742" s="11">
        <v>0.0</v>
      </c>
      <c r="H742" s="11">
        <v>170.0</v>
      </c>
      <c r="I742" s="11">
        <v>30.0</v>
      </c>
      <c r="J742" s="11">
        <v>0.0</v>
      </c>
      <c r="K742" s="11">
        <f t="shared" si="1"/>
        <v>200</v>
      </c>
      <c r="L742" s="11">
        <f t="shared" si="2"/>
        <v>50</v>
      </c>
    </row>
    <row r="743" ht="15.75" customHeight="1">
      <c r="A743" s="10" t="s">
        <v>1588</v>
      </c>
      <c r="B743" s="10" t="s">
        <v>1589</v>
      </c>
      <c r="C743" s="11">
        <v>0.0</v>
      </c>
      <c r="D743" s="11">
        <v>0.0</v>
      </c>
      <c r="E743" s="11">
        <v>0.0</v>
      </c>
      <c r="F743" s="11">
        <v>0.0</v>
      </c>
      <c r="G743" s="11">
        <v>0.0</v>
      </c>
      <c r="H743" s="11">
        <v>160.0</v>
      </c>
      <c r="I743" s="11">
        <v>40.0</v>
      </c>
      <c r="J743" s="11">
        <v>0.0</v>
      </c>
      <c r="K743" s="11">
        <f t="shared" si="1"/>
        <v>200</v>
      </c>
      <c r="L743" s="11">
        <f t="shared" si="2"/>
        <v>50</v>
      </c>
    </row>
    <row r="744" ht="15.75" customHeight="1">
      <c r="A744" s="10" t="s">
        <v>1590</v>
      </c>
      <c r="B744" s="10" t="s">
        <v>1591</v>
      </c>
      <c r="C744" s="11">
        <v>0.0</v>
      </c>
      <c r="D744" s="11">
        <v>0.0</v>
      </c>
      <c r="E744" s="11">
        <v>0.0</v>
      </c>
      <c r="F744" s="11">
        <v>0.0</v>
      </c>
      <c r="G744" s="11">
        <v>0.0</v>
      </c>
      <c r="H744" s="11">
        <v>200.0</v>
      </c>
      <c r="I744" s="11">
        <v>40.0</v>
      </c>
      <c r="J744" s="11">
        <v>0.0</v>
      </c>
      <c r="K744" s="11">
        <f t="shared" si="1"/>
        <v>240</v>
      </c>
      <c r="L744" s="11">
        <f t="shared" si="2"/>
        <v>60</v>
      </c>
    </row>
    <row r="745" ht="15.75" customHeight="1">
      <c r="A745" s="10" t="s">
        <v>1592</v>
      </c>
      <c r="B745" s="10" t="s">
        <v>1593</v>
      </c>
      <c r="C745" s="11">
        <v>0.0</v>
      </c>
      <c r="D745" s="11">
        <v>0.0</v>
      </c>
      <c r="E745" s="11">
        <v>0.0</v>
      </c>
      <c r="F745" s="11">
        <v>0.0</v>
      </c>
      <c r="G745" s="11">
        <v>0.0</v>
      </c>
      <c r="H745" s="11">
        <v>40.0</v>
      </c>
      <c r="I745" s="11">
        <v>30.0</v>
      </c>
      <c r="J745" s="11">
        <v>0.0</v>
      </c>
      <c r="K745" s="11">
        <f t="shared" si="1"/>
        <v>70</v>
      </c>
      <c r="L745" s="11">
        <f t="shared" si="2"/>
        <v>17.5</v>
      </c>
    </row>
    <row r="746" ht="15.75" customHeight="1">
      <c r="A746" s="10" t="s">
        <v>1594</v>
      </c>
      <c r="B746" s="10" t="s">
        <v>1595</v>
      </c>
      <c r="C746" s="11">
        <v>0.0</v>
      </c>
      <c r="D746" s="11">
        <v>0.0</v>
      </c>
      <c r="E746" s="11">
        <v>0.0</v>
      </c>
      <c r="F746" s="11">
        <v>0.0</v>
      </c>
      <c r="G746" s="11">
        <v>0.0</v>
      </c>
      <c r="H746" s="11">
        <v>180.0</v>
      </c>
      <c r="I746" s="11">
        <v>40.0</v>
      </c>
      <c r="J746" s="11">
        <v>0.0</v>
      </c>
      <c r="K746" s="11">
        <f t="shared" si="1"/>
        <v>220</v>
      </c>
      <c r="L746" s="11">
        <f t="shared" si="2"/>
        <v>55</v>
      </c>
    </row>
    <row r="747" ht="15.75" customHeight="1">
      <c r="A747" s="10" t="s">
        <v>1596</v>
      </c>
      <c r="B747" s="10" t="s">
        <v>1597</v>
      </c>
      <c r="C747" s="11">
        <v>0.0</v>
      </c>
      <c r="D747" s="11">
        <v>0.0</v>
      </c>
      <c r="E747" s="11">
        <v>0.0</v>
      </c>
      <c r="F747" s="11">
        <v>0.0</v>
      </c>
      <c r="G747" s="11">
        <v>0.0</v>
      </c>
      <c r="H747" s="11">
        <v>0.0</v>
      </c>
      <c r="I747" s="11">
        <v>0.0</v>
      </c>
      <c r="J747" s="11">
        <v>0.0</v>
      </c>
      <c r="K747" s="11">
        <f t="shared" si="1"/>
        <v>0</v>
      </c>
      <c r="L747" s="11">
        <f t="shared" si="2"/>
        <v>0</v>
      </c>
    </row>
    <row r="748" ht="15.75" customHeight="1">
      <c r="A748" s="10" t="s">
        <v>1598</v>
      </c>
      <c r="B748" s="10" t="s">
        <v>1599</v>
      </c>
      <c r="C748" s="11">
        <v>0.0</v>
      </c>
      <c r="D748" s="11">
        <v>0.0</v>
      </c>
      <c r="E748" s="11">
        <v>0.0</v>
      </c>
      <c r="F748" s="11">
        <v>0.0</v>
      </c>
      <c r="G748" s="11">
        <v>0.0</v>
      </c>
      <c r="H748" s="11">
        <v>0.0</v>
      </c>
      <c r="I748" s="11">
        <v>0.0</v>
      </c>
      <c r="J748" s="11">
        <v>0.0</v>
      </c>
      <c r="K748" s="11">
        <f t="shared" si="1"/>
        <v>0</v>
      </c>
      <c r="L748" s="11">
        <f t="shared" si="2"/>
        <v>0</v>
      </c>
    </row>
    <row r="749" ht="15.75" customHeight="1">
      <c r="A749" s="10" t="s">
        <v>1600</v>
      </c>
      <c r="B749" s="10" t="s">
        <v>1601</v>
      </c>
      <c r="C749" s="11">
        <v>0.0</v>
      </c>
      <c r="D749" s="11">
        <v>0.0</v>
      </c>
      <c r="E749" s="11">
        <v>0.0</v>
      </c>
      <c r="F749" s="11">
        <v>0.0</v>
      </c>
      <c r="G749" s="11">
        <v>0.0</v>
      </c>
      <c r="H749" s="11">
        <v>0.0</v>
      </c>
      <c r="I749" s="11">
        <v>0.0</v>
      </c>
      <c r="J749" s="11">
        <v>0.0</v>
      </c>
      <c r="K749" s="11">
        <f t="shared" si="1"/>
        <v>0</v>
      </c>
      <c r="L749" s="11">
        <f t="shared" si="2"/>
        <v>0</v>
      </c>
    </row>
    <row r="750" ht="15.75" customHeight="1">
      <c r="A750" s="10" t="s">
        <v>1602</v>
      </c>
      <c r="B750" s="10" t="s">
        <v>1603</v>
      </c>
      <c r="C750" s="11">
        <v>0.0</v>
      </c>
      <c r="D750" s="11">
        <v>0.0</v>
      </c>
      <c r="E750" s="11">
        <v>0.0</v>
      </c>
      <c r="F750" s="11">
        <v>0.0</v>
      </c>
      <c r="G750" s="11">
        <v>0.0</v>
      </c>
      <c r="H750" s="11">
        <v>40.0</v>
      </c>
      <c r="I750" s="11">
        <v>10.0</v>
      </c>
      <c r="J750" s="11">
        <v>0.0</v>
      </c>
      <c r="K750" s="11">
        <f t="shared" si="1"/>
        <v>50</v>
      </c>
      <c r="L750" s="11">
        <f t="shared" si="2"/>
        <v>12.5</v>
      </c>
    </row>
    <row r="751" ht="15.75" customHeight="1">
      <c r="A751" s="10" t="s">
        <v>1604</v>
      </c>
      <c r="B751" s="10" t="s">
        <v>1605</v>
      </c>
      <c r="C751" s="11">
        <v>0.0</v>
      </c>
      <c r="D751" s="11">
        <v>0.0</v>
      </c>
      <c r="E751" s="11">
        <v>0.0</v>
      </c>
      <c r="F751" s="11">
        <v>0.0</v>
      </c>
      <c r="G751" s="11">
        <v>0.0</v>
      </c>
      <c r="H751" s="11">
        <v>60.0</v>
      </c>
      <c r="I751" s="11">
        <v>20.0</v>
      </c>
      <c r="J751" s="11">
        <v>30.0</v>
      </c>
      <c r="K751" s="11">
        <f t="shared" si="1"/>
        <v>110</v>
      </c>
      <c r="L751" s="11">
        <f t="shared" si="2"/>
        <v>27.5</v>
      </c>
    </row>
    <row r="752" ht="15.75" customHeight="1">
      <c r="A752" s="10" t="s">
        <v>1606</v>
      </c>
      <c r="B752" s="10" t="s">
        <v>1607</v>
      </c>
      <c r="C752" s="11">
        <v>0.0</v>
      </c>
      <c r="D752" s="11">
        <v>0.0</v>
      </c>
      <c r="E752" s="11">
        <v>0.0</v>
      </c>
      <c r="F752" s="11">
        <v>0.0</v>
      </c>
      <c r="G752" s="11">
        <v>0.0</v>
      </c>
      <c r="H752" s="11">
        <v>10.0</v>
      </c>
      <c r="I752" s="11">
        <v>0.0</v>
      </c>
      <c r="J752" s="11">
        <v>0.0</v>
      </c>
      <c r="K752" s="11">
        <f t="shared" si="1"/>
        <v>10</v>
      </c>
      <c r="L752" s="11">
        <f t="shared" si="2"/>
        <v>2.5</v>
      </c>
    </row>
    <row r="753" ht="15.75" customHeight="1">
      <c r="A753" s="10" t="s">
        <v>1608</v>
      </c>
      <c r="B753" s="10" t="s">
        <v>1609</v>
      </c>
      <c r="C753" s="11">
        <v>0.0</v>
      </c>
      <c r="D753" s="11">
        <v>0.0</v>
      </c>
      <c r="E753" s="11">
        <v>0.0</v>
      </c>
      <c r="F753" s="11">
        <v>0.0</v>
      </c>
      <c r="G753" s="11">
        <v>0.0</v>
      </c>
      <c r="H753" s="11">
        <v>40.0</v>
      </c>
      <c r="I753" s="11">
        <v>40.0</v>
      </c>
      <c r="J753" s="11">
        <v>40.0</v>
      </c>
      <c r="K753" s="11">
        <f t="shared" si="1"/>
        <v>120</v>
      </c>
      <c r="L753" s="11">
        <f t="shared" si="2"/>
        <v>30</v>
      </c>
    </row>
    <row r="754" ht="15.75" customHeight="1">
      <c r="A754" s="10" t="s">
        <v>1610</v>
      </c>
      <c r="B754" s="10" t="s">
        <v>1611</v>
      </c>
      <c r="C754" s="11">
        <v>0.0</v>
      </c>
      <c r="D754" s="11">
        <v>0.0</v>
      </c>
      <c r="E754" s="11">
        <v>0.0</v>
      </c>
      <c r="F754" s="11">
        <v>0.0</v>
      </c>
      <c r="G754" s="11">
        <v>0.0</v>
      </c>
      <c r="H754" s="11">
        <v>0.0</v>
      </c>
      <c r="I754" s="11">
        <v>0.0</v>
      </c>
      <c r="J754" s="11">
        <v>0.0</v>
      </c>
      <c r="K754" s="11">
        <f t="shared" si="1"/>
        <v>0</v>
      </c>
      <c r="L754" s="11">
        <f t="shared" si="2"/>
        <v>0</v>
      </c>
    </row>
    <row r="755" ht="15.75" customHeight="1">
      <c r="A755" s="10" t="s">
        <v>1612</v>
      </c>
      <c r="B755" s="10" t="s">
        <v>1613</v>
      </c>
      <c r="C755" s="11">
        <v>0.0</v>
      </c>
      <c r="D755" s="11">
        <v>0.0</v>
      </c>
      <c r="E755" s="11">
        <v>0.0</v>
      </c>
      <c r="F755" s="11">
        <v>0.0</v>
      </c>
      <c r="G755" s="11">
        <v>0.0</v>
      </c>
      <c r="H755" s="11">
        <v>0.0</v>
      </c>
      <c r="I755" s="11">
        <v>0.0</v>
      </c>
      <c r="J755" s="11">
        <v>0.0</v>
      </c>
      <c r="K755" s="11">
        <f t="shared" si="1"/>
        <v>0</v>
      </c>
      <c r="L755" s="11">
        <f t="shared" si="2"/>
        <v>0</v>
      </c>
    </row>
    <row r="756" ht="15.75" customHeight="1">
      <c r="A756" s="10" t="s">
        <v>1614</v>
      </c>
      <c r="B756" s="10" t="s">
        <v>1615</v>
      </c>
      <c r="C756" s="11">
        <v>0.0</v>
      </c>
      <c r="D756" s="11">
        <v>0.0</v>
      </c>
      <c r="E756" s="11">
        <v>0.0</v>
      </c>
      <c r="F756" s="11">
        <v>0.0</v>
      </c>
      <c r="G756" s="11">
        <v>0.0</v>
      </c>
      <c r="H756" s="11">
        <v>0.0</v>
      </c>
      <c r="I756" s="11">
        <v>0.0</v>
      </c>
      <c r="J756" s="11">
        <v>0.0</v>
      </c>
      <c r="K756" s="11">
        <f t="shared" si="1"/>
        <v>0</v>
      </c>
      <c r="L756" s="11">
        <f t="shared" si="2"/>
        <v>0</v>
      </c>
    </row>
    <row r="757" ht="15.75" customHeight="1">
      <c r="A757" s="10" t="s">
        <v>1616</v>
      </c>
      <c r="B757" s="10" t="s">
        <v>1617</v>
      </c>
      <c r="C757" s="11">
        <v>0.0</v>
      </c>
      <c r="D757" s="11">
        <v>0.0</v>
      </c>
      <c r="E757" s="11">
        <v>0.0</v>
      </c>
      <c r="F757" s="11">
        <v>0.0</v>
      </c>
      <c r="G757" s="11">
        <v>0.0</v>
      </c>
      <c r="H757" s="11">
        <v>30.0</v>
      </c>
      <c r="I757" s="11">
        <v>0.0</v>
      </c>
      <c r="J757" s="11">
        <v>0.0</v>
      </c>
      <c r="K757" s="11">
        <f t="shared" si="1"/>
        <v>30</v>
      </c>
      <c r="L757" s="11">
        <f t="shared" si="2"/>
        <v>7.5</v>
      </c>
    </row>
    <row r="758" ht="15.75" customHeight="1">
      <c r="A758" s="10" t="s">
        <v>1618</v>
      </c>
      <c r="B758" s="10" t="s">
        <v>1619</v>
      </c>
      <c r="C758" s="11">
        <v>0.0</v>
      </c>
      <c r="D758" s="11">
        <v>0.0</v>
      </c>
      <c r="E758" s="11">
        <v>0.0</v>
      </c>
      <c r="F758" s="11">
        <v>0.0</v>
      </c>
      <c r="G758" s="11">
        <v>0.0</v>
      </c>
      <c r="H758" s="11">
        <v>0.0</v>
      </c>
      <c r="I758" s="11">
        <v>0.0</v>
      </c>
      <c r="J758" s="11">
        <v>0.0</v>
      </c>
      <c r="K758" s="11">
        <f t="shared" si="1"/>
        <v>0</v>
      </c>
      <c r="L758" s="11">
        <f t="shared" si="2"/>
        <v>0</v>
      </c>
    </row>
    <row r="759" ht="15.75" customHeight="1">
      <c r="A759" s="10" t="s">
        <v>1620</v>
      </c>
      <c r="B759" s="10" t="s">
        <v>1621</v>
      </c>
      <c r="C759" s="11">
        <v>0.0</v>
      </c>
      <c r="D759" s="11">
        <v>0.0</v>
      </c>
      <c r="E759" s="11">
        <v>0.0</v>
      </c>
      <c r="F759" s="11">
        <v>0.0</v>
      </c>
      <c r="G759" s="11">
        <v>0.0</v>
      </c>
      <c r="H759" s="11">
        <v>20.0</v>
      </c>
      <c r="I759" s="11">
        <v>0.0</v>
      </c>
      <c r="J759" s="11">
        <v>0.0</v>
      </c>
      <c r="K759" s="11">
        <f t="shared" si="1"/>
        <v>20</v>
      </c>
      <c r="L759" s="11">
        <f t="shared" si="2"/>
        <v>5</v>
      </c>
    </row>
    <row r="760" ht="15.75" customHeight="1">
      <c r="A760" s="10" t="s">
        <v>1622</v>
      </c>
      <c r="B760" s="10" t="s">
        <v>1623</v>
      </c>
      <c r="C760" s="11">
        <v>0.0</v>
      </c>
      <c r="D760" s="11">
        <v>0.0</v>
      </c>
      <c r="E760" s="11">
        <v>0.0</v>
      </c>
      <c r="F760" s="11">
        <v>0.0</v>
      </c>
      <c r="G760" s="11">
        <v>0.0</v>
      </c>
      <c r="H760" s="11">
        <v>0.0</v>
      </c>
      <c r="I760" s="11">
        <v>0.0</v>
      </c>
      <c r="J760" s="11">
        <v>0.0</v>
      </c>
      <c r="K760" s="11">
        <f t="shared" si="1"/>
        <v>0</v>
      </c>
      <c r="L760" s="11">
        <f t="shared" si="2"/>
        <v>0</v>
      </c>
    </row>
    <row r="761" ht="15.75" customHeight="1">
      <c r="A761" s="10" t="s">
        <v>1624</v>
      </c>
      <c r="B761" s="10" t="s">
        <v>1625</v>
      </c>
      <c r="C761" s="11">
        <v>0.0</v>
      </c>
      <c r="D761" s="11">
        <v>0.0</v>
      </c>
      <c r="E761" s="11">
        <v>0.0</v>
      </c>
      <c r="F761" s="11">
        <v>0.0</v>
      </c>
      <c r="G761" s="11">
        <v>0.0</v>
      </c>
      <c r="H761" s="11">
        <v>30.0</v>
      </c>
      <c r="I761" s="11">
        <v>0.0</v>
      </c>
      <c r="J761" s="11">
        <v>0.0</v>
      </c>
      <c r="K761" s="11">
        <f t="shared" si="1"/>
        <v>30</v>
      </c>
      <c r="L761" s="11">
        <f t="shared" si="2"/>
        <v>7.5</v>
      </c>
    </row>
    <row r="762" ht="15.75" customHeight="1">
      <c r="A762" s="10" t="s">
        <v>1626</v>
      </c>
      <c r="B762" s="10" t="s">
        <v>1627</v>
      </c>
      <c r="C762" s="11">
        <v>0.0</v>
      </c>
      <c r="D762" s="11">
        <v>0.0</v>
      </c>
      <c r="E762" s="11">
        <v>0.0</v>
      </c>
      <c r="F762" s="11">
        <v>0.0</v>
      </c>
      <c r="G762" s="11">
        <v>0.0</v>
      </c>
      <c r="H762" s="11">
        <v>30.0</v>
      </c>
      <c r="I762" s="11">
        <v>10.0</v>
      </c>
      <c r="J762" s="11">
        <v>0.0</v>
      </c>
      <c r="K762" s="11">
        <f t="shared" si="1"/>
        <v>40</v>
      </c>
      <c r="L762" s="11">
        <f t="shared" si="2"/>
        <v>10</v>
      </c>
    </row>
    <row r="763" ht="15.75" customHeight="1">
      <c r="A763" s="10" t="s">
        <v>1628</v>
      </c>
      <c r="B763" s="10" t="s">
        <v>1629</v>
      </c>
      <c r="C763" s="11">
        <v>0.0</v>
      </c>
      <c r="D763" s="11">
        <v>0.0</v>
      </c>
      <c r="E763" s="11">
        <v>0.0</v>
      </c>
      <c r="F763" s="11">
        <v>0.0</v>
      </c>
      <c r="G763" s="11">
        <v>0.0</v>
      </c>
      <c r="H763" s="11">
        <v>10.0</v>
      </c>
      <c r="I763" s="11">
        <v>0.0</v>
      </c>
      <c r="J763" s="11">
        <v>0.0</v>
      </c>
      <c r="K763" s="11">
        <f t="shared" si="1"/>
        <v>10</v>
      </c>
      <c r="L763" s="11">
        <f t="shared" si="2"/>
        <v>2.5</v>
      </c>
    </row>
    <row r="764" ht="15.75" customHeight="1">
      <c r="A764" s="10" t="s">
        <v>1630</v>
      </c>
      <c r="B764" s="10" t="s">
        <v>1631</v>
      </c>
      <c r="C764" s="11">
        <v>0.0</v>
      </c>
      <c r="D764" s="11">
        <v>0.0</v>
      </c>
      <c r="E764" s="11">
        <v>0.0</v>
      </c>
      <c r="F764" s="11">
        <v>0.0</v>
      </c>
      <c r="G764" s="11">
        <v>0.0</v>
      </c>
      <c r="H764" s="11">
        <v>0.0</v>
      </c>
      <c r="I764" s="11">
        <v>0.0</v>
      </c>
      <c r="J764" s="11">
        <v>0.0</v>
      </c>
      <c r="K764" s="11">
        <f t="shared" si="1"/>
        <v>0</v>
      </c>
      <c r="L764" s="11">
        <f t="shared" si="2"/>
        <v>0</v>
      </c>
    </row>
    <row r="765" ht="15.75" customHeight="1">
      <c r="A765" s="10" t="s">
        <v>1632</v>
      </c>
      <c r="B765" s="10" t="s">
        <v>1633</v>
      </c>
      <c r="C765" s="11">
        <v>0.0</v>
      </c>
      <c r="D765" s="11">
        <v>0.0</v>
      </c>
      <c r="E765" s="11">
        <v>0.0</v>
      </c>
      <c r="F765" s="11">
        <v>0.0</v>
      </c>
      <c r="G765" s="11">
        <v>0.0</v>
      </c>
      <c r="H765" s="11">
        <v>40.0</v>
      </c>
      <c r="I765" s="11">
        <v>10.0</v>
      </c>
      <c r="J765" s="11">
        <v>0.0</v>
      </c>
      <c r="K765" s="11">
        <f t="shared" si="1"/>
        <v>50</v>
      </c>
      <c r="L765" s="11">
        <f t="shared" si="2"/>
        <v>12.5</v>
      </c>
    </row>
    <row r="766" ht="15.75" customHeight="1">
      <c r="A766" s="10" t="s">
        <v>1634</v>
      </c>
      <c r="B766" s="10" t="s">
        <v>1635</v>
      </c>
      <c r="C766" s="11">
        <v>0.0</v>
      </c>
      <c r="D766" s="11">
        <v>0.0</v>
      </c>
      <c r="E766" s="11">
        <v>0.0</v>
      </c>
      <c r="F766" s="11">
        <v>0.0</v>
      </c>
      <c r="G766" s="11">
        <v>0.0</v>
      </c>
      <c r="H766" s="11">
        <v>0.0</v>
      </c>
      <c r="I766" s="11">
        <v>0.0</v>
      </c>
      <c r="J766" s="11">
        <v>0.0</v>
      </c>
      <c r="K766" s="11">
        <f t="shared" si="1"/>
        <v>0</v>
      </c>
      <c r="L766" s="11">
        <f t="shared" si="2"/>
        <v>0</v>
      </c>
    </row>
    <row r="767" ht="15.75" customHeight="1">
      <c r="A767" s="10" t="s">
        <v>1636</v>
      </c>
      <c r="B767" s="10" t="s">
        <v>1637</v>
      </c>
      <c r="C767" s="11">
        <v>0.0</v>
      </c>
      <c r="D767" s="11">
        <v>0.0</v>
      </c>
      <c r="E767" s="11">
        <v>0.0</v>
      </c>
      <c r="F767" s="11">
        <v>0.0</v>
      </c>
      <c r="G767" s="11">
        <v>0.0</v>
      </c>
      <c r="H767" s="11">
        <v>0.0</v>
      </c>
      <c r="I767" s="11">
        <v>0.0</v>
      </c>
      <c r="J767" s="11">
        <v>0.0</v>
      </c>
      <c r="K767" s="11">
        <f t="shared" si="1"/>
        <v>0</v>
      </c>
      <c r="L767" s="11">
        <f t="shared" si="2"/>
        <v>0</v>
      </c>
    </row>
    <row r="768" ht="15.75" customHeight="1">
      <c r="A768" s="10" t="s">
        <v>1638</v>
      </c>
      <c r="B768" s="10" t="s">
        <v>1639</v>
      </c>
      <c r="C768" s="11">
        <v>0.0</v>
      </c>
      <c r="D768" s="11">
        <v>0.0</v>
      </c>
      <c r="E768" s="11">
        <v>0.0</v>
      </c>
      <c r="F768" s="11">
        <v>0.0</v>
      </c>
      <c r="G768" s="11">
        <v>0.0</v>
      </c>
      <c r="H768" s="11">
        <v>0.0</v>
      </c>
      <c r="I768" s="11">
        <v>0.0</v>
      </c>
      <c r="J768" s="11">
        <v>0.0</v>
      </c>
      <c r="K768" s="11">
        <f t="shared" si="1"/>
        <v>0</v>
      </c>
      <c r="L768" s="11">
        <f t="shared" si="2"/>
        <v>0</v>
      </c>
    </row>
    <row r="769" ht="15.75" customHeight="1">
      <c r="A769" s="10" t="s">
        <v>1640</v>
      </c>
      <c r="B769" s="10" t="s">
        <v>1641</v>
      </c>
      <c r="C769" s="11">
        <v>0.0</v>
      </c>
      <c r="D769" s="11">
        <v>0.0</v>
      </c>
      <c r="E769" s="11">
        <v>0.0</v>
      </c>
      <c r="F769" s="11">
        <v>0.0</v>
      </c>
      <c r="G769" s="11">
        <v>0.0</v>
      </c>
      <c r="H769" s="11">
        <v>0.0</v>
      </c>
      <c r="I769" s="11">
        <v>0.0</v>
      </c>
      <c r="J769" s="11">
        <v>0.0</v>
      </c>
      <c r="K769" s="11">
        <f t="shared" si="1"/>
        <v>0</v>
      </c>
      <c r="L769" s="11">
        <f t="shared" si="2"/>
        <v>0</v>
      </c>
    </row>
    <row r="770" ht="15.75" customHeight="1">
      <c r="A770" s="10" t="s">
        <v>1642</v>
      </c>
      <c r="B770" s="10" t="s">
        <v>1643</v>
      </c>
      <c r="C770" s="11">
        <v>0.0</v>
      </c>
      <c r="D770" s="11">
        <v>0.0</v>
      </c>
      <c r="E770" s="11">
        <v>0.0</v>
      </c>
      <c r="F770" s="11">
        <v>0.0</v>
      </c>
      <c r="G770" s="11">
        <v>0.0</v>
      </c>
      <c r="H770" s="11">
        <v>0.0</v>
      </c>
      <c r="I770" s="11">
        <v>0.0</v>
      </c>
      <c r="J770" s="11">
        <v>0.0</v>
      </c>
      <c r="K770" s="11">
        <f t="shared" si="1"/>
        <v>0</v>
      </c>
      <c r="L770" s="11">
        <f t="shared" si="2"/>
        <v>0</v>
      </c>
    </row>
    <row r="771" ht="15.75" customHeight="1">
      <c r="A771" s="10" t="s">
        <v>1644</v>
      </c>
      <c r="B771" s="10" t="s">
        <v>1645</v>
      </c>
      <c r="C771" s="11">
        <v>0.0</v>
      </c>
      <c r="D771" s="11">
        <v>0.0</v>
      </c>
      <c r="E771" s="11">
        <v>0.0</v>
      </c>
      <c r="F771" s="11">
        <v>0.0</v>
      </c>
      <c r="G771" s="11">
        <v>0.0</v>
      </c>
      <c r="H771" s="11">
        <v>500.0</v>
      </c>
      <c r="I771" s="11">
        <v>0.0</v>
      </c>
      <c r="J771" s="11">
        <v>0.0</v>
      </c>
      <c r="K771" s="11">
        <f t="shared" si="1"/>
        <v>500</v>
      </c>
      <c r="L771" s="11">
        <f t="shared" si="2"/>
        <v>125</v>
      </c>
    </row>
    <row r="772" ht="15.75" customHeight="1">
      <c r="A772" s="10" t="s">
        <v>1646</v>
      </c>
      <c r="B772" s="10" t="s">
        <v>1647</v>
      </c>
      <c r="C772" s="11">
        <v>0.0</v>
      </c>
      <c r="D772" s="11">
        <v>0.0</v>
      </c>
      <c r="E772" s="11">
        <v>0.0</v>
      </c>
      <c r="F772" s="11">
        <v>0.0</v>
      </c>
      <c r="G772" s="11">
        <v>0.0</v>
      </c>
      <c r="H772" s="11">
        <v>0.0</v>
      </c>
      <c r="I772" s="11">
        <v>0.0</v>
      </c>
      <c r="J772" s="11">
        <v>0.0</v>
      </c>
      <c r="K772" s="11">
        <f t="shared" si="1"/>
        <v>0</v>
      </c>
      <c r="L772" s="11">
        <f t="shared" si="2"/>
        <v>0</v>
      </c>
    </row>
    <row r="773" ht="15.75" customHeight="1">
      <c r="A773" s="10" t="s">
        <v>1648</v>
      </c>
      <c r="B773" s="10" t="s">
        <v>1649</v>
      </c>
      <c r="C773" s="11">
        <v>0.0</v>
      </c>
      <c r="D773" s="11">
        <v>0.0</v>
      </c>
      <c r="E773" s="11">
        <v>0.0</v>
      </c>
      <c r="F773" s="11">
        <v>0.0</v>
      </c>
      <c r="G773" s="11">
        <v>0.0</v>
      </c>
      <c r="H773" s="11">
        <v>0.0</v>
      </c>
      <c r="I773" s="11">
        <v>0.0</v>
      </c>
      <c r="J773" s="11">
        <v>0.0</v>
      </c>
      <c r="K773" s="11">
        <f t="shared" si="1"/>
        <v>0</v>
      </c>
      <c r="L773" s="11">
        <f t="shared" si="2"/>
        <v>0</v>
      </c>
    </row>
    <row r="774" ht="15.75" customHeight="1">
      <c r="A774" s="10" t="s">
        <v>1650</v>
      </c>
      <c r="B774" s="10" t="s">
        <v>1651</v>
      </c>
      <c r="C774" s="11">
        <v>0.0</v>
      </c>
      <c r="D774" s="11">
        <v>0.0</v>
      </c>
      <c r="E774" s="11">
        <v>0.0</v>
      </c>
      <c r="F774" s="11">
        <v>0.0</v>
      </c>
      <c r="G774" s="11">
        <v>350.0</v>
      </c>
      <c r="H774" s="11">
        <v>0.0</v>
      </c>
      <c r="I774" s="11">
        <v>0.0</v>
      </c>
      <c r="J774" s="11">
        <v>0.0</v>
      </c>
      <c r="K774" s="11">
        <f t="shared" si="1"/>
        <v>350</v>
      </c>
      <c r="L774" s="11">
        <f t="shared" si="2"/>
        <v>87.5</v>
      </c>
    </row>
    <row r="775" ht="15.75" customHeight="1">
      <c r="A775" s="10" t="s">
        <v>1653</v>
      </c>
      <c r="B775" s="10" t="s">
        <v>1654</v>
      </c>
      <c r="C775" s="11">
        <v>0.0</v>
      </c>
      <c r="D775" s="11">
        <v>0.0</v>
      </c>
      <c r="E775" s="11">
        <v>0.0</v>
      </c>
      <c r="F775" s="11">
        <v>0.0</v>
      </c>
      <c r="G775" s="11">
        <v>0.0</v>
      </c>
      <c r="H775" s="11">
        <v>0.0</v>
      </c>
      <c r="I775" s="11">
        <v>0.0</v>
      </c>
      <c r="J775" s="11">
        <v>0.0</v>
      </c>
      <c r="K775" s="11">
        <f t="shared" si="1"/>
        <v>0</v>
      </c>
      <c r="L775" s="11">
        <f t="shared" si="2"/>
        <v>0</v>
      </c>
    </row>
    <row r="776" ht="15.75" customHeight="1">
      <c r="A776" s="10" t="s">
        <v>1655</v>
      </c>
      <c r="B776" s="10" t="s">
        <v>1656</v>
      </c>
      <c r="C776" s="11">
        <v>0.0</v>
      </c>
      <c r="D776" s="11">
        <v>0.0</v>
      </c>
      <c r="E776" s="11">
        <v>0.0</v>
      </c>
      <c r="F776" s="11">
        <v>250.0</v>
      </c>
      <c r="G776" s="11">
        <v>0.0</v>
      </c>
      <c r="H776" s="11">
        <v>0.0</v>
      </c>
      <c r="I776" s="11">
        <v>0.0</v>
      </c>
      <c r="J776" s="11">
        <v>0.0</v>
      </c>
      <c r="K776" s="11">
        <f t="shared" si="1"/>
        <v>250</v>
      </c>
      <c r="L776" s="11">
        <f t="shared" si="2"/>
        <v>0</v>
      </c>
    </row>
    <row r="777" ht="15.75" customHeight="1">
      <c r="A777" s="10" t="s">
        <v>1657</v>
      </c>
      <c r="B777" s="10" t="s">
        <v>1658</v>
      </c>
      <c r="C777" s="11">
        <v>0.0</v>
      </c>
      <c r="D777" s="11">
        <v>0.0</v>
      </c>
      <c r="E777" s="11">
        <v>0.0</v>
      </c>
      <c r="F777" s="11">
        <v>0.0</v>
      </c>
      <c r="G777" s="11">
        <v>0.0</v>
      </c>
      <c r="H777" s="11">
        <v>0.0</v>
      </c>
      <c r="I777" s="11">
        <v>0.0</v>
      </c>
      <c r="J777" s="11">
        <v>0.0</v>
      </c>
      <c r="K777" s="11">
        <f t="shared" si="1"/>
        <v>0</v>
      </c>
      <c r="L777" s="11">
        <f t="shared" si="2"/>
        <v>0</v>
      </c>
    </row>
    <row r="778" ht="15.75" customHeight="1">
      <c r="A778" s="10" t="s">
        <v>1659</v>
      </c>
      <c r="B778" s="10" t="s">
        <v>1660</v>
      </c>
      <c r="C778" s="11">
        <v>0.0</v>
      </c>
      <c r="D778" s="11">
        <v>0.0</v>
      </c>
      <c r="E778" s="11">
        <v>0.0</v>
      </c>
      <c r="F778" s="11">
        <v>0.0</v>
      </c>
      <c r="G778" s="11">
        <v>0.0</v>
      </c>
      <c r="H778" s="11">
        <v>460.0</v>
      </c>
      <c r="I778" s="11">
        <v>0.0</v>
      </c>
      <c r="J778" s="11">
        <v>0.0</v>
      </c>
      <c r="K778" s="11">
        <f t="shared" si="1"/>
        <v>460</v>
      </c>
      <c r="L778" s="11">
        <f t="shared" si="2"/>
        <v>115</v>
      </c>
    </row>
    <row r="779" ht="15.75" customHeight="1">
      <c r="A779" s="10" t="s">
        <v>1661</v>
      </c>
      <c r="B779" s="10" t="s">
        <v>1662</v>
      </c>
      <c r="C779" s="11">
        <v>0.0</v>
      </c>
      <c r="D779" s="11">
        <v>0.0</v>
      </c>
      <c r="E779" s="11">
        <v>0.0</v>
      </c>
      <c r="F779" s="11">
        <v>720.0</v>
      </c>
      <c r="G779" s="11">
        <v>0.0</v>
      </c>
      <c r="H779" s="11">
        <v>700.0</v>
      </c>
      <c r="I779" s="11">
        <v>0.0</v>
      </c>
      <c r="J779" s="11">
        <v>0.0</v>
      </c>
      <c r="K779" s="11">
        <f t="shared" si="1"/>
        <v>1420</v>
      </c>
      <c r="L779" s="11">
        <f t="shared" si="2"/>
        <v>175</v>
      </c>
    </row>
    <row r="780" ht="15.75" customHeight="1">
      <c r="A780" s="10" t="s">
        <v>1663</v>
      </c>
      <c r="B780" s="10" t="s">
        <v>1664</v>
      </c>
      <c r="C780" s="11">
        <v>0.0</v>
      </c>
      <c r="D780" s="11">
        <v>0.0</v>
      </c>
      <c r="E780" s="11">
        <v>0.0</v>
      </c>
      <c r="F780" s="11">
        <v>0.0</v>
      </c>
      <c r="G780" s="11">
        <v>0.0</v>
      </c>
      <c r="H780" s="11">
        <v>0.0</v>
      </c>
      <c r="I780" s="11">
        <v>0.0</v>
      </c>
      <c r="J780" s="11">
        <v>0.0</v>
      </c>
      <c r="K780" s="11">
        <f t="shared" si="1"/>
        <v>0</v>
      </c>
      <c r="L780" s="11">
        <f t="shared" si="2"/>
        <v>0</v>
      </c>
    </row>
    <row r="781" ht="15.75" customHeight="1">
      <c r="A781" s="10" t="s">
        <v>1665</v>
      </c>
      <c r="B781" s="10" t="s">
        <v>1666</v>
      </c>
      <c r="C781" s="11">
        <v>0.0</v>
      </c>
      <c r="D781" s="11">
        <v>0.0</v>
      </c>
      <c r="E781" s="11">
        <v>0.0</v>
      </c>
      <c r="F781" s="11">
        <v>0.0</v>
      </c>
      <c r="G781" s="11">
        <v>0.0</v>
      </c>
      <c r="H781" s="11">
        <v>0.0</v>
      </c>
      <c r="I781" s="11">
        <v>0.0</v>
      </c>
      <c r="J781" s="11">
        <v>0.0</v>
      </c>
      <c r="K781" s="11">
        <f t="shared" si="1"/>
        <v>0</v>
      </c>
      <c r="L781" s="11">
        <f t="shared" si="2"/>
        <v>0</v>
      </c>
    </row>
    <row r="782" ht="15.75" customHeight="1">
      <c r="A782" s="10" t="s">
        <v>1667</v>
      </c>
      <c r="B782" s="10" t="s">
        <v>1668</v>
      </c>
      <c r="C782" s="11">
        <v>11000.0</v>
      </c>
      <c r="D782" s="11">
        <v>3500.0</v>
      </c>
      <c r="E782" s="11">
        <v>9000.0</v>
      </c>
      <c r="F782" s="11">
        <v>3000.0</v>
      </c>
      <c r="G782" s="11">
        <v>3500.0</v>
      </c>
      <c r="H782" s="11">
        <v>6000.0</v>
      </c>
      <c r="I782" s="11">
        <v>4000.0</v>
      </c>
      <c r="J782" s="11">
        <v>0.0</v>
      </c>
      <c r="K782" s="11">
        <f t="shared" si="1"/>
        <v>40000</v>
      </c>
      <c r="L782" s="11">
        <f t="shared" si="2"/>
        <v>3375</v>
      </c>
    </row>
    <row r="783" ht="15.75" customHeight="1">
      <c r="A783" s="10" t="s">
        <v>1670</v>
      </c>
      <c r="B783" s="10" t="s">
        <v>1671</v>
      </c>
      <c r="C783" s="11">
        <v>0.0</v>
      </c>
      <c r="D783" s="11">
        <v>0.0</v>
      </c>
      <c r="E783" s="11">
        <v>0.0</v>
      </c>
      <c r="F783" s="11">
        <v>0.0</v>
      </c>
      <c r="G783" s="11">
        <v>0.0</v>
      </c>
      <c r="H783" s="11">
        <v>0.0</v>
      </c>
      <c r="I783" s="11">
        <v>0.0</v>
      </c>
      <c r="J783" s="11">
        <v>0.0</v>
      </c>
      <c r="K783" s="11">
        <f t="shared" si="1"/>
        <v>0</v>
      </c>
      <c r="L783" s="11">
        <f t="shared" si="2"/>
        <v>0</v>
      </c>
    </row>
    <row r="784" ht="15.75" customHeight="1">
      <c r="A784" s="10" t="s">
        <v>1672</v>
      </c>
      <c r="B784" s="10" t="s">
        <v>1673</v>
      </c>
      <c r="C784" s="11">
        <v>0.0</v>
      </c>
      <c r="D784" s="11">
        <v>0.0</v>
      </c>
      <c r="E784" s="11">
        <v>0.0</v>
      </c>
      <c r="F784" s="11">
        <v>0.0</v>
      </c>
      <c r="G784" s="11">
        <v>0.0</v>
      </c>
      <c r="H784" s="11">
        <v>0.0</v>
      </c>
      <c r="I784" s="11">
        <v>0.0</v>
      </c>
      <c r="J784" s="11">
        <v>0.0</v>
      </c>
      <c r="K784" s="11">
        <f t="shared" si="1"/>
        <v>0</v>
      </c>
      <c r="L784" s="11">
        <f t="shared" si="2"/>
        <v>0</v>
      </c>
    </row>
    <row r="785" ht="15.75" customHeight="1">
      <c r="A785" s="10" t="s">
        <v>1674</v>
      </c>
      <c r="B785" s="10" t="s">
        <v>1675</v>
      </c>
      <c r="C785" s="11">
        <v>0.0</v>
      </c>
      <c r="D785" s="11">
        <v>0.0</v>
      </c>
      <c r="E785" s="11">
        <v>0.0</v>
      </c>
      <c r="F785" s="11">
        <v>0.0</v>
      </c>
      <c r="G785" s="11">
        <v>0.0</v>
      </c>
      <c r="H785" s="11">
        <v>500.0</v>
      </c>
      <c r="I785" s="11">
        <v>0.0</v>
      </c>
      <c r="J785" s="11">
        <v>0.0</v>
      </c>
      <c r="K785" s="11">
        <f t="shared" si="1"/>
        <v>500</v>
      </c>
      <c r="L785" s="11">
        <f t="shared" si="2"/>
        <v>125</v>
      </c>
    </row>
    <row r="786" ht="15.75" customHeight="1">
      <c r="A786" s="10" t="s">
        <v>1676</v>
      </c>
      <c r="B786" s="10" t="s">
        <v>1677</v>
      </c>
      <c r="C786" s="11">
        <v>0.0</v>
      </c>
      <c r="D786" s="11">
        <v>0.0</v>
      </c>
      <c r="E786" s="11">
        <v>0.0</v>
      </c>
      <c r="F786" s="11">
        <v>0.0</v>
      </c>
      <c r="G786" s="11">
        <v>0.0</v>
      </c>
      <c r="H786" s="11">
        <v>0.0</v>
      </c>
      <c r="I786" s="11">
        <v>0.0</v>
      </c>
      <c r="J786" s="11">
        <v>0.0</v>
      </c>
      <c r="K786" s="11">
        <f t="shared" si="1"/>
        <v>0</v>
      </c>
      <c r="L786" s="11">
        <f t="shared" si="2"/>
        <v>0</v>
      </c>
    </row>
    <row r="787" ht="15.75" customHeight="1">
      <c r="A787" s="10" t="s">
        <v>1678</v>
      </c>
      <c r="B787" s="10" t="s">
        <v>1679</v>
      </c>
      <c r="C787" s="11">
        <v>0.0</v>
      </c>
      <c r="D787" s="11">
        <v>0.0</v>
      </c>
      <c r="E787" s="11">
        <v>0.0</v>
      </c>
      <c r="F787" s="11">
        <v>0.0</v>
      </c>
      <c r="G787" s="11">
        <v>0.0</v>
      </c>
      <c r="H787" s="11">
        <v>0.0</v>
      </c>
      <c r="I787" s="11">
        <v>0.0</v>
      </c>
      <c r="J787" s="11">
        <v>0.0</v>
      </c>
      <c r="K787" s="11">
        <f t="shared" si="1"/>
        <v>0</v>
      </c>
      <c r="L787" s="11">
        <f t="shared" si="2"/>
        <v>0</v>
      </c>
    </row>
    <row r="788" ht="15.75" customHeight="1">
      <c r="A788" s="10" t="s">
        <v>1680</v>
      </c>
      <c r="B788" s="10" t="s">
        <v>1681</v>
      </c>
      <c r="C788" s="11">
        <v>0.0</v>
      </c>
      <c r="D788" s="11">
        <v>0.0</v>
      </c>
      <c r="E788" s="11">
        <v>0.0</v>
      </c>
      <c r="F788" s="11">
        <v>0.0</v>
      </c>
      <c r="G788" s="11">
        <v>0.0</v>
      </c>
      <c r="H788" s="11">
        <v>0.0</v>
      </c>
      <c r="I788" s="11">
        <v>0.0</v>
      </c>
      <c r="J788" s="11">
        <v>0.0</v>
      </c>
      <c r="K788" s="11">
        <f t="shared" si="1"/>
        <v>0</v>
      </c>
      <c r="L788" s="11">
        <f t="shared" si="2"/>
        <v>0</v>
      </c>
    </row>
    <row r="789" ht="15.75" customHeight="1">
      <c r="A789" s="10" t="s">
        <v>1682</v>
      </c>
      <c r="B789" s="10" t="s">
        <v>1683</v>
      </c>
      <c r="C789" s="11">
        <v>0.0</v>
      </c>
      <c r="D789" s="11">
        <v>0.0</v>
      </c>
      <c r="E789" s="11">
        <v>0.0</v>
      </c>
      <c r="F789" s="11">
        <v>0.0</v>
      </c>
      <c r="G789" s="11">
        <v>0.0</v>
      </c>
      <c r="H789" s="11">
        <v>0.0</v>
      </c>
      <c r="I789" s="11">
        <v>0.0</v>
      </c>
      <c r="J789" s="11">
        <v>0.0</v>
      </c>
      <c r="K789" s="11">
        <f t="shared" si="1"/>
        <v>0</v>
      </c>
      <c r="L789" s="11">
        <f t="shared" si="2"/>
        <v>0</v>
      </c>
    </row>
    <row r="790" ht="15.75" customHeight="1">
      <c r="A790" s="10" t="s">
        <v>1684</v>
      </c>
      <c r="B790" s="10" t="s">
        <v>1685</v>
      </c>
      <c r="C790" s="11">
        <v>0.0</v>
      </c>
      <c r="D790" s="11">
        <v>0.0</v>
      </c>
      <c r="E790" s="11">
        <v>0.0</v>
      </c>
      <c r="F790" s="11">
        <v>0.0</v>
      </c>
      <c r="G790" s="11">
        <v>0.0</v>
      </c>
      <c r="H790" s="11">
        <v>0.0</v>
      </c>
      <c r="I790" s="11">
        <v>0.0</v>
      </c>
      <c r="J790" s="11">
        <v>0.0</v>
      </c>
      <c r="K790" s="11">
        <f t="shared" si="1"/>
        <v>0</v>
      </c>
      <c r="L790" s="11">
        <f t="shared" si="2"/>
        <v>0</v>
      </c>
    </row>
    <row r="791" ht="15.75" customHeight="1">
      <c r="A791" s="10" t="s">
        <v>1686</v>
      </c>
      <c r="B791" s="10" t="s">
        <v>1687</v>
      </c>
      <c r="C791" s="11">
        <v>0.0</v>
      </c>
      <c r="D791" s="11">
        <v>0.0</v>
      </c>
      <c r="E791" s="11">
        <v>0.0</v>
      </c>
      <c r="F791" s="11">
        <v>0.0</v>
      </c>
      <c r="G791" s="11">
        <v>0.0</v>
      </c>
      <c r="H791" s="11">
        <v>0.0</v>
      </c>
      <c r="I791" s="11">
        <v>0.0</v>
      </c>
      <c r="J791" s="11">
        <v>0.0</v>
      </c>
      <c r="K791" s="11">
        <f t="shared" si="1"/>
        <v>0</v>
      </c>
      <c r="L791" s="11">
        <f t="shared" si="2"/>
        <v>0</v>
      </c>
    </row>
    <row r="792" ht="15.75" customHeight="1">
      <c r="A792" s="10" t="s">
        <v>1688</v>
      </c>
      <c r="B792" s="10" t="s">
        <v>1689</v>
      </c>
      <c r="C792" s="11">
        <v>0.0</v>
      </c>
      <c r="D792" s="11">
        <v>0.0</v>
      </c>
      <c r="E792" s="11">
        <v>0.0</v>
      </c>
      <c r="F792" s="11">
        <v>0.0</v>
      </c>
      <c r="G792" s="11">
        <v>0.0</v>
      </c>
      <c r="H792" s="11">
        <v>0.0</v>
      </c>
      <c r="I792" s="11">
        <v>0.0</v>
      </c>
      <c r="J792" s="11">
        <v>0.0</v>
      </c>
      <c r="K792" s="11">
        <f t="shared" si="1"/>
        <v>0</v>
      </c>
      <c r="L792" s="11">
        <f t="shared" si="2"/>
        <v>0</v>
      </c>
    </row>
    <row r="793" ht="15.75" customHeight="1">
      <c r="A793" s="10" t="s">
        <v>1690</v>
      </c>
      <c r="B793" s="10" t="s">
        <v>1691</v>
      </c>
      <c r="C793" s="11">
        <v>0.0</v>
      </c>
      <c r="D793" s="11">
        <v>200.0</v>
      </c>
      <c r="E793" s="11">
        <v>0.0</v>
      </c>
      <c r="F793" s="11">
        <v>300.0</v>
      </c>
      <c r="G793" s="11">
        <v>0.0</v>
      </c>
      <c r="H793" s="11">
        <v>0.0</v>
      </c>
      <c r="I793" s="11">
        <v>0.0</v>
      </c>
      <c r="J793" s="11">
        <v>0.0</v>
      </c>
      <c r="K793" s="11">
        <f t="shared" si="1"/>
        <v>500</v>
      </c>
      <c r="L793" s="11">
        <f t="shared" si="2"/>
        <v>0</v>
      </c>
    </row>
    <row r="794" ht="15.75" customHeight="1">
      <c r="A794" s="10" t="s">
        <v>1692</v>
      </c>
      <c r="B794" s="10" t="s">
        <v>1693</v>
      </c>
      <c r="C794" s="11">
        <v>0.0</v>
      </c>
      <c r="D794" s="11">
        <v>0.0</v>
      </c>
      <c r="E794" s="11">
        <v>0.0</v>
      </c>
      <c r="F794" s="11">
        <v>0.0</v>
      </c>
      <c r="G794" s="11">
        <v>500.0</v>
      </c>
      <c r="H794" s="11">
        <v>0.0</v>
      </c>
      <c r="I794" s="11">
        <v>0.0</v>
      </c>
      <c r="J794" s="11">
        <v>0.0</v>
      </c>
      <c r="K794" s="11">
        <f t="shared" si="1"/>
        <v>500</v>
      </c>
      <c r="L794" s="11">
        <f t="shared" si="2"/>
        <v>125</v>
      </c>
    </row>
    <row r="795" ht="15.75" customHeight="1">
      <c r="A795" s="10" t="s">
        <v>1694</v>
      </c>
      <c r="B795" s="10" t="s">
        <v>1695</v>
      </c>
      <c r="C795" s="11">
        <v>0.0</v>
      </c>
      <c r="D795" s="11">
        <v>0.0</v>
      </c>
      <c r="E795" s="11">
        <v>0.0</v>
      </c>
      <c r="F795" s="11">
        <v>0.0</v>
      </c>
      <c r="G795" s="11">
        <v>0.0</v>
      </c>
      <c r="H795" s="11">
        <v>0.0</v>
      </c>
      <c r="I795" s="11">
        <v>0.0</v>
      </c>
      <c r="J795" s="11">
        <v>0.0</v>
      </c>
      <c r="K795" s="11">
        <f t="shared" si="1"/>
        <v>0</v>
      </c>
      <c r="L795" s="11">
        <f t="shared" si="2"/>
        <v>0</v>
      </c>
    </row>
    <row r="796" ht="15.75" customHeight="1">
      <c r="A796" s="10" t="s">
        <v>1696</v>
      </c>
      <c r="B796" s="10" t="s">
        <v>1697</v>
      </c>
      <c r="C796" s="11">
        <v>0.0</v>
      </c>
      <c r="D796" s="11">
        <v>0.0</v>
      </c>
      <c r="E796" s="11">
        <v>0.0</v>
      </c>
      <c r="F796" s="11">
        <v>0.0</v>
      </c>
      <c r="G796" s="11">
        <v>0.0</v>
      </c>
      <c r="H796" s="11">
        <v>0.0</v>
      </c>
      <c r="I796" s="11">
        <v>0.0</v>
      </c>
      <c r="J796" s="11">
        <v>0.0</v>
      </c>
      <c r="K796" s="11">
        <f t="shared" si="1"/>
        <v>0</v>
      </c>
      <c r="L796" s="11">
        <f t="shared" si="2"/>
        <v>0</v>
      </c>
    </row>
    <row r="797" ht="15.75" customHeight="1">
      <c r="A797" s="10" t="s">
        <v>1698</v>
      </c>
      <c r="B797" s="10" t="s">
        <v>1699</v>
      </c>
      <c r="C797" s="11">
        <v>200.0</v>
      </c>
      <c r="D797" s="11">
        <v>0.0</v>
      </c>
      <c r="E797" s="11">
        <v>0.0</v>
      </c>
      <c r="F797" s="11">
        <v>500.0</v>
      </c>
      <c r="G797" s="11">
        <v>50.0</v>
      </c>
      <c r="H797" s="11">
        <v>50.0</v>
      </c>
      <c r="I797" s="11">
        <v>1500.0</v>
      </c>
      <c r="J797" s="11">
        <v>100.0</v>
      </c>
      <c r="K797" s="11">
        <f t="shared" si="1"/>
        <v>2400</v>
      </c>
      <c r="L797" s="11">
        <f t="shared" si="2"/>
        <v>425</v>
      </c>
    </row>
    <row r="798" ht="15.75" customHeight="1">
      <c r="A798" s="10" t="s">
        <v>1700</v>
      </c>
      <c r="B798" s="10" t="s">
        <v>1701</v>
      </c>
      <c r="C798" s="11">
        <v>250.0</v>
      </c>
      <c r="D798" s="11">
        <v>250.0</v>
      </c>
      <c r="E798" s="11">
        <v>150.0</v>
      </c>
      <c r="F798" s="11">
        <v>100.0</v>
      </c>
      <c r="G798" s="11">
        <v>200.0</v>
      </c>
      <c r="H798" s="11">
        <v>2865.0</v>
      </c>
      <c r="I798" s="11">
        <v>60.0</v>
      </c>
      <c r="J798" s="11">
        <v>30.0</v>
      </c>
      <c r="K798" s="11">
        <f t="shared" si="1"/>
        <v>3905</v>
      </c>
      <c r="L798" s="11">
        <f t="shared" si="2"/>
        <v>788.75</v>
      </c>
    </row>
    <row r="799" ht="15.75" customHeight="1">
      <c r="A799" s="10" t="s">
        <v>1702</v>
      </c>
      <c r="B799" s="10" t="s">
        <v>1703</v>
      </c>
      <c r="C799" s="11">
        <v>0.0</v>
      </c>
      <c r="D799" s="11">
        <v>50.0</v>
      </c>
      <c r="E799" s="11">
        <v>0.0</v>
      </c>
      <c r="F799" s="11">
        <v>0.0</v>
      </c>
      <c r="G799" s="11">
        <v>20.0</v>
      </c>
      <c r="H799" s="11">
        <v>0.0</v>
      </c>
      <c r="I799" s="11">
        <v>50.0</v>
      </c>
      <c r="J799" s="11">
        <v>0.0</v>
      </c>
      <c r="K799" s="11">
        <f t="shared" si="1"/>
        <v>120</v>
      </c>
      <c r="L799" s="11">
        <f t="shared" si="2"/>
        <v>17.5</v>
      </c>
    </row>
    <row r="800" ht="15.75" customHeight="1">
      <c r="A800" s="10" t="s">
        <v>1704</v>
      </c>
      <c r="B800" s="10" t="s">
        <v>1705</v>
      </c>
      <c r="C800" s="11">
        <v>0.0</v>
      </c>
      <c r="D800" s="11">
        <v>50.0</v>
      </c>
      <c r="E800" s="11">
        <v>0.0</v>
      </c>
      <c r="F800" s="11">
        <v>0.0</v>
      </c>
      <c r="G800" s="11">
        <v>50.0</v>
      </c>
      <c r="H800" s="11">
        <v>0.0</v>
      </c>
      <c r="I800" s="11">
        <v>0.0</v>
      </c>
      <c r="J800" s="11">
        <v>50.0</v>
      </c>
      <c r="K800" s="11">
        <f t="shared" si="1"/>
        <v>150</v>
      </c>
      <c r="L800" s="11">
        <f t="shared" si="2"/>
        <v>25</v>
      </c>
    </row>
    <row r="801" ht="15.75" customHeight="1">
      <c r="A801" s="10" t="s">
        <v>1706</v>
      </c>
      <c r="B801" s="10" t="s">
        <v>1707</v>
      </c>
      <c r="C801" s="11">
        <v>42.0</v>
      </c>
      <c r="D801" s="11">
        <v>320.0</v>
      </c>
      <c r="E801" s="11">
        <v>40.0</v>
      </c>
      <c r="F801" s="11">
        <v>40.0</v>
      </c>
      <c r="G801" s="11">
        <v>320.0</v>
      </c>
      <c r="H801" s="11">
        <v>120.0</v>
      </c>
      <c r="I801" s="11">
        <v>80.0</v>
      </c>
      <c r="J801" s="11">
        <v>160.0</v>
      </c>
      <c r="K801" s="11">
        <f t="shared" si="1"/>
        <v>1122</v>
      </c>
      <c r="L801" s="11">
        <f t="shared" si="2"/>
        <v>170</v>
      </c>
    </row>
    <row r="802" ht="15.75" customHeight="1">
      <c r="A802" s="10" t="s">
        <v>1708</v>
      </c>
      <c r="B802" s="10" t="s">
        <v>1709</v>
      </c>
      <c r="C802" s="11">
        <v>40.0</v>
      </c>
      <c r="D802" s="11">
        <v>40.0</v>
      </c>
      <c r="E802" s="11">
        <v>80.0</v>
      </c>
      <c r="F802" s="11">
        <v>80.0</v>
      </c>
      <c r="G802" s="11">
        <v>40.0</v>
      </c>
      <c r="H802" s="11">
        <v>0.0</v>
      </c>
      <c r="I802" s="11">
        <v>131.0</v>
      </c>
      <c r="J802" s="11">
        <v>40.0</v>
      </c>
      <c r="K802" s="11">
        <f t="shared" si="1"/>
        <v>451</v>
      </c>
      <c r="L802" s="11">
        <f t="shared" si="2"/>
        <v>52.75</v>
      </c>
    </row>
    <row r="803" ht="15.75" customHeight="1">
      <c r="A803" s="10" t="s">
        <v>1710</v>
      </c>
      <c r="B803" s="10" t="s">
        <v>1711</v>
      </c>
      <c r="C803" s="11">
        <v>0.0</v>
      </c>
      <c r="D803" s="11">
        <v>0.0</v>
      </c>
      <c r="E803" s="11">
        <v>0.0</v>
      </c>
      <c r="F803" s="11">
        <v>0.0</v>
      </c>
      <c r="G803" s="11">
        <v>40.0</v>
      </c>
      <c r="H803" s="11">
        <v>0.0</v>
      </c>
      <c r="I803" s="11">
        <v>0.0</v>
      </c>
      <c r="J803" s="11">
        <v>38.0</v>
      </c>
      <c r="K803" s="11">
        <f t="shared" si="1"/>
        <v>78</v>
      </c>
      <c r="L803" s="11">
        <f t="shared" si="2"/>
        <v>19.5</v>
      </c>
    </row>
    <row r="804" ht="15.75" customHeight="1">
      <c r="A804" s="10" t="s">
        <v>1712</v>
      </c>
      <c r="B804" s="10" t="s">
        <v>1713</v>
      </c>
      <c r="C804" s="11">
        <v>0.0</v>
      </c>
      <c r="D804" s="11">
        <v>50.0</v>
      </c>
      <c r="E804" s="11">
        <v>0.0</v>
      </c>
      <c r="F804" s="11">
        <v>0.0</v>
      </c>
      <c r="G804" s="11">
        <v>0.0</v>
      </c>
      <c r="H804" s="11">
        <v>0.0</v>
      </c>
      <c r="I804" s="11">
        <v>400.0</v>
      </c>
      <c r="J804" s="11">
        <v>0.0</v>
      </c>
      <c r="K804" s="11">
        <f t="shared" si="1"/>
        <v>450</v>
      </c>
      <c r="L804" s="11">
        <f t="shared" si="2"/>
        <v>100</v>
      </c>
    </row>
    <row r="805" ht="15.75" customHeight="1">
      <c r="A805" s="10" t="s">
        <v>1714</v>
      </c>
      <c r="B805" s="10" t="s">
        <v>1715</v>
      </c>
      <c r="C805" s="11">
        <v>0.0</v>
      </c>
      <c r="D805" s="11">
        <v>50.0</v>
      </c>
      <c r="E805" s="11">
        <v>100.0</v>
      </c>
      <c r="F805" s="11">
        <v>0.0</v>
      </c>
      <c r="G805" s="11">
        <v>1648.0</v>
      </c>
      <c r="H805" s="11">
        <v>0.0</v>
      </c>
      <c r="I805" s="11">
        <v>200.0</v>
      </c>
      <c r="J805" s="11">
        <v>1600.0</v>
      </c>
      <c r="K805" s="11">
        <f t="shared" si="1"/>
        <v>3598</v>
      </c>
      <c r="L805" s="11">
        <f t="shared" si="2"/>
        <v>862</v>
      </c>
    </row>
    <row r="806" ht="15.75" customHeight="1">
      <c r="A806" s="10" t="s">
        <v>1716</v>
      </c>
      <c r="B806" s="10" t="s">
        <v>1717</v>
      </c>
      <c r="C806" s="11">
        <v>0.0</v>
      </c>
      <c r="D806" s="11">
        <v>0.0</v>
      </c>
      <c r="E806" s="11">
        <v>962.0</v>
      </c>
      <c r="F806" s="11">
        <v>100.0</v>
      </c>
      <c r="G806" s="11">
        <v>40.0</v>
      </c>
      <c r="H806" s="11">
        <v>950.0</v>
      </c>
      <c r="I806" s="11">
        <v>760.0</v>
      </c>
      <c r="J806" s="11">
        <v>480.0</v>
      </c>
      <c r="K806" s="11">
        <f t="shared" si="1"/>
        <v>3292</v>
      </c>
      <c r="L806" s="11">
        <f t="shared" si="2"/>
        <v>557.5</v>
      </c>
    </row>
    <row r="807" ht="15.75" customHeight="1">
      <c r="A807" s="10" t="s">
        <v>1718</v>
      </c>
      <c r="B807" s="10" t="s">
        <v>1719</v>
      </c>
      <c r="C807" s="11">
        <v>0.0</v>
      </c>
      <c r="D807" s="11">
        <v>0.0</v>
      </c>
      <c r="E807" s="11">
        <v>0.0</v>
      </c>
      <c r="F807" s="11">
        <v>0.0</v>
      </c>
      <c r="G807" s="11">
        <v>0.0</v>
      </c>
      <c r="H807" s="11">
        <v>0.0</v>
      </c>
      <c r="I807" s="11">
        <v>0.0</v>
      </c>
      <c r="J807" s="11">
        <v>0.0</v>
      </c>
      <c r="K807" s="11">
        <f t="shared" si="1"/>
        <v>0</v>
      </c>
      <c r="L807" s="11">
        <f t="shared" si="2"/>
        <v>0</v>
      </c>
    </row>
    <row r="808" ht="15.75" customHeight="1">
      <c r="A808" s="10" t="s">
        <v>1720</v>
      </c>
      <c r="B808" s="10" t="s">
        <v>1721</v>
      </c>
      <c r="C808" s="11">
        <v>0.0</v>
      </c>
      <c r="D808" s="11">
        <v>40.0</v>
      </c>
      <c r="E808" s="11">
        <v>0.0</v>
      </c>
      <c r="F808" s="11">
        <v>0.0</v>
      </c>
      <c r="G808" s="11">
        <v>0.0</v>
      </c>
      <c r="H808" s="11">
        <v>0.0</v>
      </c>
      <c r="I808" s="11">
        <v>29.0</v>
      </c>
      <c r="J808" s="11">
        <v>0.0</v>
      </c>
      <c r="K808" s="11">
        <f t="shared" si="1"/>
        <v>69</v>
      </c>
      <c r="L808" s="11">
        <f t="shared" si="2"/>
        <v>7.25</v>
      </c>
    </row>
    <row r="809" ht="15.75" customHeight="1">
      <c r="A809" s="10" t="s">
        <v>1724</v>
      </c>
      <c r="B809" s="10" t="s">
        <v>1725</v>
      </c>
      <c r="C809" s="11">
        <v>0.0</v>
      </c>
      <c r="D809" s="11">
        <v>29.8</v>
      </c>
      <c r="E809" s="11">
        <v>0.0</v>
      </c>
      <c r="F809" s="11">
        <v>0.0</v>
      </c>
      <c r="G809" s="11">
        <v>0.0</v>
      </c>
      <c r="H809" s="11">
        <v>0.0</v>
      </c>
      <c r="I809" s="11">
        <v>0.0</v>
      </c>
      <c r="J809" s="11">
        <v>0.0</v>
      </c>
      <c r="K809" s="11">
        <f t="shared" si="1"/>
        <v>29.8</v>
      </c>
      <c r="L809" s="11">
        <f t="shared" si="2"/>
        <v>0</v>
      </c>
    </row>
    <row r="810" ht="15.75" customHeight="1">
      <c r="A810" s="10" t="s">
        <v>1726</v>
      </c>
      <c r="B810" s="10" t="s">
        <v>1727</v>
      </c>
      <c r="C810" s="11">
        <v>0.0</v>
      </c>
      <c r="D810" s="11">
        <v>0.0</v>
      </c>
      <c r="E810" s="11">
        <v>0.0</v>
      </c>
      <c r="F810" s="11">
        <v>0.0</v>
      </c>
      <c r="G810" s="11">
        <v>0.0</v>
      </c>
      <c r="H810" s="11">
        <v>0.0</v>
      </c>
      <c r="I810" s="11">
        <v>0.0</v>
      </c>
      <c r="J810" s="11">
        <v>0.0</v>
      </c>
      <c r="K810" s="11">
        <f t="shared" si="1"/>
        <v>0</v>
      </c>
      <c r="L810" s="11">
        <f t="shared" si="2"/>
        <v>0</v>
      </c>
    </row>
    <row r="811" ht="15.75" customHeight="1">
      <c r="A811" s="10" t="s">
        <v>1728</v>
      </c>
      <c r="B811" s="10" t="s">
        <v>1729</v>
      </c>
      <c r="C811" s="11">
        <v>0.0</v>
      </c>
      <c r="D811" s="11">
        <v>0.0</v>
      </c>
      <c r="E811" s="11">
        <v>0.0</v>
      </c>
      <c r="F811" s="11">
        <v>0.0</v>
      </c>
      <c r="G811" s="11">
        <v>0.0</v>
      </c>
      <c r="H811" s="11">
        <v>0.0</v>
      </c>
      <c r="I811" s="11">
        <v>0.0</v>
      </c>
      <c r="J811" s="11">
        <v>0.0</v>
      </c>
      <c r="K811" s="11">
        <f t="shared" si="1"/>
        <v>0</v>
      </c>
      <c r="L811" s="11">
        <f t="shared" si="2"/>
        <v>0</v>
      </c>
    </row>
    <row r="812" ht="15.75" customHeight="1">
      <c r="A812" s="10" t="s">
        <v>1730</v>
      </c>
      <c r="B812" s="10" t="s">
        <v>1731</v>
      </c>
      <c r="C812" s="11">
        <v>0.0</v>
      </c>
      <c r="D812" s="11">
        <v>0.0</v>
      </c>
      <c r="E812" s="11">
        <v>0.0</v>
      </c>
      <c r="F812" s="11">
        <v>0.0</v>
      </c>
      <c r="G812" s="11">
        <v>0.0</v>
      </c>
      <c r="H812" s="11">
        <v>0.0</v>
      </c>
      <c r="I812" s="11">
        <v>0.0</v>
      </c>
      <c r="J812" s="11">
        <v>0.0</v>
      </c>
      <c r="K812" s="11">
        <f t="shared" si="1"/>
        <v>0</v>
      </c>
      <c r="L812" s="11">
        <f t="shared" si="2"/>
        <v>0</v>
      </c>
    </row>
    <row r="813" ht="15.75" customHeight="1">
      <c r="A813" s="10" t="s">
        <v>1732</v>
      </c>
      <c r="B813" s="10" t="s">
        <v>1733</v>
      </c>
      <c r="C813" s="11">
        <v>0.0</v>
      </c>
      <c r="D813" s="11">
        <v>0.0</v>
      </c>
      <c r="E813" s="11">
        <v>0.0</v>
      </c>
      <c r="F813" s="11">
        <v>0.0</v>
      </c>
      <c r="G813" s="11">
        <v>0.0</v>
      </c>
      <c r="H813" s="11">
        <v>0.0</v>
      </c>
      <c r="I813" s="11">
        <v>0.0</v>
      </c>
      <c r="J813" s="11">
        <v>0.0</v>
      </c>
      <c r="K813" s="11">
        <f t="shared" si="1"/>
        <v>0</v>
      </c>
      <c r="L813" s="11">
        <f t="shared" si="2"/>
        <v>0</v>
      </c>
    </row>
    <row r="814" ht="15.75" customHeight="1">
      <c r="A814" s="10" t="s">
        <v>1734</v>
      </c>
      <c r="B814" s="10" t="s">
        <v>1735</v>
      </c>
      <c r="C814" s="11">
        <v>280.0</v>
      </c>
      <c r="D814" s="11">
        <v>160.0</v>
      </c>
      <c r="E814" s="11">
        <v>40.0</v>
      </c>
      <c r="F814" s="11">
        <v>40.0</v>
      </c>
      <c r="G814" s="11">
        <v>120.0</v>
      </c>
      <c r="H814" s="11">
        <v>80.0</v>
      </c>
      <c r="I814" s="11">
        <v>397.0</v>
      </c>
      <c r="J814" s="11">
        <v>0.0</v>
      </c>
      <c r="K814" s="11">
        <f t="shared" si="1"/>
        <v>1117</v>
      </c>
      <c r="L814" s="11">
        <f t="shared" si="2"/>
        <v>149.25</v>
      </c>
    </row>
    <row r="815" ht="15.75" customHeight="1">
      <c r="A815" s="10" t="s">
        <v>1736</v>
      </c>
      <c r="B815" s="10" t="s">
        <v>1737</v>
      </c>
      <c r="C815" s="11">
        <v>0.0</v>
      </c>
      <c r="D815" s="11">
        <v>0.0</v>
      </c>
      <c r="E815" s="11">
        <v>0.0</v>
      </c>
      <c r="F815" s="11">
        <v>0.0</v>
      </c>
      <c r="G815" s="11">
        <v>0.0</v>
      </c>
      <c r="H815" s="11">
        <v>0.0</v>
      </c>
      <c r="I815" s="11">
        <v>0.0</v>
      </c>
      <c r="J815" s="11">
        <v>0.0</v>
      </c>
      <c r="K815" s="11">
        <f t="shared" si="1"/>
        <v>0</v>
      </c>
      <c r="L815" s="11">
        <f t="shared" si="2"/>
        <v>0</v>
      </c>
    </row>
    <row r="816" ht="15.75" customHeight="1">
      <c r="A816" s="10" t="s">
        <v>1738</v>
      </c>
      <c r="B816" s="10" t="s">
        <v>1739</v>
      </c>
      <c r="C816" s="11">
        <v>0.0</v>
      </c>
      <c r="D816" s="11">
        <v>0.0</v>
      </c>
      <c r="E816" s="11">
        <v>0.0</v>
      </c>
      <c r="F816" s="11">
        <v>0.0</v>
      </c>
      <c r="G816" s="11">
        <v>0.0</v>
      </c>
      <c r="H816" s="11">
        <v>0.0</v>
      </c>
      <c r="I816" s="11">
        <v>0.0</v>
      </c>
      <c r="J816" s="11">
        <v>0.0</v>
      </c>
      <c r="K816" s="11">
        <f t="shared" si="1"/>
        <v>0</v>
      </c>
      <c r="L816" s="11">
        <f t="shared" si="2"/>
        <v>0</v>
      </c>
    </row>
    <row r="817" ht="15.75" customHeight="1">
      <c r="A817" s="10" t="s">
        <v>1740</v>
      </c>
      <c r="B817" s="10" t="s">
        <v>1741</v>
      </c>
      <c r="C817" s="11">
        <v>0.0</v>
      </c>
      <c r="D817" s="11">
        <v>0.0</v>
      </c>
      <c r="E817" s="11">
        <v>0.0</v>
      </c>
      <c r="F817" s="11">
        <v>0.0</v>
      </c>
      <c r="G817" s="11">
        <v>30.0</v>
      </c>
      <c r="H817" s="11">
        <v>0.0</v>
      </c>
      <c r="I817" s="11">
        <v>0.0</v>
      </c>
      <c r="J817" s="11">
        <v>0.0</v>
      </c>
      <c r="K817" s="11">
        <f t="shared" si="1"/>
        <v>30</v>
      </c>
      <c r="L817" s="11">
        <f t="shared" si="2"/>
        <v>7.5</v>
      </c>
    </row>
    <row r="818" ht="15.75" customHeight="1">
      <c r="A818" s="10" t="s">
        <v>1742</v>
      </c>
      <c r="B818" s="10" t="s">
        <v>1743</v>
      </c>
      <c r="C818" s="11">
        <v>25.0</v>
      </c>
      <c r="D818" s="11">
        <v>0.0</v>
      </c>
      <c r="E818" s="11">
        <v>0.0</v>
      </c>
      <c r="F818" s="11">
        <v>0.0</v>
      </c>
      <c r="G818" s="11">
        <v>0.0</v>
      </c>
      <c r="H818" s="11">
        <v>0.0</v>
      </c>
      <c r="I818" s="11">
        <v>0.0</v>
      </c>
      <c r="J818" s="11">
        <v>0.0</v>
      </c>
      <c r="K818" s="11">
        <f t="shared" si="1"/>
        <v>25</v>
      </c>
      <c r="L818" s="11">
        <f t="shared" si="2"/>
        <v>0</v>
      </c>
    </row>
    <row r="819" ht="15.75" customHeight="1">
      <c r="A819" s="10" t="s">
        <v>1744</v>
      </c>
      <c r="B819" s="10" t="s">
        <v>1745</v>
      </c>
      <c r="C819" s="11">
        <v>0.0</v>
      </c>
      <c r="D819" s="11">
        <v>25.0</v>
      </c>
      <c r="E819" s="11">
        <v>25.0</v>
      </c>
      <c r="F819" s="11">
        <v>0.0</v>
      </c>
      <c r="G819" s="11">
        <v>25.0</v>
      </c>
      <c r="H819" s="11">
        <v>25.0</v>
      </c>
      <c r="I819" s="11">
        <v>23.0</v>
      </c>
      <c r="J819" s="11">
        <v>25.0</v>
      </c>
      <c r="K819" s="11">
        <f t="shared" si="1"/>
        <v>148</v>
      </c>
      <c r="L819" s="11">
        <f t="shared" si="2"/>
        <v>24.5</v>
      </c>
    </row>
    <row r="820" ht="15.75" customHeight="1">
      <c r="A820" s="10" t="s">
        <v>1746</v>
      </c>
      <c r="B820" s="10" t="s">
        <v>1747</v>
      </c>
      <c r="C820" s="11">
        <v>0.0</v>
      </c>
      <c r="D820" s="11">
        <v>0.0</v>
      </c>
      <c r="E820" s="11">
        <v>0.0</v>
      </c>
      <c r="F820" s="11">
        <v>0.0</v>
      </c>
      <c r="G820" s="11">
        <v>0.0</v>
      </c>
      <c r="H820" s="11">
        <v>0.0</v>
      </c>
      <c r="I820" s="11">
        <v>25.0</v>
      </c>
      <c r="J820" s="11">
        <v>0.0</v>
      </c>
      <c r="K820" s="11">
        <f t="shared" si="1"/>
        <v>25</v>
      </c>
      <c r="L820" s="11">
        <f t="shared" si="2"/>
        <v>6.25</v>
      </c>
    </row>
    <row r="821" ht="15.75" customHeight="1">
      <c r="A821" s="10" t="s">
        <v>1748</v>
      </c>
      <c r="B821" s="10" t="s">
        <v>1749</v>
      </c>
      <c r="C821" s="11">
        <v>96.0</v>
      </c>
      <c r="D821" s="11">
        <v>50.0</v>
      </c>
      <c r="E821" s="11">
        <v>25.0</v>
      </c>
      <c r="F821" s="11">
        <v>25.0</v>
      </c>
      <c r="G821" s="11">
        <v>20.0</v>
      </c>
      <c r="H821" s="11">
        <v>24.0</v>
      </c>
      <c r="I821" s="11">
        <v>123.5</v>
      </c>
      <c r="J821" s="11">
        <v>0.0</v>
      </c>
      <c r="K821" s="11">
        <f t="shared" si="1"/>
        <v>363.5</v>
      </c>
      <c r="L821" s="11">
        <f t="shared" si="2"/>
        <v>41.875</v>
      </c>
    </row>
    <row r="822" ht="15.75" customHeight="1">
      <c r="A822" s="10" t="s">
        <v>1750</v>
      </c>
      <c r="B822" s="10" t="s">
        <v>1751</v>
      </c>
      <c r="C822" s="11">
        <v>0.0</v>
      </c>
      <c r="D822" s="11">
        <v>0.0</v>
      </c>
      <c r="E822" s="11">
        <v>37.0</v>
      </c>
      <c r="F822" s="11">
        <v>0.0</v>
      </c>
      <c r="G822" s="11">
        <v>0.0</v>
      </c>
      <c r="H822" s="11">
        <v>0.0</v>
      </c>
      <c r="I822" s="11">
        <v>0.0</v>
      </c>
      <c r="J822" s="11">
        <v>0.0</v>
      </c>
      <c r="K822" s="11">
        <f t="shared" si="1"/>
        <v>37</v>
      </c>
      <c r="L822" s="11">
        <f t="shared" si="2"/>
        <v>0</v>
      </c>
    </row>
    <row r="823" ht="15.75" customHeight="1">
      <c r="A823" s="10" t="s">
        <v>1752</v>
      </c>
      <c r="B823" s="10" t="s">
        <v>1753</v>
      </c>
      <c r="C823" s="11">
        <v>0.0</v>
      </c>
      <c r="D823" s="11">
        <v>40.0</v>
      </c>
      <c r="E823" s="11">
        <v>40.0</v>
      </c>
      <c r="F823" s="11">
        <v>0.0</v>
      </c>
      <c r="G823" s="11">
        <v>40.0</v>
      </c>
      <c r="H823" s="11">
        <v>0.0</v>
      </c>
      <c r="I823" s="11">
        <v>160.0</v>
      </c>
      <c r="J823" s="11">
        <v>0.0</v>
      </c>
      <c r="K823" s="11">
        <f t="shared" si="1"/>
        <v>280</v>
      </c>
      <c r="L823" s="11">
        <f t="shared" si="2"/>
        <v>50</v>
      </c>
    </row>
    <row r="824" ht="15.75" customHeight="1">
      <c r="A824" s="10" t="s">
        <v>1754</v>
      </c>
      <c r="B824" s="10" t="s">
        <v>1755</v>
      </c>
      <c r="C824" s="11">
        <v>0.0</v>
      </c>
      <c r="D824" s="11">
        <v>0.0</v>
      </c>
      <c r="E824" s="11">
        <v>0.0</v>
      </c>
      <c r="F824" s="11">
        <v>0.0</v>
      </c>
      <c r="G824" s="11">
        <v>0.0</v>
      </c>
      <c r="H824" s="11">
        <v>0.0</v>
      </c>
      <c r="I824" s="11">
        <v>0.0</v>
      </c>
      <c r="J824" s="11">
        <v>0.0</v>
      </c>
      <c r="K824" s="11">
        <f t="shared" si="1"/>
        <v>0</v>
      </c>
      <c r="L824" s="11">
        <f t="shared" si="2"/>
        <v>0</v>
      </c>
    </row>
    <row r="825" ht="15.75" customHeight="1">
      <c r="A825" s="10" t="s">
        <v>1756</v>
      </c>
      <c r="B825" s="10" t="s">
        <v>1757</v>
      </c>
      <c r="C825" s="11">
        <v>0.0</v>
      </c>
      <c r="D825" s="11">
        <v>0.0</v>
      </c>
      <c r="E825" s="11">
        <v>0.0</v>
      </c>
      <c r="F825" s="11">
        <v>0.0</v>
      </c>
      <c r="G825" s="11">
        <v>0.0</v>
      </c>
      <c r="H825" s="11">
        <v>0.0</v>
      </c>
      <c r="I825" s="11">
        <v>0.0</v>
      </c>
      <c r="J825" s="11">
        <v>0.0</v>
      </c>
      <c r="K825" s="11">
        <f t="shared" si="1"/>
        <v>0</v>
      </c>
      <c r="L825" s="11">
        <f t="shared" si="2"/>
        <v>0</v>
      </c>
    </row>
    <row r="826" ht="15.75" customHeight="1">
      <c r="A826" s="10" t="s">
        <v>1758</v>
      </c>
      <c r="B826" s="10" t="s">
        <v>1759</v>
      </c>
      <c r="C826" s="11">
        <v>0.0</v>
      </c>
      <c r="D826" s="11">
        <v>0.0</v>
      </c>
      <c r="E826" s="11">
        <v>0.0</v>
      </c>
      <c r="F826" s="11">
        <v>0.0</v>
      </c>
      <c r="G826" s="11">
        <v>0.0</v>
      </c>
      <c r="H826" s="11">
        <v>0.0</v>
      </c>
      <c r="I826" s="11">
        <v>0.0</v>
      </c>
      <c r="J826" s="11">
        <v>0.0</v>
      </c>
      <c r="K826" s="11">
        <f t="shared" si="1"/>
        <v>0</v>
      </c>
      <c r="L826" s="11">
        <f t="shared" si="2"/>
        <v>0</v>
      </c>
    </row>
    <row r="827" ht="15.75" customHeight="1">
      <c r="A827" s="10" t="s">
        <v>1760</v>
      </c>
      <c r="B827" s="10" t="s">
        <v>1761</v>
      </c>
      <c r="C827" s="11">
        <v>0.0</v>
      </c>
      <c r="D827" s="11">
        <v>80.0</v>
      </c>
      <c r="E827" s="11">
        <v>40.0</v>
      </c>
      <c r="F827" s="11">
        <v>0.0</v>
      </c>
      <c r="G827" s="11">
        <v>40.0</v>
      </c>
      <c r="H827" s="11">
        <v>0.0</v>
      </c>
      <c r="I827" s="11">
        <v>40.0</v>
      </c>
      <c r="J827" s="11">
        <v>0.0</v>
      </c>
      <c r="K827" s="11">
        <f t="shared" si="1"/>
        <v>200</v>
      </c>
      <c r="L827" s="11">
        <f t="shared" si="2"/>
        <v>20</v>
      </c>
    </row>
    <row r="828" ht="15.75" customHeight="1">
      <c r="A828" s="10" t="s">
        <v>1762</v>
      </c>
      <c r="B828" s="10" t="s">
        <v>1763</v>
      </c>
      <c r="C828" s="11">
        <v>0.0</v>
      </c>
      <c r="D828" s="11">
        <v>80.0</v>
      </c>
      <c r="E828" s="11">
        <v>0.0</v>
      </c>
      <c r="F828" s="11">
        <v>0.0</v>
      </c>
      <c r="G828" s="11">
        <v>0.0</v>
      </c>
      <c r="H828" s="11">
        <v>0.0</v>
      </c>
      <c r="I828" s="11">
        <v>80.0</v>
      </c>
      <c r="J828" s="11">
        <v>0.0</v>
      </c>
      <c r="K828" s="11">
        <f t="shared" si="1"/>
        <v>160</v>
      </c>
      <c r="L828" s="11">
        <f t="shared" si="2"/>
        <v>20</v>
      </c>
    </row>
    <row r="829" ht="15.75" customHeight="1">
      <c r="A829" s="10" t="s">
        <v>1764</v>
      </c>
      <c r="B829" s="10" t="s">
        <v>1765</v>
      </c>
      <c r="C829" s="11">
        <v>40.0</v>
      </c>
      <c r="D829" s="11">
        <v>40.0</v>
      </c>
      <c r="E829" s="11">
        <v>40.0</v>
      </c>
      <c r="F829" s="11">
        <v>40.0</v>
      </c>
      <c r="G829" s="11">
        <v>0.0</v>
      </c>
      <c r="H829" s="11">
        <v>107.0</v>
      </c>
      <c r="I829" s="11">
        <v>44.0</v>
      </c>
      <c r="J829" s="11">
        <v>80.0</v>
      </c>
      <c r="K829" s="11">
        <f t="shared" si="1"/>
        <v>391</v>
      </c>
      <c r="L829" s="11">
        <f t="shared" si="2"/>
        <v>57.75</v>
      </c>
    </row>
    <row r="830" ht="15.75" customHeight="1">
      <c r="A830" s="10" t="s">
        <v>1766</v>
      </c>
      <c r="B830" s="10" t="s">
        <v>1767</v>
      </c>
      <c r="C830" s="11">
        <v>0.0</v>
      </c>
      <c r="D830" s="11">
        <v>40.0</v>
      </c>
      <c r="E830" s="11">
        <v>0.0</v>
      </c>
      <c r="F830" s="11">
        <v>40.0</v>
      </c>
      <c r="G830" s="11">
        <v>0.0</v>
      </c>
      <c r="H830" s="11">
        <v>40.0</v>
      </c>
      <c r="I830" s="11">
        <v>120.0</v>
      </c>
      <c r="J830" s="11">
        <v>0.0</v>
      </c>
      <c r="K830" s="11">
        <f t="shared" si="1"/>
        <v>240</v>
      </c>
      <c r="L830" s="11">
        <f t="shared" si="2"/>
        <v>40</v>
      </c>
    </row>
    <row r="831" ht="15.75" customHeight="1">
      <c r="A831" s="10" t="s">
        <v>1768</v>
      </c>
      <c r="B831" s="10" t="s">
        <v>1769</v>
      </c>
      <c r="C831" s="11">
        <v>0.0</v>
      </c>
      <c r="D831" s="11">
        <v>120.0</v>
      </c>
      <c r="E831" s="11">
        <v>120.0</v>
      </c>
      <c r="F831" s="11">
        <v>0.0</v>
      </c>
      <c r="G831" s="11">
        <v>0.0</v>
      </c>
      <c r="H831" s="11">
        <v>0.0</v>
      </c>
      <c r="I831" s="11">
        <v>40.0</v>
      </c>
      <c r="J831" s="11">
        <v>80.0</v>
      </c>
      <c r="K831" s="11">
        <f t="shared" si="1"/>
        <v>360</v>
      </c>
      <c r="L831" s="11">
        <f t="shared" si="2"/>
        <v>30</v>
      </c>
    </row>
    <row r="832" ht="15.75" customHeight="1">
      <c r="A832" s="10" t="s">
        <v>1770</v>
      </c>
      <c r="B832" s="10" t="s">
        <v>1771</v>
      </c>
      <c r="C832" s="11">
        <v>0.0</v>
      </c>
      <c r="D832" s="11">
        <v>40.0</v>
      </c>
      <c r="E832" s="11">
        <v>0.0</v>
      </c>
      <c r="F832" s="11">
        <v>0.0</v>
      </c>
      <c r="G832" s="11">
        <v>0.0</v>
      </c>
      <c r="H832" s="11">
        <v>39.0</v>
      </c>
      <c r="I832" s="11">
        <v>0.0</v>
      </c>
      <c r="J832" s="11">
        <v>0.0</v>
      </c>
      <c r="K832" s="11">
        <f t="shared" si="1"/>
        <v>79</v>
      </c>
      <c r="L832" s="11">
        <f t="shared" si="2"/>
        <v>9.75</v>
      </c>
    </row>
    <row r="833" ht="15.75" customHeight="1">
      <c r="A833" s="10" t="s">
        <v>1772</v>
      </c>
      <c r="B833" s="10" t="s">
        <v>1773</v>
      </c>
      <c r="C833" s="11">
        <v>1120.0</v>
      </c>
      <c r="D833" s="11">
        <v>2760.0</v>
      </c>
      <c r="E833" s="11">
        <v>2156.0</v>
      </c>
      <c r="F833" s="11">
        <v>160.0</v>
      </c>
      <c r="G833" s="11">
        <v>0.0</v>
      </c>
      <c r="H833" s="11">
        <v>2120.0</v>
      </c>
      <c r="I833" s="11">
        <v>2176.0</v>
      </c>
      <c r="J833" s="11">
        <v>1560.0</v>
      </c>
      <c r="K833" s="11">
        <f t="shared" si="1"/>
        <v>12052</v>
      </c>
      <c r="L833" s="11">
        <f t="shared" si="2"/>
        <v>1464</v>
      </c>
    </row>
    <row r="834" ht="15.75" customHeight="1">
      <c r="A834" s="10" t="s">
        <v>1774</v>
      </c>
      <c r="B834" s="10" t="s">
        <v>1775</v>
      </c>
      <c r="C834" s="11">
        <v>0.0</v>
      </c>
      <c r="D834" s="11">
        <v>0.0</v>
      </c>
      <c r="E834" s="11">
        <v>100.0</v>
      </c>
      <c r="F834" s="11">
        <v>1269.9</v>
      </c>
      <c r="G834" s="11">
        <v>50.0</v>
      </c>
      <c r="H834" s="11">
        <v>0.0</v>
      </c>
      <c r="I834" s="11">
        <v>0.0</v>
      </c>
      <c r="J834" s="11">
        <v>0.0</v>
      </c>
      <c r="K834" s="11">
        <f t="shared" si="1"/>
        <v>1419.9</v>
      </c>
      <c r="L834" s="11">
        <f t="shared" si="2"/>
        <v>12.5</v>
      </c>
    </row>
    <row r="835" ht="15.75" customHeight="1">
      <c r="A835" s="10" t="s">
        <v>1776</v>
      </c>
      <c r="B835" s="10" t="s">
        <v>1777</v>
      </c>
      <c r="C835" s="11">
        <v>0.0</v>
      </c>
      <c r="D835" s="11">
        <v>0.0</v>
      </c>
      <c r="E835" s="11">
        <v>0.0</v>
      </c>
      <c r="F835" s="11">
        <v>0.0</v>
      </c>
      <c r="G835" s="11">
        <v>0.0</v>
      </c>
      <c r="H835" s="11">
        <v>0.0</v>
      </c>
      <c r="I835" s="11">
        <v>0.0</v>
      </c>
      <c r="J835" s="11">
        <v>0.0</v>
      </c>
      <c r="K835" s="11">
        <f t="shared" si="1"/>
        <v>0</v>
      </c>
      <c r="L835" s="11">
        <f t="shared" si="2"/>
        <v>0</v>
      </c>
    </row>
    <row r="836" ht="15.75" customHeight="1">
      <c r="A836" s="10" t="s">
        <v>1778</v>
      </c>
      <c r="B836" s="10" t="s">
        <v>1779</v>
      </c>
      <c r="C836" s="11">
        <v>0.0</v>
      </c>
      <c r="D836" s="11">
        <v>0.0</v>
      </c>
      <c r="E836" s="11">
        <v>0.0</v>
      </c>
      <c r="F836" s="11">
        <v>40.0</v>
      </c>
      <c r="G836" s="11">
        <v>0.0</v>
      </c>
      <c r="H836" s="11">
        <v>75.0</v>
      </c>
      <c r="I836" s="11">
        <v>0.0</v>
      </c>
      <c r="J836" s="11">
        <v>40.0</v>
      </c>
      <c r="K836" s="11">
        <f t="shared" si="1"/>
        <v>155</v>
      </c>
      <c r="L836" s="11">
        <f t="shared" si="2"/>
        <v>28.75</v>
      </c>
    </row>
    <row r="837" ht="15.75" customHeight="1">
      <c r="A837" s="10" t="s">
        <v>1780</v>
      </c>
      <c r="B837" s="10" t="s">
        <v>1781</v>
      </c>
      <c r="C837" s="11">
        <v>0.0</v>
      </c>
      <c r="D837" s="11">
        <v>0.0</v>
      </c>
      <c r="E837" s="11">
        <v>0.0</v>
      </c>
      <c r="F837" s="11">
        <v>0.0</v>
      </c>
      <c r="G837" s="11">
        <v>0.0</v>
      </c>
      <c r="H837" s="11">
        <v>0.0</v>
      </c>
      <c r="I837" s="11">
        <v>0.0</v>
      </c>
      <c r="J837" s="11">
        <v>0.0</v>
      </c>
      <c r="K837" s="11">
        <f t="shared" si="1"/>
        <v>0</v>
      </c>
      <c r="L837" s="11">
        <f t="shared" si="2"/>
        <v>0</v>
      </c>
    </row>
    <row r="838" ht="15.75" customHeight="1">
      <c r="A838" s="10" t="s">
        <v>1782</v>
      </c>
      <c r="B838" s="10" t="s">
        <v>1783</v>
      </c>
      <c r="C838" s="11">
        <v>40.0</v>
      </c>
      <c r="D838" s="11">
        <v>40.0</v>
      </c>
      <c r="E838" s="11">
        <v>98.0</v>
      </c>
      <c r="F838" s="11">
        <v>0.0</v>
      </c>
      <c r="G838" s="11">
        <v>40.0</v>
      </c>
      <c r="H838" s="11">
        <v>0.0</v>
      </c>
      <c r="I838" s="11">
        <v>80.0</v>
      </c>
      <c r="J838" s="11">
        <v>0.0</v>
      </c>
      <c r="K838" s="11">
        <f t="shared" si="1"/>
        <v>298</v>
      </c>
      <c r="L838" s="11">
        <f t="shared" si="2"/>
        <v>30</v>
      </c>
    </row>
    <row r="839" ht="15.75" customHeight="1">
      <c r="A839" s="10" t="s">
        <v>1785</v>
      </c>
      <c r="B839" s="10" t="s">
        <v>1786</v>
      </c>
      <c r="C839" s="11">
        <v>40.0</v>
      </c>
      <c r="D839" s="11">
        <v>40.0</v>
      </c>
      <c r="E839" s="11">
        <v>0.0</v>
      </c>
      <c r="F839" s="11">
        <v>0.0</v>
      </c>
      <c r="G839" s="11">
        <v>0.0</v>
      </c>
      <c r="H839" s="11">
        <v>80.0</v>
      </c>
      <c r="I839" s="11">
        <v>0.0</v>
      </c>
      <c r="J839" s="11">
        <v>0.0</v>
      </c>
      <c r="K839" s="11">
        <f t="shared" si="1"/>
        <v>160</v>
      </c>
      <c r="L839" s="11">
        <f t="shared" si="2"/>
        <v>20</v>
      </c>
    </row>
    <row r="840" ht="15.75" customHeight="1">
      <c r="A840" s="10" t="s">
        <v>1787</v>
      </c>
      <c r="B840" s="10" t="s">
        <v>1788</v>
      </c>
      <c r="C840" s="11">
        <v>40.0</v>
      </c>
      <c r="D840" s="11">
        <v>0.0</v>
      </c>
      <c r="E840" s="11">
        <v>0.0</v>
      </c>
      <c r="F840" s="11">
        <v>0.0</v>
      </c>
      <c r="G840" s="11">
        <v>0.0</v>
      </c>
      <c r="H840" s="11">
        <v>0.0</v>
      </c>
      <c r="I840" s="11">
        <v>0.0</v>
      </c>
      <c r="J840" s="11">
        <v>0.0</v>
      </c>
      <c r="K840" s="11">
        <f t="shared" si="1"/>
        <v>40</v>
      </c>
      <c r="L840" s="11">
        <f t="shared" si="2"/>
        <v>0</v>
      </c>
    </row>
    <row r="841" ht="15.75" customHeight="1">
      <c r="A841" s="10" t="s">
        <v>1789</v>
      </c>
      <c r="B841" s="10" t="s">
        <v>1790</v>
      </c>
      <c r="C841" s="11">
        <v>160.0</v>
      </c>
      <c r="D841" s="11">
        <v>80.0</v>
      </c>
      <c r="E841" s="11">
        <v>160.0</v>
      </c>
      <c r="F841" s="11">
        <v>63.0</v>
      </c>
      <c r="G841" s="11">
        <v>40.0</v>
      </c>
      <c r="H841" s="11">
        <v>40.0</v>
      </c>
      <c r="I841" s="11">
        <v>40.0</v>
      </c>
      <c r="J841" s="11">
        <v>0.0</v>
      </c>
      <c r="K841" s="11">
        <f t="shared" si="1"/>
        <v>583</v>
      </c>
      <c r="L841" s="11">
        <f t="shared" si="2"/>
        <v>30</v>
      </c>
    </row>
    <row r="842" ht="15.75" customHeight="1">
      <c r="A842" s="10" t="s">
        <v>1791</v>
      </c>
      <c r="B842" s="10" t="s">
        <v>1792</v>
      </c>
      <c r="C842" s="11">
        <v>0.0</v>
      </c>
      <c r="D842" s="11">
        <v>0.0</v>
      </c>
      <c r="E842" s="11">
        <v>0.0</v>
      </c>
      <c r="F842" s="11">
        <v>0.0</v>
      </c>
      <c r="G842" s="11">
        <v>0.0</v>
      </c>
      <c r="H842" s="11">
        <v>0.0</v>
      </c>
      <c r="I842" s="11">
        <v>0.0</v>
      </c>
      <c r="J842" s="11">
        <v>0.0</v>
      </c>
      <c r="K842" s="11">
        <f t="shared" si="1"/>
        <v>0</v>
      </c>
      <c r="L842" s="11">
        <f t="shared" si="2"/>
        <v>0</v>
      </c>
    </row>
    <row r="843" ht="15.75" customHeight="1">
      <c r="A843" s="10" t="s">
        <v>1793</v>
      </c>
      <c r="B843" s="10" t="s">
        <v>1794</v>
      </c>
      <c r="C843" s="11">
        <v>0.0</v>
      </c>
      <c r="D843" s="11">
        <v>0.0</v>
      </c>
      <c r="E843" s="11">
        <v>0.0</v>
      </c>
      <c r="F843" s="11">
        <v>0.0</v>
      </c>
      <c r="G843" s="11">
        <v>0.0</v>
      </c>
      <c r="H843" s="11">
        <v>0.0</v>
      </c>
      <c r="I843" s="11">
        <v>0.0</v>
      </c>
      <c r="J843" s="11">
        <v>0.0</v>
      </c>
      <c r="K843" s="11">
        <f t="shared" si="1"/>
        <v>0</v>
      </c>
      <c r="L843" s="11">
        <f t="shared" si="2"/>
        <v>0</v>
      </c>
    </row>
    <row r="844" ht="15.75" customHeight="1">
      <c r="A844" s="10" t="s">
        <v>1795</v>
      </c>
      <c r="B844" s="10" t="s">
        <v>1796</v>
      </c>
      <c r="C844" s="11">
        <v>0.0</v>
      </c>
      <c r="D844" s="11">
        <v>0.0</v>
      </c>
      <c r="E844" s="11">
        <v>0.0</v>
      </c>
      <c r="F844" s="11">
        <v>0.0</v>
      </c>
      <c r="G844" s="11">
        <v>0.0</v>
      </c>
      <c r="H844" s="11">
        <v>0.0</v>
      </c>
      <c r="I844" s="11">
        <v>0.0</v>
      </c>
      <c r="J844" s="11">
        <v>0.0</v>
      </c>
      <c r="K844" s="11">
        <f t="shared" si="1"/>
        <v>0</v>
      </c>
      <c r="L844" s="11">
        <f t="shared" si="2"/>
        <v>0</v>
      </c>
    </row>
    <row r="845" ht="15.75" customHeight="1">
      <c r="A845" s="10" t="s">
        <v>1797</v>
      </c>
      <c r="B845" s="10" t="s">
        <v>1798</v>
      </c>
      <c r="C845" s="11">
        <v>0.0</v>
      </c>
      <c r="D845" s="11">
        <v>0.0</v>
      </c>
      <c r="E845" s="11">
        <v>0.0</v>
      </c>
      <c r="F845" s="11">
        <v>0.0</v>
      </c>
      <c r="G845" s="11">
        <v>0.0</v>
      </c>
      <c r="H845" s="11">
        <v>0.0</v>
      </c>
      <c r="I845" s="11">
        <v>0.0</v>
      </c>
      <c r="J845" s="11">
        <v>0.0</v>
      </c>
      <c r="K845" s="11">
        <f t="shared" si="1"/>
        <v>0</v>
      </c>
      <c r="L845" s="11">
        <f t="shared" si="2"/>
        <v>0</v>
      </c>
    </row>
    <row r="846" ht="15.75" customHeight="1">
      <c r="A846" s="10" t="s">
        <v>1799</v>
      </c>
      <c r="B846" s="10" t="s">
        <v>1800</v>
      </c>
      <c r="C846" s="11">
        <v>0.0</v>
      </c>
      <c r="D846" s="11">
        <v>0.0</v>
      </c>
      <c r="E846" s="11">
        <v>0.0</v>
      </c>
      <c r="F846" s="11">
        <v>0.0</v>
      </c>
      <c r="G846" s="11">
        <v>0.0</v>
      </c>
      <c r="H846" s="11">
        <v>0.0</v>
      </c>
      <c r="I846" s="11">
        <v>0.0</v>
      </c>
      <c r="J846" s="11">
        <v>0.0</v>
      </c>
      <c r="K846" s="11">
        <f t="shared" si="1"/>
        <v>0</v>
      </c>
      <c r="L846" s="11">
        <f t="shared" si="2"/>
        <v>0</v>
      </c>
    </row>
    <row r="847" ht="15.75" customHeight="1">
      <c r="A847" s="10" t="s">
        <v>1801</v>
      </c>
      <c r="B847" s="10" t="s">
        <v>1802</v>
      </c>
      <c r="C847" s="11">
        <v>750.0</v>
      </c>
      <c r="D847" s="11">
        <v>500.0</v>
      </c>
      <c r="E847" s="11">
        <v>750.0</v>
      </c>
      <c r="F847" s="11">
        <v>0.0</v>
      </c>
      <c r="G847" s="11">
        <v>250.0</v>
      </c>
      <c r="H847" s="11">
        <v>720.0</v>
      </c>
      <c r="I847" s="11">
        <v>0.0</v>
      </c>
      <c r="J847" s="11">
        <v>0.0</v>
      </c>
      <c r="K847" s="11">
        <f t="shared" si="1"/>
        <v>2970</v>
      </c>
      <c r="L847" s="11">
        <f t="shared" si="2"/>
        <v>242.5</v>
      </c>
    </row>
    <row r="848" ht="15.75" customHeight="1">
      <c r="A848" s="10" t="s">
        <v>1803</v>
      </c>
      <c r="B848" s="10" t="s">
        <v>1804</v>
      </c>
      <c r="C848" s="11">
        <v>750.0</v>
      </c>
      <c r="D848" s="11">
        <v>0.0</v>
      </c>
      <c r="E848" s="11">
        <v>750.0</v>
      </c>
      <c r="F848" s="11">
        <v>1000.0</v>
      </c>
      <c r="G848" s="11">
        <v>500.0</v>
      </c>
      <c r="H848" s="11">
        <v>0.0</v>
      </c>
      <c r="I848" s="11">
        <v>0.0</v>
      </c>
      <c r="J848" s="11">
        <v>250.0</v>
      </c>
      <c r="K848" s="11">
        <f t="shared" si="1"/>
        <v>3250</v>
      </c>
      <c r="L848" s="11">
        <f t="shared" si="2"/>
        <v>187.5</v>
      </c>
    </row>
    <row r="849" ht="15.75" customHeight="1">
      <c r="A849" s="10" t="s">
        <v>1805</v>
      </c>
      <c r="B849" s="10" t="s">
        <v>1806</v>
      </c>
      <c r="C849" s="11">
        <v>2000.0</v>
      </c>
      <c r="D849" s="11">
        <v>750.0</v>
      </c>
      <c r="E849" s="11">
        <v>2000.0</v>
      </c>
      <c r="F849" s="11">
        <v>1500.0</v>
      </c>
      <c r="G849" s="11">
        <v>1750.0</v>
      </c>
      <c r="H849" s="11">
        <v>500.0</v>
      </c>
      <c r="I849" s="11">
        <v>1000.0</v>
      </c>
      <c r="J849" s="11">
        <v>500.0</v>
      </c>
      <c r="K849" s="11">
        <f t="shared" si="1"/>
        <v>10000</v>
      </c>
      <c r="L849" s="11">
        <f t="shared" si="2"/>
        <v>937.5</v>
      </c>
    </row>
    <row r="850" ht="15.75" customHeight="1">
      <c r="A850" s="10" t="s">
        <v>1807</v>
      </c>
      <c r="B850" s="10" t="s">
        <v>1808</v>
      </c>
      <c r="C850" s="11">
        <v>0.0</v>
      </c>
      <c r="D850" s="11">
        <v>0.0</v>
      </c>
      <c r="E850" s="11">
        <v>0.0</v>
      </c>
      <c r="F850" s="11">
        <v>0.0</v>
      </c>
      <c r="G850" s="11">
        <v>0.0</v>
      </c>
      <c r="H850" s="11">
        <v>0.0</v>
      </c>
      <c r="I850" s="11">
        <v>0.0</v>
      </c>
      <c r="J850" s="11">
        <v>0.0</v>
      </c>
      <c r="K850" s="11">
        <f t="shared" si="1"/>
        <v>0</v>
      </c>
      <c r="L850" s="11">
        <f t="shared" si="2"/>
        <v>0</v>
      </c>
    </row>
    <row r="851" ht="15.75" customHeight="1">
      <c r="A851" s="10" t="s">
        <v>1809</v>
      </c>
      <c r="B851" s="10" t="s">
        <v>1810</v>
      </c>
      <c r="C851" s="11">
        <v>0.0</v>
      </c>
      <c r="D851" s="11">
        <v>0.0</v>
      </c>
      <c r="E851" s="11">
        <v>0.0</v>
      </c>
      <c r="F851" s="11">
        <v>0.0</v>
      </c>
      <c r="G851" s="11">
        <v>0.0</v>
      </c>
      <c r="H851" s="11">
        <v>0.0</v>
      </c>
      <c r="I851" s="11">
        <v>0.0</v>
      </c>
      <c r="J851" s="11">
        <v>0.0</v>
      </c>
      <c r="K851" s="11">
        <f t="shared" si="1"/>
        <v>0</v>
      </c>
      <c r="L851" s="11">
        <f t="shared" si="2"/>
        <v>0</v>
      </c>
    </row>
    <row r="852" ht="15.75" customHeight="1">
      <c r="A852" s="10" t="s">
        <v>1811</v>
      </c>
      <c r="B852" s="10" t="s">
        <v>1812</v>
      </c>
      <c r="C852" s="11">
        <v>0.0</v>
      </c>
      <c r="D852" s="11">
        <v>0.0</v>
      </c>
      <c r="E852" s="11">
        <v>0.0</v>
      </c>
      <c r="F852" s="11">
        <v>0.0</v>
      </c>
      <c r="G852" s="11">
        <v>0.0</v>
      </c>
      <c r="H852" s="11">
        <v>0.0</v>
      </c>
      <c r="I852" s="11">
        <v>0.0</v>
      </c>
      <c r="J852" s="11">
        <v>0.0</v>
      </c>
      <c r="K852" s="11">
        <f t="shared" si="1"/>
        <v>0</v>
      </c>
      <c r="L852" s="11">
        <f t="shared" si="2"/>
        <v>0</v>
      </c>
    </row>
    <row r="853" ht="15.75" customHeight="1">
      <c r="A853" s="10" t="s">
        <v>1813</v>
      </c>
      <c r="B853" s="10" t="s">
        <v>1814</v>
      </c>
      <c r="C853" s="11">
        <v>0.0</v>
      </c>
      <c r="D853" s="11">
        <v>0.0</v>
      </c>
      <c r="E853" s="11">
        <v>0.0</v>
      </c>
      <c r="F853" s="11">
        <v>0.0</v>
      </c>
      <c r="G853" s="11">
        <v>0.0</v>
      </c>
      <c r="H853" s="11">
        <v>0.0</v>
      </c>
      <c r="I853" s="11">
        <v>0.0</v>
      </c>
      <c r="J853" s="11">
        <v>0.0</v>
      </c>
      <c r="K853" s="11">
        <f t="shared" si="1"/>
        <v>0</v>
      </c>
      <c r="L853" s="11">
        <f t="shared" si="2"/>
        <v>0</v>
      </c>
    </row>
    <row r="854" ht="15.75" customHeight="1">
      <c r="A854" s="10" t="s">
        <v>1815</v>
      </c>
      <c r="B854" s="10" t="s">
        <v>1816</v>
      </c>
      <c r="C854" s="11">
        <v>0.0</v>
      </c>
      <c r="D854" s="11">
        <v>0.0</v>
      </c>
      <c r="E854" s="11">
        <v>0.0</v>
      </c>
      <c r="F854" s="11">
        <v>0.0</v>
      </c>
      <c r="G854" s="11">
        <v>0.0</v>
      </c>
      <c r="H854" s="11">
        <v>0.0</v>
      </c>
      <c r="I854" s="11">
        <v>0.0</v>
      </c>
      <c r="J854" s="11">
        <v>0.0</v>
      </c>
      <c r="K854" s="11">
        <f t="shared" si="1"/>
        <v>0</v>
      </c>
      <c r="L854" s="11">
        <f t="shared" si="2"/>
        <v>0</v>
      </c>
    </row>
    <row r="855" ht="15.75" customHeight="1">
      <c r="A855" s="10" t="s">
        <v>1817</v>
      </c>
      <c r="B855" s="10" t="s">
        <v>1818</v>
      </c>
      <c r="C855" s="11">
        <v>0.0</v>
      </c>
      <c r="D855" s="11">
        <v>0.0</v>
      </c>
      <c r="E855" s="11">
        <v>0.0</v>
      </c>
      <c r="F855" s="11">
        <v>0.0</v>
      </c>
      <c r="G855" s="11">
        <v>0.0</v>
      </c>
      <c r="H855" s="11">
        <v>0.0</v>
      </c>
      <c r="I855" s="11">
        <v>0.0</v>
      </c>
      <c r="J855" s="11">
        <v>0.0</v>
      </c>
      <c r="K855" s="11">
        <f t="shared" si="1"/>
        <v>0</v>
      </c>
      <c r="L855" s="11">
        <f t="shared" si="2"/>
        <v>0</v>
      </c>
    </row>
    <row r="856" ht="15.75" customHeight="1">
      <c r="A856" s="10" t="s">
        <v>1819</v>
      </c>
      <c r="B856" s="10" t="s">
        <v>1820</v>
      </c>
      <c r="C856" s="11">
        <v>0.0</v>
      </c>
      <c r="D856" s="11">
        <v>0.0</v>
      </c>
      <c r="E856" s="11">
        <v>0.0</v>
      </c>
      <c r="F856" s="11">
        <v>0.0</v>
      </c>
      <c r="G856" s="11">
        <v>0.0</v>
      </c>
      <c r="H856" s="11">
        <v>0.0</v>
      </c>
      <c r="I856" s="11">
        <v>0.0</v>
      </c>
      <c r="J856" s="11">
        <v>0.0</v>
      </c>
      <c r="K856" s="11">
        <f t="shared" si="1"/>
        <v>0</v>
      </c>
      <c r="L856" s="11">
        <f t="shared" si="2"/>
        <v>0</v>
      </c>
    </row>
    <row r="857" ht="15.75" customHeight="1">
      <c r="A857" s="10" t="s">
        <v>1821</v>
      </c>
      <c r="B857" s="10" t="s">
        <v>1822</v>
      </c>
      <c r="C857" s="11">
        <v>0.0</v>
      </c>
      <c r="D857" s="11">
        <v>0.0</v>
      </c>
      <c r="E857" s="11">
        <v>0.0</v>
      </c>
      <c r="F857" s="11">
        <v>0.0</v>
      </c>
      <c r="G857" s="11">
        <v>0.0</v>
      </c>
      <c r="H857" s="11">
        <v>0.0</v>
      </c>
      <c r="I857" s="11">
        <v>0.0</v>
      </c>
      <c r="J857" s="11">
        <v>0.0</v>
      </c>
      <c r="K857" s="11">
        <f t="shared" si="1"/>
        <v>0</v>
      </c>
      <c r="L857" s="11">
        <f t="shared" si="2"/>
        <v>0</v>
      </c>
    </row>
    <row r="858" ht="15.75" customHeight="1">
      <c r="A858" s="10" t="s">
        <v>1823</v>
      </c>
      <c r="B858" s="10" t="s">
        <v>1824</v>
      </c>
      <c r="C858" s="11">
        <v>0.0</v>
      </c>
      <c r="D858" s="11">
        <v>0.0</v>
      </c>
      <c r="E858" s="11">
        <v>0.0</v>
      </c>
      <c r="F858" s="11">
        <v>0.0</v>
      </c>
      <c r="G858" s="11">
        <v>0.0</v>
      </c>
      <c r="H858" s="11">
        <v>0.0</v>
      </c>
      <c r="I858" s="11">
        <v>0.0</v>
      </c>
      <c r="J858" s="11">
        <v>0.0</v>
      </c>
      <c r="K858" s="11">
        <f t="shared" si="1"/>
        <v>0</v>
      </c>
      <c r="L858" s="11">
        <f t="shared" si="2"/>
        <v>0</v>
      </c>
    </row>
    <row r="859" ht="15.75" customHeight="1">
      <c r="A859" s="10" t="s">
        <v>1825</v>
      </c>
      <c r="B859" s="10" t="s">
        <v>1826</v>
      </c>
      <c r="C859" s="11">
        <v>0.0</v>
      </c>
      <c r="D859" s="11">
        <v>0.0</v>
      </c>
      <c r="E859" s="11">
        <v>0.0</v>
      </c>
      <c r="F859" s="11">
        <v>0.0</v>
      </c>
      <c r="G859" s="11">
        <v>0.0</v>
      </c>
      <c r="H859" s="11">
        <v>0.0</v>
      </c>
      <c r="I859" s="11">
        <v>0.0</v>
      </c>
      <c r="J859" s="11">
        <v>0.0</v>
      </c>
      <c r="K859" s="11">
        <f t="shared" si="1"/>
        <v>0</v>
      </c>
      <c r="L859" s="11">
        <f t="shared" si="2"/>
        <v>0</v>
      </c>
    </row>
    <row r="860" ht="15.75" customHeight="1">
      <c r="A860" s="10" t="s">
        <v>1827</v>
      </c>
      <c r="B860" s="10" t="s">
        <v>1828</v>
      </c>
      <c r="C860" s="11">
        <v>150.0</v>
      </c>
      <c r="D860" s="11">
        <v>0.0</v>
      </c>
      <c r="E860" s="11">
        <v>50.0</v>
      </c>
      <c r="F860" s="11">
        <v>0.0</v>
      </c>
      <c r="G860" s="11">
        <v>50.0</v>
      </c>
      <c r="H860" s="11">
        <v>0.0</v>
      </c>
      <c r="I860" s="11">
        <v>50.0</v>
      </c>
      <c r="J860" s="11">
        <v>0.0</v>
      </c>
      <c r="K860" s="11">
        <f t="shared" si="1"/>
        <v>300</v>
      </c>
      <c r="L860" s="11">
        <f t="shared" si="2"/>
        <v>25</v>
      </c>
    </row>
    <row r="861" ht="15.75" customHeight="1">
      <c r="A861" s="10" t="s">
        <v>1829</v>
      </c>
      <c r="B861" s="10" t="s">
        <v>1830</v>
      </c>
      <c r="C861" s="11">
        <v>50.0</v>
      </c>
      <c r="D861" s="11">
        <v>98.0</v>
      </c>
      <c r="E861" s="11">
        <v>49.0</v>
      </c>
      <c r="F861" s="11">
        <v>100.0</v>
      </c>
      <c r="G861" s="11">
        <v>155.5</v>
      </c>
      <c r="H861" s="11">
        <v>50.0</v>
      </c>
      <c r="I861" s="11">
        <v>383.0</v>
      </c>
      <c r="J861" s="11">
        <v>354.0</v>
      </c>
      <c r="K861" s="11">
        <f t="shared" si="1"/>
        <v>1239.5</v>
      </c>
      <c r="L861" s="11">
        <f t="shared" si="2"/>
        <v>235.625</v>
      </c>
    </row>
    <row r="862" ht="15.75" customHeight="1">
      <c r="A862" s="10" t="s">
        <v>1831</v>
      </c>
      <c r="B862" s="10" t="s">
        <v>1832</v>
      </c>
      <c r="C862" s="11">
        <v>100.0</v>
      </c>
      <c r="D862" s="11">
        <v>146.0</v>
      </c>
      <c r="E862" s="11">
        <v>50.0</v>
      </c>
      <c r="F862" s="11">
        <v>171.5</v>
      </c>
      <c r="G862" s="11">
        <v>100.0</v>
      </c>
      <c r="H862" s="11">
        <v>0.0</v>
      </c>
      <c r="I862" s="11">
        <v>383.6</v>
      </c>
      <c r="J862" s="11">
        <v>0.0</v>
      </c>
      <c r="K862" s="11">
        <f t="shared" si="1"/>
        <v>951.1</v>
      </c>
      <c r="L862" s="11">
        <f t="shared" si="2"/>
        <v>120.9</v>
      </c>
    </row>
    <row r="863" ht="15.75" customHeight="1">
      <c r="A863" s="10" t="s">
        <v>1833</v>
      </c>
      <c r="B863" s="10" t="s">
        <v>1834</v>
      </c>
      <c r="C863" s="11">
        <v>0.0</v>
      </c>
      <c r="D863" s="11">
        <v>0.0</v>
      </c>
      <c r="E863" s="11">
        <v>0.0</v>
      </c>
      <c r="F863" s="11">
        <v>0.0</v>
      </c>
      <c r="G863" s="11">
        <v>50.0</v>
      </c>
      <c r="H863" s="11">
        <v>50.0</v>
      </c>
      <c r="I863" s="11">
        <v>102.0</v>
      </c>
      <c r="J863" s="11">
        <v>0.0</v>
      </c>
      <c r="K863" s="11">
        <f t="shared" si="1"/>
        <v>202</v>
      </c>
      <c r="L863" s="11">
        <f t="shared" si="2"/>
        <v>50.5</v>
      </c>
    </row>
    <row r="864" ht="15.75" customHeight="1">
      <c r="A864" s="10" t="s">
        <v>1835</v>
      </c>
      <c r="B864" s="10" t="s">
        <v>1836</v>
      </c>
      <c r="C864" s="11">
        <v>50.0</v>
      </c>
      <c r="D864" s="11">
        <v>0.0</v>
      </c>
      <c r="E864" s="11">
        <v>0.0</v>
      </c>
      <c r="F864" s="11">
        <v>50.0</v>
      </c>
      <c r="G864" s="11">
        <v>0.0</v>
      </c>
      <c r="H864" s="11">
        <v>0.0</v>
      </c>
      <c r="I864" s="11">
        <v>144.0</v>
      </c>
      <c r="J864" s="11">
        <v>0.0</v>
      </c>
      <c r="K864" s="11">
        <f t="shared" si="1"/>
        <v>244</v>
      </c>
      <c r="L864" s="11">
        <f t="shared" si="2"/>
        <v>36</v>
      </c>
    </row>
    <row r="865" ht="15.75" customHeight="1">
      <c r="A865" s="10" t="s">
        <v>1837</v>
      </c>
      <c r="B865" s="10" t="s">
        <v>1838</v>
      </c>
      <c r="C865" s="11">
        <v>50.0</v>
      </c>
      <c r="D865" s="11">
        <v>50.0</v>
      </c>
      <c r="E865" s="11">
        <v>0.0</v>
      </c>
      <c r="F865" s="11">
        <v>0.0</v>
      </c>
      <c r="G865" s="11">
        <v>0.0</v>
      </c>
      <c r="H865" s="11">
        <v>0.0</v>
      </c>
      <c r="I865" s="11">
        <v>128.1</v>
      </c>
      <c r="J865" s="11">
        <v>50.0</v>
      </c>
      <c r="K865" s="11">
        <f t="shared" si="1"/>
        <v>278.1</v>
      </c>
      <c r="L865" s="11">
        <f t="shared" si="2"/>
        <v>44.525</v>
      </c>
    </row>
    <row r="866" ht="15.75" customHeight="1">
      <c r="A866" s="10" t="s">
        <v>1839</v>
      </c>
      <c r="B866" s="10" t="s">
        <v>1840</v>
      </c>
      <c r="C866" s="11">
        <v>40.0</v>
      </c>
      <c r="D866" s="11">
        <v>83.0</v>
      </c>
      <c r="E866" s="11">
        <v>30.0</v>
      </c>
      <c r="F866" s="11">
        <v>0.0</v>
      </c>
      <c r="G866" s="11">
        <v>40.0</v>
      </c>
      <c r="H866" s="11">
        <v>72.0</v>
      </c>
      <c r="I866" s="11">
        <v>0.0</v>
      </c>
      <c r="J866" s="11">
        <v>57.0</v>
      </c>
      <c r="K866" s="11">
        <f t="shared" si="1"/>
        <v>322</v>
      </c>
      <c r="L866" s="11">
        <f t="shared" si="2"/>
        <v>42.25</v>
      </c>
    </row>
    <row r="867" ht="15.75" customHeight="1">
      <c r="A867" s="10" t="s">
        <v>1841</v>
      </c>
      <c r="B867" s="10" t="s">
        <v>1842</v>
      </c>
      <c r="C867" s="11">
        <v>0.0</v>
      </c>
      <c r="D867" s="11">
        <v>0.0</v>
      </c>
      <c r="E867" s="11">
        <v>0.0</v>
      </c>
      <c r="F867" s="11">
        <v>0.0</v>
      </c>
      <c r="G867" s="11">
        <v>27.5</v>
      </c>
      <c r="H867" s="11">
        <v>0.0</v>
      </c>
      <c r="I867" s="11">
        <v>0.0</v>
      </c>
      <c r="J867" s="11">
        <v>30.0</v>
      </c>
      <c r="K867" s="11">
        <f t="shared" si="1"/>
        <v>57.5</v>
      </c>
      <c r="L867" s="11">
        <f t="shared" si="2"/>
        <v>14.375</v>
      </c>
    </row>
    <row r="868" ht="15.75" customHeight="1">
      <c r="A868" s="10" t="s">
        <v>1843</v>
      </c>
      <c r="B868" s="10" t="s">
        <v>1844</v>
      </c>
      <c r="C868" s="11">
        <v>80.0</v>
      </c>
      <c r="D868" s="11">
        <v>0.0</v>
      </c>
      <c r="E868" s="11">
        <v>37.5</v>
      </c>
      <c r="F868" s="11">
        <v>40.0</v>
      </c>
      <c r="G868" s="11">
        <v>0.0</v>
      </c>
      <c r="H868" s="11">
        <v>78.5</v>
      </c>
      <c r="I868" s="11">
        <v>40.0</v>
      </c>
      <c r="J868" s="11">
        <v>45.0</v>
      </c>
      <c r="K868" s="11">
        <f t="shared" si="1"/>
        <v>321</v>
      </c>
      <c r="L868" s="11">
        <f t="shared" si="2"/>
        <v>40.875</v>
      </c>
    </row>
    <row r="869" ht="15.75" customHeight="1">
      <c r="A869" s="10" t="s">
        <v>1845</v>
      </c>
      <c r="B869" s="10" t="s">
        <v>1846</v>
      </c>
      <c r="C869" s="11">
        <v>0.0</v>
      </c>
      <c r="D869" s="11">
        <v>42.0</v>
      </c>
      <c r="E869" s="11">
        <v>0.0</v>
      </c>
      <c r="F869" s="11">
        <v>0.0</v>
      </c>
      <c r="G869" s="11">
        <v>30.0</v>
      </c>
      <c r="H869" s="11">
        <v>0.0</v>
      </c>
      <c r="I869" s="11">
        <v>30.0</v>
      </c>
      <c r="J869" s="11">
        <v>0.0</v>
      </c>
      <c r="K869" s="11">
        <f t="shared" si="1"/>
        <v>102</v>
      </c>
      <c r="L869" s="11">
        <f t="shared" si="2"/>
        <v>15</v>
      </c>
    </row>
    <row r="870" ht="15.75" customHeight="1">
      <c r="A870" s="10" t="s">
        <v>1847</v>
      </c>
      <c r="B870" s="10" t="s">
        <v>1848</v>
      </c>
      <c r="C870" s="11">
        <v>0.0</v>
      </c>
      <c r="D870" s="11">
        <v>58.0</v>
      </c>
      <c r="E870" s="11">
        <v>0.0</v>
      </c>
      <c r="F870" s="11">
        <v>0.0</v>
      </c>
      <c r="G870" s="11">
        <v>30.0</v>
      </c>
      <c r="H870" s="11">
        <v>0.0</v>
      </c>
      <c r="I870" s="11">
        <v>0.0</v>
      </c>
      <c r="J870" s="11">
        <v>30.0</v>
      </c>
      <c r="K870" s="11">
        <f t="shared" si="1"/>
        <v>118</v>
      </c>
      <c r="L870" s="11">
        <f t="shared" si="2"/>
        <v>15</v>
      </c>
    </row>
    <row r="871" ht="15.75" customHeight="1">
      <c r="A871" s="10" t="s">
        <v>1849</v>
      </c>
      <c r="B871" s="10" t="s">
        <v>1850</v>
      </c>
      <c r="C871" s="11">
        <v>0.0</v>
      </c>
      <c r="D871" s="11">
        <v>0.0</v>
      </c>
      <c r="E871" s="11">
        <v>0.0</v>
      </c>
      <c r="F871" s="11">
        <v>0.0</v>
      </c>
      <c r="G871" s="11">
        <v>0.0</v>
      </c>
      <c r="H871" s="11">
        <v>0.0</v>
      </c>
      <c r="I871" s="11">
        <v>0.0</v>
      </c>
      <c r="J871" s="11">
        <v>0.0</v>
      </c>
      <c r="K871" s="11">
        <f t="shared" si="1"/>
        <v>0</v>
      </c>
      <c r="L871" s="11">
        <f t="shared" si="2"/>
        <v>0</v>
      </c>
    </row>
    <row r="872" ht="15.75" customHeight="1">
      <c r="A872" s="10" t="s">
        <v>1851</v>
      </c>
      <c r="B872" s="10" t="s">
        <v>1852</v>
      </c>
      <c r="C872" s="11">
        <v>0.0</v>
      </c>
      <c r="D872" s="11">
        <v>0.0</v>
      </c>
      <c r="E872" s="11">
        <v>0.0</v>
      </c>
      <c r="F872" s="11">
        <v>0.0</v>
      </c>
      <c r="G872" s="11">
        <v>0.0</v>
      </c>
      <c r="H872" s="11">
        <v>0.0</v>
      </c>
      <c r="I872" s="11">
        <v>0.0</v>
      </c>
      <c r="J872" s="11">
        <v>0.0</v>
      </c>
      <c r="K872" s="11">
        <f t="shared" si="1"/>
        <v>0</v>
      </c>
      <c r="L872" s="11">
        <f t="shared" si="2"/>
        <v>0</v>
      </c>
    </row>
    <row r="873" ht="15.75" customHeight="1">
      <c r="A873" s="10" t="s">
        <v>1854</v>
      </c>
      <c r="B873" s="10" t="s">
        <v>1855</v>
      </c>
      <c r="C873" s="11">
        <v>100.0</v>
      </c>
      <c r="D873" s="11">
        <v>54.0</v>
      </c>
      <c r="E873" s="11">
        <v>0.0</v>
      </c>
      <c r="F873" s="11">
        <v>0.0</v>
      </c>
      <c r="G873" s="11">
        <v>0.0</v>
      </c>
      <c r="H873" s="11">
        <v>0.0</v>
      </c>
      <c r="I873" s="11">
        <v>0.0</v>
      </c>
      <c r="J873" s="11">
        <v>64.0</v>
      </c>
      <c r="K873" s="11">
        <f t="shared" si="1"/>
        <v>218</v>
      </c>
      <c r="L873" s="11">
        <f t="shared" si="2"/>
        <v>16</v>
      </c>
    </row>
    <row r="874" ht="15.75" customHeight="1">
      <c r="A874" s="10" t="s">
        <v>1856</v>
      </c>
      <c r="B874" s="10" t="s">
        <v>1857</v>
      </c>
      <c r="C874" s="11">
        <v>0.0</v>
      </c>
      <c r="D874" s="11">
        <v>50.0</v>
      </c>
      <c r="E874" s="11">
        <v>0.0</v>
      </c>
      <c r="F874" s="11">
        <v>0.0</v>
      </c>
      <c r="G874" s="11">
        <v>102.0</v>
      </c>
      <c r="H874" s="11">
        <v>0.0</v>
      </c>
      <c r="I874" s="11">
        <v>50.0</v>
      </c>
      <c r="J874" s="11">
        <v>0.0</v>
      </c>
      <c r="K874" s="11">
        <f t="shared" si="1"/>
        <v>202</v>
      </c>
      <c r="L874" s="11">
        <f t="shared" si="2"/>
        <v>38</v>
      </c>
    </row>
    <row r="875" ht="15.75" customHeight="1">
      <c r="A875" s="10" t="s">
        <v>1858</v>
      </c>
      <c r="B875" s="10" t="s">
        <v>1859</v>
      </c>
      <c r="C875" s="11">
        <v>53.0</v>
      </c>
      <c r="D875" s="11">
        <v>101.0</v>
      </c>
      <c r="E875" s="11">
        <v>149.0</v>
      </c>
      <c r="F875" s="11">
        <v>0.0</v>
      </c>
      <c r="G875" s="11">
        <v>0.0</v>
      </c>
      <c r="H875" s="11">
        <v>109.0</v>
      </c>
      <c r="I875" s="11">
        <v>0.0</v>
      </c>
      <c r="J875" s="11">
        <v>0.0</v>
      </c>
      <c r="K875" s="11">
        <f t="shared" si="1"/>
        <v>412</v>
      </c>
      <c r="L875" s="11">
        <f t="shared" si="2"/>
        <v>27.25</v>
      </c>
    </row>
    <row r="876" ht="15.75" customHeight="1">
      <c r="A876" s="10" t="s">
        <v>1860</v>
      </c>
      <c r="B876" s="10" t="s">
        <v>1861</v>
      </c>
      <c r="C876" s="11">
        <v>50.0</v>
      </c>
      <c r="D876" s="11">
        <v>0.0</v>
      </c>
      <c r="E876" s="11">
        <v>0.0</v>
      </c>
      <c r="F876" s="11">
        <v>0.0</v>
      </c>
      <c r="G876" s="11">
        <v>0.0</v>
      </c>
      <c r="H876" s="11">
        <v>0.0</v>
      </c>
      <c r="I876" s="11">
        <v>50.0</v>
      </c>
      <c r="J876" s="11">
        <v>0.0</v>
      </c>
      <c r="K876" s="11">
        <f t="shared" si="1"/>
        <v>100</v>
      </c>
      <c r="L876" s="11">
        <f t="shared" si="2"/>
        <v>12.5</v>
      </c>
    </row>
    <row r="877" ht="15.75" customHeight="1">
      <c r="A877" s="10" t="s">
        <v>1862</v>
      </c>
      <c r="B877" s="10" t="s">
        <v>1863</v>
      </c>
      <c r="C877" s="11">
        <v>50.0</v>
      </c>
      <c r="D877" s="11">
        <v>64.0</v>
      </c>
      <c r="E877" s="11">
        <v>0.0</v>
      </c>
      <c r="F877" s="11">
        <v>0.0</v>
      </c>
      <c r="G877" s="11">
        <v>0.0</v>
      </c>
      <c r="H877" s="11">
        <v>0.0</v>
      </c>
      <c r="I877" s="11">
        <v>50.0</v>
      </c>
      <c r="J877" s="11">
        <v>50.0</v>
      </c>
      <c r="K877" s="11">
        <f t="shared" si="1"/>
        <v>214</v>
      </c>
      <c r="L877" s="11">
        <f t="shared" si="2"/>
        <v>25</v>
      </c>
    </row>
    <row r="878" ht="15.75" customHeight="1">
      <c r="A878" s="10" t="s">
        <v>1864</v>
      </c>
      <c r="B878" s="10" t="s">
        <v>1865</v>
      </c>
      <c r="C878" s="11">
        <v>160.0</v>
      </c>
      <c r="D878" s="11">
        <v>0.0</v>
      </c>
      <c r="E878" s="11">
        <v>0.0</v>
      </c>
      <c r="F878" s="11">
        <v>40.0</v>
      </c>
      <c r="G878" s="11">
        <v>0.0</v>
      </c>
      <c r="H878" s="11">
        <v>0.0</v>
      </c>
      <c r="I878" s="11">
        <v>0.0</v>
      </c>
      <c r="J878" s="11">
        <v>80.0</v>
      </c>
      <c r="K878" s="11">
        <f t="shared" si="1"/>
        <v>280</v>
      </c>
      <c r="L878" s="11">
        <f t="shared" si="2"/>
        <v>20</v>
      </c>
    </row>
    <row r="879" ht="15.75" customHeight="1">
      <c r="A879" s="10" t="s">
        <v>1866</v>
      </c>
      <c r="B879" s="10" t="s">
        <v>1867</v>
      </c>
      <c r="C879" s="11">
        <v>0.0</v>
      </c>
      <c r="D879" s="11">
        <v>0.0</v>
      </c>
      <c r="E879" s="11">
        <v>0.0</v>
      </c>
      <c r="F879" s="11">
        <v>0.0</v>
      </c>
      <c r="G879" s="11">
        <v>0.0</v>
      </c>
      <c r="H879" s="11">
        <v>0.0</v>
      </c>
      <c r="I879" s="11">
        <v>0.0</v>
      </c>
      <c r="J879" s="11">
        <v>0.0</v>
      </c>
      <c r="K879" s="11">
        <f t="shared" si="1"/>
        <v>0</v>
      </c>
      <c r="L879" s="11">
        <f t="shared" si="2"/>
        <v>0</v>
      </c>
    </row>
    <row r="880" ht="15.75" customHeight="1">
      <c r="A880" s="10" t="s">
        <v>1868</v>
      </c>
      <c r="B880" s="10" t="s">
        <v>1869</v>
      </c>
      <c r="C880" s="11">
        <v>0.0</v>
      </c>
      <c r="D880" s="11">
        <v>0.0</v>
      </c>
      <c r="E880" s="11">
        <v>0.0</v>
      </c>
      <c r="F880" s="11">
        <v>0.0</v>
      </c>
      <c r="G880" s="11">
        <v>0.0</v>
      </c>
      <c r="H880" s="11">
        <v>0.0</v>
      </c>
      <c r="I880" s="11">
        <v>0.0</v>
      </c>
      <c r="J880" s="11">
        <v>0.0</v>
      </c>
      <c r="K880" s="11">
        <f t="shared" si="1"/>
        <v>0</v>
      </c>
      <c r="L880" s="11">
        <f t="shared" si="2"/>
        <v>0</v>
      </c>
    </row>
    <row r="881" ht="15.75" customHeight="1">
      <c r="A881" s="10" t="s">
        <v>1870</v>
      </c>
      <c r="B881" s="10" t="s">
        <v>1871</v>
      </c>
      <c r="C881" s="11">
        <v>0.0</v>
      </c>
      <c r="D881" s="11">
        <v>0.0</v>
      </c>
      <c r="E881" s="11">
        <v>0.0</v>
      </c>
      <c r="F881" s="11">
        <v>0.0</v>
      </c>
      <c r="G881" s="11">
        <v>0.0</v>
      </c>
      <c r="H881" s="11">
        <v>0.0</v>
      </c>
      <c r="I881" s="11">
        <v>0.0</v>
      </c>
      <c r="J881" s="11">
        <v>0.0</v>
      </c>
      <c r="K881" s="11">
        <f t="shared" si="1"/>
        <v>0</v>
      </c>
      <c r="L881" s="11">
        <f t="shared" si="2"/>
        <v>0</v>
      </c>
    </row>
    <row r="882" ht="15.75" customHeight="1">
      <c r="A882" s="10" t="s">
        <v>1872</v>
      </c>
      <c r="B882" s="10" t="s">
        <v>1873</v>
      </c>
      <c r="C882" s="11">
        <v>0.0</v>
      </c>
      <c r="D882" s="11">
        <v>0.0</v>
      </c>
      <c r="E882" s="11">
        <v>0.0</v>
      </c>
      <c r="F882" s="11">
        <v>0.0</v>
      </c>
      <c r="G882" s="11">
        <v>0.0</v>
      </c>
      <c r="H882" s="11">
        <v>0.0</v>
      </c>
      <c r="I882" s="11">
        <v>0.0</v>
      </c>
      <c r="J882" s="11">
        <v>0.0</v>
      </c>
      <c r="K882" s="11">
        <f t="shared" si="1"/>
        <v>0</v>
      </c>
      <c r="L882" s="11">
        <f t="shared" si="2"/>
        <v>0</v>
      </c>
    </row>
    <row r="883" ht="15.75" customHeight="1">
      <c r="A883" s="10" t="s">
        <v>1874</v>
      </c>
      <c r="B883" s="10" t="s">
        <v>1875</v>
      </c>
      <c r="C883" s="11">
        <v>0.0</v>
      </c>
      <c r="D883" s="11">
        <v>0.0</v>
      </c>
      <c r="E883" s="11">
        <v>0.0</v>
      </c>
      <c r="F883" s="11">
        <v>0.0</v>
      </c>
      <c r="G883" s="11">
        <v>0.0</v>
      </c>
      <c r="H883" s="11">
        <v>0.0</v>
      </c>
      <c r="I883" s="11">
        <v>0.0</v>
      </c>
      <c r="J883" s="11">
        <v>0.0</v>
      </c>
      <c r="K883" s="11">
        <f t="shared" si="1"/>
        <v>0</v>
      </c>
      <c r="L883" s="11">
        <f t="shared" si="2"/>
        <v>0</v>
      </c>
    </row>
    <row r="884" ht="15.75" customHeight="1">
      <c r="A884" s="10" t="s">
        <v>1876</v>
      </c>
      <c r="B884" s="10" t="s">
        <v>1877</v>
      </c>
      <c r="C884" s="11">
        <v>0.0</v>
      </c>
      <c r="D884" s="11">
        <v>0.0</v>
      </c>
      <c r="E884" s="11">
        <v>0.0</v>
      </c>
      <c r="F884" s="11">
        <v>0.0</v>
      </c>
      <c r="G884" s="11">
        <v>0.0</v>
      </c>
      <c r="H884" s="11">
        <v>0.0</v>
      </c>
      <c r="I884" s="11">
        <v>0.0</v>
      </c>
      <c r="J884" s="11">
        <v>0.0</v>
      </c>
      <c r="K884" s="11">
        <f t="shared" si="1"/>
        <v>0</v>
      </c>
      <c r="L884" s="11">
        <f t="shared" si="2"/>
        <v>0</v>
      </c>
    </row>
    <row r="885" ht="15.75" customHeight="1">
      <c r="A885" s="10" t="s">
        <v>1878</v>
      </c>
      <c r="B885" s="10" t="s">
        <v>1879</v>
      </c>
      <c r="C885" s="11">
        <v>0.0</v>
      </c>
      <c r="D885" s="11">
        <v>0.0</v>
      </c>
      <c r="E885" s="11">
        <v>0.0</v>
      </c>
      <c r="F885" s="11">
        <v>0.0</v>
      </c>
      <c r="G885" s="11">
        <v>0.0</v>
      </c>
      <c r="H885" s="11">
        <v>0.0</v>
      </c>
      <c r="I885" s="11">
        <v>0.0</v>
      </c>
      <c r="J885" s="11">
        <v>0.0</v>
      </c>
      <c r="K885" s="11">
        <f t="shared" si="1"/>
        <v>0</v>
      </c>
      <c r="L885" s="11">
        <f t="shared" si="2"/>
        <v>0</v>
      </c>
    </row>
    <row r="886" ht="15.75" customHeight="1">
      <c r="A886" s="10" t="s">
        <v>1880</v>
      </c>
      <c r="B886" s="10" t="s">
        <v>1881</v>
      </c>
      <c r="C886" s="11">
        <v>0.0</v>
      </c>
      <c r="D886" s="11">
        <v>0.0</v>
      </c>
      <c r="E886" s="11">
        <v>0.0</v>
      </c>
      <c r="F886" s="11">
        <v>0.0</v>
      </c>
      <c r="G886" s="11">
        <v>0.0</v>
      </c>
      <c r="H886" s="11">
        <v>0.0</v>
      </c>
      <c r="I886" s="11">
        <v>0.0</v>
      </c>
      <c r="J886" s="11">
        <v>0.0</v>
      </c>
      <c r="K886" s="11">
        <f t="shared" si="1"/>
        <v>0</v>
      </c>
      <c r="L886" s="11">
        <f t="shared" si="2"/>
        <v>0</v>
      </c>
    </row>
    <row r="887" ht="15.75" customHeight="1">
      <c r="A887" s="10" t="s">
        <v>1882</v>
      </c>
      <c r="B887" s="10" t="s">
        <v>1883</v>
      </c>
      <c r="C887" s="11">
        <v>0.0</v>
      </c>
      <c r="D887" s="11">
        <v>0.0</v>
      </c>
      <c r="E887" s="11">
        <v>0.0</v>
      </c>
      <c r="F887" s="11">
        <v>0.0</v>
      </c>
      <c r="G887" s="11">
        <v>0.0</v>
      </c>
      <c r="H887" s="11">
        <v>0.0</v>
      </c>
      <c r="I887" s="11">
        <v>0.0</v>
      </c>
      <c r="J887" s="11">
        <v>0.0</v>
      </c>
      <c r="K887" s="11">
        <f t="shared" si="1"/>
        <v>0</v>
      </c>
      <c r="L887" s="11">
        <f t="shared" si="2"/>
        <v>0</v>
      </c>
    </row>
    <row r="888" ht="15.75" customHeight="1">
      <c r="A888" s="10" t="s">
        <v>1884</v>
      </c>
      <c r="B888" s="10" t="s">
        <v>1885</v>
      </c>
      <c r="C888" s="11">
        <v>0.0</v>
      </c>
      <c r="D888" s="11">
        <v>0.0</v>
      </c>
      <c r="E888" s="11">
        <v>0.0</v>
      </c>
      <c r="F888" s="11">
        <v>0.0</v>
      </c>
      <c r="G888" s="11">
        <v>0.0</v>
      </c>
      <c r="H888" s="11">
        <v>0.0</v>
      </c>
      <c r="I888" s="11">
        <v>0.0</v>
      </c>
      <c r="J888" s="11">
        <v>0.0</v>
      </c>
      <c r="K888" s="11">
        <f t="shared" si="1"/>
        <v>0</v>
      </c>
      <c r="L888" s="11">
        <f t="shared" si="2"/>
        <v>0</v>
      </c>
    </row>
    <row r="889" ht="15.75" customHeight="1">
      <c r="A889" s="10" t="s">
        <v>1886</v>
      </c>
      <c r="B889" s="10" t="s">
        <v>1887</v>
      </c>
      <c r="C889" s="11">
        <v>0.0</v>
      </c>
      <c r="D889" s="11">
        <v>0.0</v>
      </c>
      <c r="E889" s="11">
        <v>0.0</v>
      </c>
      <c r="F889" s="11">
        <v>0.0</v>
      </c>
      <c r="G889" s="11">
        <v>0.0</v>
      </c>
      <c r="H889" s="11">
        <v>0.0</v>
      </c>
      <c r="I889" s="11">
        <v>0.0</v>
      </c>
      <c r="J889" s="11">
        <v>0.0</v>
      </c>
      <c r="K889" s="11">
        <f t="shared" si="1"/>
        <v>0</v>
      </c>
      <c r="L889" s="11">
        <f t="shared" si="2"/>
        <v>0</v>
      </c>
    </row>
    <row r="890" ht="15.75" customHeight="1">
      <c r="A890" s="10" t="s">
        <v>1888</v>
      </c>
      <c r="B890" s="10" t="s">
        <v>1889</v>
      </c>
      <c r="C890" s="11">
        <v>0.0</v>
      </c>
      <c r="D890" s="11">
        <v>0.0</v>
      </c>
      <c r="E890" s="11">
        <v>0.0</v>
      </c>
      <c r="F890" s="11">
        <v>0.0</v>
      </c>
      <c r="G890" s="11">
        <v>0.0</v>
      </c>
      <c r="H890" s="11">
        <v>0.0</v>
      </c>
      <c r="I890" s="11">
        <v>0.0</v>
      </c>
      <c r="J890" s="11">
        <v>0.0</v>
      </c>
      <c r="K890" s="11">
        <f t="shared" si="1"/>
        <v>0</v>
      </c>
      <c r="L890" s="11">
        <f t="shared" si="2"/>
        <v>0</v>
      </c>
    </row>
    <row r="891" ht="15.75" customHeight="1">
      <c r="A891" s="10" t="s">
        <v>1890</v>
      </c>
      <c r="B891" s="10" t="s">
        <v>1891</v>
      </c>
      <c r="C891" s="11">
        <v>0.0</v>
      </c>
      <c r="D891" s="11">
        <v>0.0</v>
      </c>
      <c r="E891" s="11">
        <v>0.0</v>
      </c>
      <c r="F891" s="11">
        <v>0.0</v>
      </c>
      <c r="G891" s="11">
        <v>0.0</v>
      </c>
      <c r="H891" s="11">
        <v>0.0</v>
      </c>
      <c r="I891" s="11">
        <v>50.0</v>
      </c>
      <c r="J891" s="11">
        <v>0.0</v>
      </c>
      <c r="K891" s="11">
        <f t="shared" si="1"/>
        <v>50</v>
      </c>
      <c r="L891" s="11">
        <f t="shared" si="2"/>
        <v>12.5</v>
      </c>
    </row>
    <row r="892" ht="15.75" customHeight="1">
      <c r="A892" s="10" t="s">
        <v>1892</v>
      </c>
      <c r="B892" s="10" t="s">
        <v>1893</v>
      </c>
      <c r="C892" s="11">
        <v>0.0</v>
      </c>
      <c r="D892" s="11">
        <v>0.0</v>
      </c>
      <c r="E892" s="11">
        <v>0.0</v>
      </c>
      <c r="F892" s="11">
        <v>0.0</v>
      </c>
      <c r="G892" s="11">
        <v>0.0</v>
      </c>
      <c r="H892" s="11">
        <v>0.0</v>
      </c>
      <c r="I892" s="11">
        <v>0.0</v>
      </c>
      <c r="J892" s="11">
        <v>0.0</v>
      </c>
      <c r="K892" s="11">
        <f t="shared" si="1"/>
        <v>0</v>
      </c>
      <c r="L892" s="11">
        <f t="shared" si="2"/>
        <v>0</v>
      </c>
    </row>
    <row r="893" ht="15.75" customHeight="1">
      <c r="A893" s="10" t="s">
        <v>1894</v>
      </c>
      <c r="B893" s="10" t="s">
        <v>1895</v>
      </c>
      <c r="C893" s="11">
        <v>50.0</v>
      </c>
      <c r="D893" s="11">
        <v>200.0</v>
      </c>
      <c r="E893" s="11">
        <v>150.0</v>
      </c>
      <c r="F893" s="11">
        <v>100.0</v>
      </c>
      <c r="G893" s="11">
        <v>0.0</v>
      </c>
      <c r="H893" s="11">
        <v>0.0</v>
      </c>
      <c r="I893" s="11">
        <v>0.0</v>
      </c>
      <c r="J893" s="11">
        <v>100.0</v>
      </c>
      <c r="K893" s="11">
        <f t="shared" si="1"/>
        <v>600</v>
      </c>
      <c r="L893" s="11">
        <f t="shared" si="2"/>
        <v>25</v>
      </c>
    </row>
    <row r="894" ht="15.75" customHeight="1">
      <c r="A894" s="10" t="s">
        <v>1896</v>
      </c>
      <c r="B894" s="10" t="s">
        <v>1897</v>
      </c>
      <c r="C894" s="11">
        <v>0.0</v>
      </c>
      <c r="D894" s="11">
        <v>0.0</v>
      </c>
      <c r="E894" s="11">
        <v>0.0</v>
      </c>
      <c r="F894" s="11">
        <v>0.0</v>
      </c>
      <c r="G894" s="11">
        <v>0.0</v>
      </c>
      <c r="H894" s="11">
        <v>0.0</v>
      </c>
      <c r="I894" s="11">
        <v>0.0</v>
      </c>
      <c r="J894" s="11">
        <v>0.0</v>
      </c>
      <c r="K894" s="11">
        <f t="shared" si="1"/>
        <v>0</v>
      </c>
      <c r="L894" s="11">
        <f t="shared" si="2"/>
        <v>0</v>
      </c>
    </row>
    <row r="895" ht="15.75" customHeight="1">
      <c r="A895" s="10" t="s">
        <v>1898</v>
      </c>
      <c r="B895" s="10" t="s">
        <v>1899</v>
      </c>
      <c r="C895" s="11">
        <v>0.0</v>
      </c>
      <c r="D895" s="11">
        <v>0.0</v>
      </c>
      <c r="E895" s="11">
        <v>0.0</v>
      </c>
      <c r="F895" s="11">
        <v>0.0</v>
      </c>
      <c r="G895" s="11">
        <v>0.0</v>
      </c>
      <c r="H895" s="11">
        <v>0.0</v>
      </c>
      <c r="I895" s="11">
        <v>0.0</v>
      </c>
      <c r="J895" s="11">
        <v>0.0</v>
      </c>
      <c r="K895" s="11">
        <f t="shared" si="1"/>
        <v>0</v>
      </c>
      <c r="L895" s="11">
        <f t="shared" si="2"/>
        <v>0</v>
      </c>
    </row>
    <row r="896" ht="15.75" customHeight="1">
      <c r="A896" s="10" t="s">
        <v>1900</v>
      </c>
      <c r="B896" s="10" t="s">
        <v>1901</v>
      </c>
      <c r="C896" s="11">
        <v>0.0</v>
      </c>
      <c r="D896" s="11">
        <v>100.0</v>
      </c>
      <c r="E896" s="11">
        <v>50.0</v>
      </c>
      <c r="F896" s="11">
        <v>0.0</v>
      </c>
      <c r="G896" s="11">
        <v>57.0</v>
      </c>
      <c r="H896" s="11">
        <v>50.0</v>
      </c>
      <c r="I896" s="11">
        <v>200.0</v>
      </c>
      <c r="J896" s="11">
        <v>150.0</v>
      </c>
      <c r="K896" s="11">
        <f t="shared" si="1"/>
        <v>607</v>
      </c>
      <c r="L896" s="11">
        <f t="shared" si="2"/>
        <v>114.25</v>
      </c>
    </row>
    <row r="897" ht="15.75" customHeight="1">
      <c r="A897" s="10" t="s">
        <v>1902</v>
      </c>
      <c r="B897" s="10" t="s">
        <v>1903</v>
      </c>
      <c r="C897" s="11">
        <v>50.0</v>
      </c>
      <c r="D897" s="11">
        <v>50.0</v>
      </c>
      <c r="E897" s="11">
        <v>199.0</v>
      </c>
      <c r="F897" s="11">
        <v>100.0</v>
      </c>
      <c r="G897" s="11">
        <v>51.4</v>
      </c>
      <c r="H897" s="11">
        <v>0.0</v>
      </c>
      <c r="I897" s="11">
        <v>0.0</v>
      </c>
      <c r="J897" s="11">
        <v>0.0</v>
      </c>
      <c r="K897" s="11">
        <f t="shared" si="1"/>
        <v>450.4</v>
      </c>
      <c r="L897" s="11">
        <f t="shared" si="2"/>
        <v>12.85</v>
      </c>
    </row>
    <row r="898" ht="15.75" customHeight="1">
      <c r="A898" s="10" t="s">
        <v>1904</v>
      </c>
      <c r="B898" s="10" t="s">
        <v>1905</v>
      </c>
      <c r="C898" s="11">
        <v>0.0</v>
      </c>
      <c r="D898" s="11">
        <v>0.0</v>
      </c>
      <c r="E898" s="11">
        <v>1065.0</v>
      </c>
      <c r="F898" s="11">
        <v>392.0</v>
      </c>
      <c r="G898" s="11">
        <v>349.0</v>
      </c>
      <c r="H898" s="11">
        <v>406.0</v>
      </c>
      <c r="I898" s="11">
        <v>585.0</v>
      </c>
      <c r="J898" s="11">
        <v>545.0</v>
      </c>
      <c r="K898" s="11">
        <f t="shared" si="1"/>
        <v>3342</v>
      </c>
      <c r="L898" s="11">
        <f t="shared" si="2"/>
        <v>471.25</v>
      </c>
    </row>
    <row r="899" ht="15.75" customHeight="1">
      <c r="A899" s="10" t="s">
        <v>1906</v>
      </c>
      <c r="B899" s="10" t="s">
        <v>1907</v>
      </c>
      <c r="C899" s="11">
        <v>0.0</v>
      </c>
      <c r="D899" s="11">
        <v>0.0</v>
      </c>
      <c r="E899" s="11">
        <v>708.0</v>
      </c>
      <c r="F899" s="11">
        <v>310.0</v>
      </c>
      <c r="G899" s="11">
        <v>918.0</v>
      </c>
      <c r="H899" s="11">
        <v>101.0</v>
      </c>
      <c r="I899" s="11">
        <v>0.0</v>
      </c>
      <c r="J899" s="11">
        <v>0.0</v>
      </c>
      <c r="K899" s="11">
        <f t="shared" si="1"/>
        <v>2037</v>
      </c>
      <c r="L899" s="11">
        <f t="shared" si="2"/>
        <v>254.75</v>
      </c>
    </row>
    <row r="900" ht="15.75" customHeight="1">
      <c r="A900" s="10" t="s">
        <v>1908</v>
      </c>
      <c r="B900" s="10" t="s">
        <v>1910</v>
      </c>
      <c r="C900" s="11">
        <v>0.0</v>
      </c>
      <c r="D900" s="11">
        <v>0.0</v>
      </c>
      <c r="E900" s="11">
        <v>1514.0</v>
      </c>
      <c r="F900" s="11">
        <v>423.0</v>
      </c>
      <c r="G900" s="11">
        <v>331.0</v>
      </c>
      <c r="H900" s="11">
        <v>302.0</v>
      </c>
      <c r="I900" s="11">
        <v>121.0</v>
      </c>
      <c r="J900" s="11">
        <v>172.0</v>
      </c>
      <c r="K900" s="11">
        <f t="shared" si="1"/>
        <v>2863</v>
      </c>
      <c r="L900" s="11">
        <f t="shared" si="2"/>
        <v>231.5</v>
      </c>
    </row>
    <row r="901" ht="15.75" customHeight="1">
      <c r="A901" s="10" t="s">
        <v>1912</v>
      </c>
      <c r="B901" s="10" t="s">
        <v>1913</v>
      </c>
      <c r="C901" s="11">
        <v>2913.0</v>
      </c>
      <c r="D901" s="11">
        <v>691.0</v>
      </c>
      <c r="E901" s="11">
        <v>5610.0</v>
      </c>
      <c r="F901" s="11">
        <v>3425.0</v>
      </c>
      <c r="G901" s="11">
        <v>2492.0</v>
      </c>
      <c r="H901" s="11">
        <v>2339.0</v>
      </c>
      <c r="I901" s="11">
        <v>2101.0</v>
      </c>
      <c r="J901" s="11">
        <v>1700.0</v>
      </c>
      <c r="K901" s="11">
        <f t="shared" si="1"/>
        <v>21271</v>
      </c>
      <c r="L901" s="11">
        <f t="shared" si="2"/>
        <v>2158</v>
      </c>
    </row>
    <row r="902" ht="15.75" customHeight="1">
      <c r="A902" s="10" t="s">
        <v>1914</v>
      </c>
      <c r="B902" s="10" t="s">
        <v>1915</v>
      </c>
      <c r="C902" s="11">
        <v>223.0</v>
      </c>
      <c r="D902" s="11">
        <v>650.0</v>
      </c>
      <c r="E902" s="11">
        <v>0.0</v>
      </c>
      <c r="F902" s="11">
        <v>0.0</v>
      </c>
      <c r="G902" s="11">
        <v>0.0</v>
      </c>
      <c r="H902" s="11">
        <v>0.0</v>
      </c>
      <c r="I902" s="11">
        <v>0.0</v>
      </c>
      <c r="J902" s="11">
        <v>0.0</v>
      </c>
      <c r="K902" s="11">
        <f t="shared" si="1"/>
        <v>873</v>
      </c>
      <c r="L902" s="11">
        <f t="shared" si="2"/>
        <v>0</v>
      </c>
    </row>
    <row r="903" ht="15.75" customHeight="1">
      <c r="A903" s="10" t="s">
        <v>1916</v>
      </c>
      <c r="B903" s="10" t="s">
        <v>1917</v>
      </c>
      <c r="C903" s="11">
        <v>0.0</v>
      </c>
      <c r="D903" s="11">
        <v>0.0</v>
      </c>
      <c r="E903" s="11">
        <v>0.0</v>
      </c>
      <c r="F903" s="11">
        <v>0.0</v>
      </c>
      <c r="G903" s="11">
        <v>0.0</v>
      </c>
      <c r="H903" s="11">
        <v>0.0</v>
      </c>
      <c r="I903" s="11">
        <v>0.0</v>
      </c>
      <c r="J903" s="11">
        <v>0.0</v>
      </c>
      <c r="K903" s="11">
        <f t="shared" si="1"/>
        <v>0</v>
      </c>
      <c r="L903" s="11">
        <f t="shared" si="2"/>
        <v>0</v>
      </c>
    </row>
    <row r="904" ht="15.75" customHeight="1">
      <c r="A904" s="10" t="s">
        <v>1918</v>
      </c>
      <c r="B904" s="10" t="s">
        <v>1919</v>
      </c>
      <c r="C904" s="11">
        <v>200.0</v>
      </c>
      <c r="D904" s="11">
        <v>859.0</v>
      </c>
      <c r="E904" s="11">
        <v>50.0</v>
      </c>
      <c r="F904" s="11">
        <v>0.0</v>
      </c>
      <c r="G904" s="11">
        <v>0.0</v>
      </c>
      <c r="H904" s="11">
        <v>0.0</v>
      </c>
      <c r="I904" s="11">
        <v>0.0</v>
      </c>
      <c r="J904" s="11">
        <v>0.0</v>
      </c>
      <c r="K904" s="11">
        <f t="shared" si="1"/>
        <v>1109</v>
      </c>
      <c r="L904" s="11">
        <f t="shared" si="2"/>
        <v>0</v>
      </c>
    </row>
    <row r="905" ht="15.75" customHeight="1">
      <c r="A905" s="10" t="s">
        <v>1920</v>
      </c>
      <c r="B905" s="10" t="s">
        <v>1921</v>
      </c>
      <c r="C905" s="11">
        <v>82.0</v>
      </c>
      <c r="D905" s="11">
        <v>0.0</v>
      </c>
      <c r="E905" s="11">
        <v>50.0</v>
      </c>
      <c r="F905" s="11">
        <v>34.0</v>
      </c>
      <c r="G905" s="11">
        <v>0.0</v>
      </c>
      <c r="H905" s="11">
        <v>0.0</v>
      </c>
      <c r="I905" s="11">
        <v>0.0</v>
      </c>
      <c r="J905" s="11">
        <v>50.0</v>
      </c>
      <c r="K905" s="11">
        <f t="shared" si="1"/>
        <v>216</v>
      </c>
      <c r="L905" s="11">
        <f t="shared" si="2"/>
        <v>12.5</v>
      </c>
    </row>
    <row r="906" ht="15.75" customHeight="1">
      <c r="A906" s="10" t="s">
        <v>1922</v>
      </c>
      <c r="B906" s="10" t="s">
        <v>1923</v>
      </c>
      <c r="C906" s="11">
        <v>1450.0</v>
      </c>
      <c r="D906" s="11">
        <v>3398.0</v>
      </c>
      <c r="E906" s="11">
        <v>100.0</v>
      </c>
      <c r="F906" s="11">
        <v>0.0</v>
      </c>
      <c r="G906" s="11">
        <v>0.0</v>
      </c>
      <c r="H906" s="11">
        <v>0.0</v>
      </c>
      <c r="I906" s="11">
        <v>0.0</v>
      </c>
      <c r="J906" s="11">
        <v>0.0</v>
      </c>
      <c r="K906" s="11">
        <f t="shared" si="1"/>
        <v>4948</v>
      </c>
      <c r="L906" s="11">
        <f t="shared" si="2"/>
        <v>0</v>
      </c>
    </row>
    <row r="907" ht="15.75" customHeight="1">
      <c r="A907" s="10" t="s">
        <v>1924</v>
      </c>
      <c r="B907" s="10" t="s">
        <v>1925</v>
      </c>
      <c r="C907" s="11">
        <v>493.0</v>
      </c>
      <c r="D907" s="11">
        <v>100.0</v>
      </c>
      <c r="E907" s="11">
        <v>0.0</v>
      </c>
      <c r="F907" s="11">
        <v>50.0</v>
      </c>
      <c r="G907" s="11">
        <v>0.0</v>
      </c>
      <c r="H907" s="11">
        <v>0.0</v>
      </c>
      <c r="I907" s="11">
        <v>0.0</v>
      </c>
      <c r="J907" s="11">
        <v>50.0</v>
      </c>
      <c r="K907" s="11">
        <f t="shared" si="1"/>
        <v>693</v>
      </c>
      <c r="L907" s="11">
        <f t="shared" si="2"/>
        <v>12.5</v>
      </c>
    </row>
    <row r="908" ht="15.75" customHeight="1">
      <c r="A908" s="10" t="s">
        <v>1926</v>
      </c>
      <c r="B908" s="10" t="s">
        <v>1927</v>
      </c>
      <c r="C908" s="11">
        <v>40.0</v>
      </c>
      <c r="D908" s="11">
        <v>40.0</v>
      </c>
      <c r="E908" s="11">
        <v>38.5</v>
      </c>
      <c r="F908" s="11">
        <v>0.0</v>
      </c>
      <c r="G908" s="11">
        <v>80.0</v>
      </c>
      <c r="H908" s="11">
        <v>0.0</v>
      </c>
      <c r="I908" s="11">
        <v>40.0</v>
      </c>
      <c r="J908" s="11">
        <v>40.0</v>
      </c>
      <c r="K908" s="11">
        <f t="shared" si="1"/>
        <v>278.5</v>
      </c>
      <c r="L908" s="11">
        <f t="shared" si="2"/>
        <v>40</v>
      </c>
    </row>
    <row r="909" ht="15.75" customHeight="1">
      <c r="A909" s="10" t="s">
        <v>1928</v>
      </c>
      <c r="B909" s="10" t="s">
        <v>1929</v>
      </c>
      <c r="C909" s="11">
        <v>40.0</v>
      </c>
      <c r="D909" s="11">
        <v>240.0</v>
      </c>
      <c r="E909" s="11">
        <v>376.5</v>
      </c>
      <c r="F909" s="11">
        <v>0.0</v>
      </c>
      <c r="G909" s="11">
        <v>0.0</v>
      </c>
      <c r="H909" s="11">
        <v>0.0</v>
      </c>
      <c r="I909" s="11">
        <v>0.0</v>
      </c>
      <c r="J909" s="11">
        <v>0.0</v>
      </c>
      <c r="K909" s="11">
        <f t="shared" si="1"/>
        <v>656.5</v>
      </c>
      <c r="L909" s="11">
        <f t="shared" si="2"/>
        <v>0</v>
      </c>
    </row>
    <row r="910" ht="15.75" customHeight="1">
      <c r="A910" s="10" t="s">
        <v>1930</v>
      </c>
      <c r="B910" s="10" t="s">
        <v>1931</v>
      </c>
      <c r="C910" s="11">
        <v>120.0</v>
      </c>
      <c r="D910" s="11">
        <v>100.0</v>
      </c>
      <c r="E910" s="11">
        <v>80.0</v>
      </c>
      <c r="F910" s="11">
        <v>80.0</v>
      </c>
      <c r="G910" s="11">
        <v>280.0</v>
      </c>
      <c r="H910" s="11">
        <v>201.6</v>
      </c>
      <c r="I910" s="11">
        <v>0.0</v>
      </c>
      <c r="J910" s="11">
        <v>0.0</v>
      </c>
      <c r="K910" s="11">
        <f t="shared" si="1"/>
        <v>861.6</v>
      </c>
      <c r="L910" s="11">
        <f t="shared" si="2"/>
        <v>120.4</v>
      </c>
    </row>
    <row r="911" ht="15.75" customHeight="1">
      <c r="A911" s="10" t="s">
        <v>1932</v>
      </c>
      <c r="B911" s="10" t="s">
        <v>1933</v>
      </c>
      <c r="C911" s="11">
        <v>100.0</v>
      </c>
      <c r="D911" s="11">
        <v>50.0</v>
      </c>
      <c r="E911" s="11">
        <v>0.0</v>
      </c>
      <c r="F911" s="11">
        <v>0.0</v>
      </c>
      <c r="G911" s="11">
        <v>0.0</v>
      </c>
      <c r="H911" s="11">
        <v>441.5</v>
      </c>
      <c r="I911" s="11">
        <v>150.0</v>
      </c>
      <c r="J911" s="11">
        <v>100.0</v>
      </c>
      <c r="K911" s="11">
        <f t="shared" si="1"/>
        <v>841.5</v>
      </c>
      <c r="L911" s="11">
        <f t="shared" si="2"/>
        <v>172.875</v>
      </c>
    </row>
    <row r="912" ht="15.75" customHeight="1">
      <c r="A912" s="10" t="s">
        <v>1934</v>
      </c>
      <c r="B912" s="10" t="s">
        <v>1935</v>
      </c>
      <c r="C912" s="11">
        <v>522.0</v>
      </c>
      <c r="D912" s="11">
        <v>880.0</v>
      </c>
      <c r="E912" s="11">
        <v>517.0</v>
      </c>
      <c r="F912" s="11">
        <v>134.0</v>
      </c>
      <c r="G912" s="11">
        <v>0.0</v>
      </c>
      <c r="H912" s="11">
        <v>0.0</v>
      </c>
      <c r="I912" s="11">
        <v>0.0</v>
      </c>
      <c r="J912" s="11">
        <v>0.0</v>
      </c>
      <c r="K912" s="11">
        <f t="shared" si="1"/>
        <v>2053</v>
      </c>
      <c r="L912" s="11">
        <f t="shared" si="2"/>
        <v>0</v>
      </c>
    </row>
    <row r="913" ht="15.75" customHeight="1">
      <c r="A913" s="10" t="s">
        <v>1936</v>
      </c>
      <c r="B913" s="10" t="s">
        <v>1937</v>
      </c>
      <c r="C913" s="11">
        <v>40.0</v>
      </c>
      <c r="D913" s="11">
        <v>160.0</v>
      </c>
      <c r="E913" s="11">
        <v>80.0</v>
      </c>
      <c r="F913" s="11">
        <v>40.0</v>
      </c>
      <c r="G913" s="11">
        <v>40.0</v>
      </c>
      <c r="H913" s="11">
        <v>0.0</v>
      </c>
      <c r="I913" s="11">
        <v>40.0</v>
      </c>
      <c r="J913" s="11">
        <v>80.0</v>
      </c>
      <c r="K913" s="11">
        <f t="shared" si="1"/>
        <v>480</v>
      </c>
      <c r="L913" s="11">
        <f t="shared" si="2"/>
        <v>40</v>
      </c>
    </row>
    <row r="914" ht="15.75" customHeight="1">
      <c r="A914" s="10" t="s">
        <v>1938</v>
      </c>
      <c r="B914" s="10" t="s">
        <v>1939</v>
      </c>
      <c r="C914" s="11">
        <v>341.5</v>
      </c>
      <c r="D914" s="11">
        <v>430.0</v>
      </c>
      <c r="E914" s="11">
        <v>50.0</v>
      </c>
      <c r="F914" s="11">
        <v>0.0</v>
      </c>
      <c r="G914" s="11">
        <v>50.0</v>
      </c>
      <c r="H914" s="11">
        <v>250.0</v>
      </c>
      <c r="I914" s="11">
        <v>50.0</v>
      </c>
      <c r="J914" s="11">
        <v>300.0</v>
      </c>
      <c r="K914" s="11">
        <f t="shared" si="1"/>
        <v>1471.5</v>
      </c>
      <c r="L914" s="11">
        <f t="shared" si="2"/>
        <v>162.5</v>
      </c>
    </row>
    <row r="915" ht="15.75" customHeight="1">
      <c r="A915" s="10" t="s">
        <v>1940</v>
      </c>
      <c r="B915" s="10" t="s">
        <v>1941</v>
      </c>
      <c r="C915" s="11">
        <v>747.5</v>
      </c>
      <c r="D915" s="11">
        <v>196.0</v>
      </c>
      <c r="E915" s="11">
        <v>1408.5</v>
      </c>
      <c r="F915" s="11">
        <v>387.5</v>
      </c>
      <c r="G915" s="11">
        <v>434.5</v>
      </c>
      <c r="H915" s="11">
        <v>1203.0</v>
      </c>
      <c r="I915" s="11">
        <v>650.0</v>
      </c>
      <c r="J915" s="11">
        <v>650.0</v>
      </c>
      <c r="K915" s="11">
        <f t="shared" si="1"/>
        <v>5677</v>
      </c>
      <c r="L915" s="11">
        <f t="shared" si="2"/>
        <v>734.375</v>
      </c>
    </row>
    <row r="916" ht="15.75" customHeight="1">
      <c r="A916" s="10" t="s">
        <v>1942</v>
      </c>
      <c r="B916" s="10" t="s">
        <v>1943</v>
      </c>
      <c r="C916" s="11">
        <v>640.0</v>
      </c>
      <c r="D916" s="11">
        <v>960.0</v>
      </c>
      <c r="E916" s="11">
        <v>917.0</v>
      </c>
      <c r="F916" s="11">
        <v>240.0</v>
      </c>
      <c r="G916" s="11">
        <v>400.0</v>
      </c>
      <c r="H916" s="11">
        <v>570.0</v>
      </c>
      <c r="I916" s="11">
        <v>1046.0</v>
      </c>
      <c r="J916" s="11">
        <v>172.0</v>
      </c>
      <c r="K916" s="11">
        <f t="shared" si="1"/>
        <v>4945</v>
      </c>
      <c r="L916" s="11">
        <f t="shared" si="2"/>
        <v>547</v>
      </c>
    </row>
    <row r="917" ht="15.75" customHeight="1">
      <c r="A917" s="10" t="s">
        <v>1944</v>
      </c>
      <c r="B917" s="10" t="s">
        <v>1945</v>
      </c>
      <c r="C917" s="11">
        <v>358.0</v>
      </c>
      <c r="D917" s="11">
        <v>520.0</v>
      </c>
      <c r="E917" s="11">
        <v>608.5</v>
      </c>
      <c r="F917" s="11">
        <v>320.0</v>
      </c>
      <c r="G917" s="11">
        <v>0.0</v>
      </c>
      <c r="H917" s="11">
        <v>0.0</v>
      </c>
      <c r="I917" s="11">
        <v>0.0</v>
      </c>
      <c r="J917" s="11">
        <v>0.0</v>
      </c>
      <c r="K917" s="11">
        <f t="shared" si="1"/>
        <v>1806.5</v>
      </c>
      <c r="L917" s="11">
        <f t="shared" si="2"/>
        <v>0</v>
      </c>
    </row>
    <row r="918" ht="15.75" customHeight="1">
      <c r="A918" s="10" t="s">
        <v>1946</v>
      </c>
      <c r="B918" s="10" t="s">
        <v>1947</v>
      </c>
      <c r="C918" s="11">
        <v>0.0</v>
      </c>
      <c r="D918" s="11">
        <v>0.0</v>
      </c>
      <c r="E918" s="11">
        <v>0.0</v>
      </c>
      <c r="F918" s="11">
        <v>0.0</v>
      </c>
      <c r="G918" s="11">
        <v>0.0</v>
      </c>
      <c r="H918" s="11">
        <v>0.0</v>
      </c>
      <c r="I918" s="11">
        <v>0.0</v>
      </c>
      <c r="J918" s="11">
        <v>0.0</v>
      </c>
      <c r="K918" s="11">
        <f t="shared" si="1"/>
        <v>0</v>
      </c>
      <c r="L918" s="11">
        <f t="shared" si="2"/>
        <v>0</v>
      </c>
    </row>
    <row r="919" ht="15.75" customHeight="1">
      <c r="A919" s="10" t="s">
        <v>1948</v>
      </c>
      <c r="B919" s="10" t="s">
        <v>1949</v>
      </c>
      <c r="C919" s="11">
        <v>0.0</v>
      </c>
      <c r="D919" s="11">
        <v>0.0</v>
      </c>
      <c r="E919" s="11">
        <v>0.0</v>
      </c>
      <c r="F919" s="11">
        <v>0.0</v>
      </c>
      <c r="G919" s="11">
        <v>0.0</v>
      </c>
      <c r="H919" s="11">
        <v>0.0</v>
      </c>
      <c r="I919" s="11">
        <v>0.0</v>
      </c>
      <c r="J919" s="11">
        <v>0.0</v>
      </c>
      <c r="K919" s="11">
        <f t="shared" si="1"/>
        <v>0</v>
      </c>
      <c r="L919" s="11">
        <f t="shared" si="2"/>
        <v>0</v>
      </c>
    </row>
    <row r="920" ht="15.75" customHeight="1">
      <c r="A920" s="10" t="s">
        <v>1950</v>
      </c>
      <c r="B920" s="10" t="s">
        <v>1951</v>
      </c>
      <c r="C920" s="11">
        <v>0.0</v>
      </c>
      <c r="D920" s="11">
        <v>0.0</v>
      </c>
      <c r="E920" s="11">
        <v>0.0</v>
      </c>
      <c r="F920" s="11">
        <v>0.0</v>
      </c>
      <c r="G920" s="11">
        <v>0.0</v>
      </c>
      <c r="H920" s="11">
        <v>0.0</v>
      </c>
      <c r="I920" s="11">
        <v>0.0</v>
      </c>
      <c r="J920" s="11">
        <v>0.0</v>
      </c>
      <c r="K920" s="11">
        <f t="shared" si="1"/>
        <v>0</v>
      </c>
      <c r="L920" s="11">
        <f t="shared" si="2"/>
        <v>0</v>
      </c>
    </row>
    <row r="921" ht="15.75" customHeight="1">
      <c r="A921" s="10" t="s">
        <v>1952</v>
      </c>
      <c r="B921" s="10" t="s">
        <v>1953</v>
      </c>
      <c r="C921" s="11">
        <v>0.0</v>
      </c>
      <c r="D921" s="11">
        <v>0.0</v>
      </c>
      <c r="E921" s="11">
        <v>0.0</v>
      </c>
      <c r="F921" s="11">
        <v>0.0</v>
      </c>
      <c r="G921" s="11">
        <v>0.0</v>
      </c>
      <c r="H921" s="11">
        <v>0.0</v>
      </c>
      <c r="I921" s="11">
        <v>0.0</v>
      </c>
      <c r="J921" s="11">
        <v>0.0</v>
      </c>
      <c r="K921" s="11">
        <f t="shared" si="1"/>
        <v>0</v>
      </c>
      <c r="L921" s="11">
        <f t="shared" si="2"/>
        <v>0</v>
      </c>
    </row>
    <row r="922" ht="15.75" customHeight="1">
      <c r="A922" s="10" t="s">
        <v>1954</v>
      </c>
      <c r="B922" s="10" t="s">
        <v>1955</v>
      </c>
      <c r="C922" s="11">
        <v>0.0</v>
      </c>
      <c r="D922" s="11">
        <v>0.0</v>
      </c>
      <c r="E922" s="11">
        <v>0.0</v>
      </c>
      <c r="F922" s="11">
        <v>0.0</v>
      </c>
      <c r="G922" s="11">
        <v>0.0</v>
      </c>
      <c r="H922" s="11">
        <v>0.0</v>
      </c>
      <c r="I922" s="11">
        <v>0.0</v>
      </c>
      <c r="J922" s="11">
        <v>0.0</v>
      </c>
      <c r="K922" s="11">
        <f t="shared" si="1"/>
        <v>0</v>
      </c>
      <c r="L922" s="11">
        <f t="shared" si="2"/>
        <v>0</v>
      </c>
    </row>
    <row r="923" ht="15.75" customHeight="1">
      <c r="A923" s="10" t="s">
        <v>1956</v>
      </c>
      <c r="B923" s="10" t="s">
        <v>1957</v>
      </c>
      <c r="C923" s="11">
        <v>0.0</v>
      </c>
      <c r="D923" s="11">
        <v>0.0</v>
      </c>
      <c r="E923" s="11">
        <v>0.0</v>
      </c>
      <c r="F923" s="11">
        <v>0.0</v>
      </c>
      <c r="G923" s="11">
        <v>0.0</v>
      </c>
      <c r="H923" s="11">
        <v>0.0</v>
      </c>
      <c r="I923" s="11">
        <v>0.0</v>
      </c>
      <c r="J923" s="11">
        <v>0.0</v>
      </c>
      <c r="K923" s="11">
        <f t="shared" si="1"/>
        <v>0</v>
      </c>
      <c r="L923" s="11">
        <f t="shared" si="2"/>
        <v>0</v>
      </c>
    </row>
    <row r="924" ht="15.75" customHeight="1">
      <c r="A924" s="10" t="s">
        <v>1958</v>
      </c>
      <c r="B924" s="10" t="s">
        <v>1959</v>
      </c>
      <c r="C924" s="11">
        <v>0.0</v>
      </c>
      <c r="D924" s="11">
        <v>0.0</v>
      </c>
      <c r="E924" s="11">
        <v>0.0</v>
      </c>
      <c r="F924" s="11">
        <v>0.0</v>
      </c>
      <c r="G924" s="11">
        <v>0.0</v>
      </c>
      <c r="H924" s="11">
        <v>0.0</v>
      </c>
      <c r="I924" s="11">
        <v>0.0</v>
      </c>
      <c r="J924" s="11">
        <v>0.0</v>
      </c>
      <c r="K924" s="11">
        <f t="shared" si="1"/>
        <v>0</v>
      </c>
      <c r="L924" s="11">
        <f t="shared" si="2"/>
        <v>0</v>
      </c>
    </row>
    <row r="925" ht="15.75" customHeight="1">
      <c r="A925" s="10" t="s">
        <v>1961</v>
      </c>
      <c r="B925" s="10" t="s">
        <v>1962</v>
      </c>
      <c r="C925" s="11">
        <v>0.0</v>
      </c>
      <c r="D925" s="11">
        <v>0.0</v>
      </c>
      <c r="E925" s="11">
        <v>0.0</v>
      </c>
      <c r="F925" s="11">
        <v>0.0</v>
      </c>
      <c r="G925" s="11">
        <v>0.0</v>
      </c>
      <c r="H925" s="11">
        <v>0.0</v>
      </c>
      <c r="I925" s="11">
        <v>0.0</v>
      </c>
      <c r="J925" s="11">
        <v>0.0</v>
      </c>
      <c r="K925" s="11">
        <f t="shared" si="1"/>
        <v>0</v>
      </c>
      <c r="L925" s="11">
        <f t="shared" si="2"/>
        <v>0</v>
      </c>
    </row>
    <row r="926" ht="15.75" customHeight="1">
      <c r="A926" s="10" t="s">
        <v>1963</v>
      </c>
      <c r="B926" s="10" t="s">
        <v>1964</v>
      </c>
      <c r="C926" s="11">
        <v>0.0</v>
      </c>
      <c r="D926" s="11">
        <v>0.0</v>
      </c>
      <c r="E926" s="11">
        <v>0.0</v>
      </c>
      <c r="F926" s="11">
        <v>0.0</v>
      </c>
      <c r="G926" s="11">
        <v>0.0</v>
      </c>
      <c r="H926" s="11">
        <v>0.0</v>
      </c>
      <c r="I926" s="11">
        <v>0.0</v>
      </c>
      <c r="J926" s="11">
        <v>0.0</v>
      </c>
      <c r="K926" s="11">
        <f t="shared" si="1"/>
        <v>0</v>
      </c>
      <c r="L926" s="11">
        <f t="shared" si="2"/>
        <v>0</v>
      </c>
    </row>
    <row r="927" ht="15.75" customHeight="1">
      <c r="A927" s="10" t="s">
        <v>1965</v>
      </c>
      <c r="B927" s="10" t="s">
        <v>1966</v>
      </c>
      <c r="C927" s="11">
        <v>0.0</v>
      </c>
      <c r="D927" s="11">
        <v>0.0</v>
      </c>
      <c r="E927" s="11">
        <v>0.0</v>
      </c>
      <c r="F927" s="11">
        <v>0.0</v>
      </c>
      <c r="G927" s="11">
        <v>0.0</v>
      </c>
      <c r="H927" s="11">
        <v>0.0</v>
      </c>
      <c r="I927" s="11">
        <v>0.0</v>
      </c>
      <c r="J927" s="11">
        <v>0.0</v>
      </c>
      <c r="K927" s="11">
        <f t="shared" si="1"/>
        <v>0</v>
      </c>
      <c r="L927" s="11">
        <f t="shared" si="2"/>
        <v>0</v>
      </c>
    </row>
    <row r="928" ht="15.75" customHeight="1">
      <c r="A928" s="10" t="s">
        <v>1967</v>
      </c>
      <c r="B928" s="10" t="s">
        <v>1968</v>
      </c>
      <c r="C928" s="11">
        <v>0.0</v>
      </c>
      <c r="D928" s="11">
        <v>0.0</v>
      </c>
      <c r="E928" s="11">
        <v>0.0</v>
      </c>
      <c r="F928" s="11">
        <v>0.0</v>
      </c>
      <c r="G928" s="11">
        <v>0.0</v>
      </c>
      <c r="H928" s="11">
        <v>0.0</v>
      </c>
      <c r="I928" s="11">
        <v>0.0</v>
      </c>
      <c r="J928" s="11">
        <v>0.0</v>
      </c>
      <c r="K928" s="11">
        <f t="shared" si="1"/>
        <v>0</v>
      </c>
      <c r="L928" s="11">
        <f t="shared" si="2"/>
        <v>0</v>
      </c>
    </row>
    <row r="929" ht="15.75" customHeight="1">
      <c r="A929" s="10" t="s">
        <v>1969</v>
      </c>
      <c r="B929" s="10" t="s">
        <v>1970</v>
      </c>
      <c r="C929" s="11">
        <v>0.0</v>
      </c>
      <c r="D929" s="11">
        <v>0.0</v>
      </c>
      <c r="E929" s="11">
        <v>0.0</v>
      </c>
      <c r="F929" s="11">
        <v>0.0</v>
      </c>
      <c r="G929" s="11">
        <v>0.0</v>
      </c>
      <c r="H929" s="11">
        <v>0.0</v>
      </c>
      <c r="I929" s="11">
        <v>0.0</v>
      </c>
      <c r="J929" s="11">
        <v>0.0</v>
      </c>
      <c r="K929" s="11">
        <f t="shared" si="1"/>
        <v>0</v>
      </c>
      <c r="L929" s="11">
        <f t="shared" si="2"/>
        <v>0</v>
      </c>
    </row>
    <row r="930" ht="15.75" customHeight="1">
      <c r="A930" s="10" t="s">
        <v>1971</v>
      </c>
      <c r="B930" s="10" t="s">
        <v>1972</v>
      </c>
      <c r="C930" s="11">
        <v>0.0</v>
      </c>
      <c r="D930" s="11">
        <v>0.0</v>
      </c>
      <c r="E930" s="11">
        <v>0.0</v>
      </c>
      <c r="F930" s="11">
        <v>0.0</v>
      </c>
      <c r="G930" s="11">
        <v>0.0</v>
      </c>
      <c r="H930" s="11">
        <v>0.0</v>
      </c>
      <c r="I930" s="11">
        <v>0.0</v>
      </c>
      <c r="J930" s="11">
        <v>0.0</v>
      </c>
      <c r="K930" s="11">
        <f t="shared" si="1"/>
        <v>0</v>
      </c>
      <c r="L930" s="11">
        <f t="shared" si="2"/>
        <v>0</v>
      </c>
    </row>
    <row r="931" ht="15.75" customHeight="1">
      <c r="A931" s="10" t="s">
        <v>1973</v>
      </c>
      <c r="B931" s="10" t="s">
        <v>1974</v>
      </c>
      <c r="C931" s="11">
        <v>0.0</v>
      </c>
      <c r="D931" s="11">
        <v>0.0</v>
      </c>
      <c r="E931" s="11">
        <v>0.0</v>
      </c>
      <c r="F931" s="11">
        <v>0.0</v>
      </c>
      <c r="G931" s="11">
        <v>0.0</v>
      </c>
      <c r="H931" s="11">
        <v>0.0</v>
      </c>
      <c r="I931" s="11">
        <v>0.0</v>
      </c>
      <c r="J931" s="11">
        <v>0.0</v>
      </c>
      <c r="K931" s="11">
        <f t="shared" si="1"/>
        <v>0</v>
      </c>
      <c r="L931" s="11">
        <f t="shared" si="2"/>
        <v>0</v>
      </c>
    </row>
    <row r="932" ht="15.75" customHeight="1">
      <c r="A932" s="10" t="s">
        <v>1975</v>
      </c>
      <c r="B932" s="10" t="s">
        <v>1976</v>
      </c>
      <c r="C932" s="11">
        <v>0.0</v>
      </c>
      <c r="D932" s="11">
        <v>0.0</v>
      </c>
      <c r="E932" s="11">
        <v>0.0</v>
      </c>
      <c r="F932" s="11">
        <v>0.0</v>
      </c>
      <c r="G932" s="11">
        <v>0.0</v>
      </c>
      <c r="H932" s="11">
        <v>0.0</v>
      </c>
      <c r="I932" s="11">
        <v>0.0</v>
      </c>
      <c r="J932" s="11">
        <v>0.0</v>
      </c>
      <c r="K932" s="11">
        <f t="shared" si="1"/>
        <v>0</v>
      </c>
      <c r="L932" s="11">
        <f t="shared" si="2"/>
        <v>0</v>
      </c>
    </row>
    <row r="933" ht="15.75" customHeight="1">
      <c r="A933" s="10" t="s">
        <v>1977</v>
      </c>
      <c r="B933" s="10" t="s">
        <v>1978</v>
      </c>
      <c r="C933" s="11">
        <v>0.0</v>
      </c>
      <c r="D933" s="11">
        <v>0.0</v>
      </c>
      <c r="E933" s="11">
        <v>0.0</v>
      </c>
      <c r="F933" s="11">
        <v>0.0</v>
      </c>
      <c r="G933" s="11">
        <v>0.0</v>
      </c>
      <c r="H933" s="11">
        <v>0.0</v>
      </c>
      <c r="I933" s="11">
        <v>0.0</v>
      </c>
      <c r="J933" s="11">
        <v>0.0</v>
      </c>
      <c r="K933" s="11">
        <f t="shared" si="1"/>
        <v>0</v>
      </c>
      <c r="L933" s="11">
        <f t="shared" si="2"/>
        <v>0</v>
      </c>
    </row>
    <row r="934" ht="15.75" customHeight="1">
      <c r="A934" s="10" t="s">
        <v>1979</v>
      </c>
      <c r="B934" s="10" t="s">
        <v>1980</v>
      </c>
      <c r="C934" s="11">
        <v>0.0</v>
      </c>
      <c r="D934" s="11">
        <v>0.0</v>
      </c>
      <c r="E934" s="11">
        <v>0.0</v>
      </c>
      <c r="F934" s="11">
        <v>0.0</v>
      </c>
      <c r="G934" s="11">
        <v>0.0</v>
      </c>
      <c r="H934" s="11">
        <v>0.0</v>
      </c>
      <c r="I934" s="11">
        <v>0.0</v>
      </c>
      <c r="J934" s="11">
        <v>0.0</v>
      </c>
      <c r="K934" s="11">
        <f t="shared" si="1"/>
        <v>0</v>
      </c>
      <c r="L934" s="11">
        <f t="shared" si="2"/>
        <v>0</v>
      </c>
    </row>
    <row r="935" ht="15.75" customHeight="1">
      <c r="A935" s="10" t="s">
        <v>1981</v>
      </c>
      <c r="B935" s="10" t="s">
        <v>1982</v>
      </c>
      <c r="C935" s="11">
        <v>0.0</v>
      </c>
      <c r="D935" s="11">
        <v>0.0</v>
      </c>
      <c r="E935" s="11">
        <v>0.0</v>
      </c>
      <c r="F935" s="11">
        <v>0.0</v>
      </c>
      <c r="G935" s="11">
        <v>0.0</v>
      </c>
      <c r="H935" s="11">
        <v>0.0</v>
      </c>
      <c r="I935" s="11">
        <v>0.0</v>
      </c>
      <c r="J935" s="11">
        <v>0.0</v>
      </c>
      <c r="K935" s="11">
        <f t="shared" si="1"/>
        <v>0</v>
      </c>
      <c r="L935" s="11">
        <f t="shared" si="2"/>
        <v>0</v>
      </c>
    </row>
    <row r="936" ht="15.75" customHeight="1">
      <c r="A936" s="10" t="s">
        <v>1983</v>
      </c>
      <c r="B936" s="10" t="s">
        <v>1984</v>
      </c>
      <c r="C936" s="11">
        <v>0.0</v>
      </c>
      <c r="D936" s="11">
        <v>0.0</v>
      </c>
      <c r="E936" s="11">
        <v>0.0</v>
      </c>
      <c r="F936" s="11">
        <v>0.0</v>
      </c>
      <c r="G936" s="11">
        <v>0.0</v>
      </c>
      <c r="H936" s="11">
        <v>0.0</v>
      </c>
      <c r="I936" s="11">
        <v>0.0</v>
      </c>
      <c r="J936" s="11">
        <v>0.0</v>
      </c>
      <c r="K936" s="11">
        <f t="shared" si="1"/>
        <v>0</v>
      </c>
      <c r="L936" s="11">
        <f t="shared" si="2"/>
        <v>0</v>
      </c>
    </row>
    <row r="937" ht="15.75" customHeight="1">
      <c r="A937" s="10" t="s">
        <v>1985</v>
      </c>
      <c r="B937" s="10" t="s">
        <v>1986</v>
      </c>
      <c r="C937" s="11">
        <v>0.0</v>
      </c>
      <c r="D937" s="11">
        <v>0.0</v>
      </c>
      <c r="E937" s="11">
        <v>0.0</v>
      </c>
      <c r="F937" s="11">
        <v>0.0</v>
      </c>
      <c r="G937" s="11">
        <v>0.0</v>
      </c>
      <c r="H937" s="11">
        <v>0.0</v>
      </c>
      <c r="I937" s="11">
        <v>0.0</v>
      </c>
      <c r="J937" s="11">
        <v>0.0</v>
      </c>
      <c r="K937" s="11">
        <f t="shared" si="1"/>
        <v>0</v>
      </c>
      <c r="L937" s="11">
        <f t="shared" si="2"/>
        <v>0</v>
      </c>
    </row>
    <row r="938" ht="15.75" customHeight="1">
      <c r="A938" s="10" t="s">
        <v>1987</v>
      </c>
      <c r="B938" s="10" t="s">
        <v>1988</v>
      </c>
      <c r="C938" s="11">
        <v>0.0</v>
      </c>
      <c r="D938" s="11">
        <v>0.0</v>
      </c>
      <c r="E938" s="11">
        <v>0.0</v>
      </c>
      <c r="F938" s="11">
        <v>0.0</v>
      </c>
      <c r="G938" s="11">
        <v>0.0</v>
      </c>
      <c r="H938" s="11">
        <v>0.0</v>
      </c>
      <c r="I938" s="11">
        <v>0.0</v>
      </c>
      <c r="J938" s="11">
        <v>0.0</v>
      </c>
      <c r="K938" s="11">
        <f t="shared" si="1"/>
        <v>0</v>
      </c>
      <c r="L938" s="11">
        <f t="shared" si="2"/>
        <v>0</v>
      </c>
    </row>
    <row r="939" ht="15.75" customHeight="1">
      <c r="A939" s="10" t="s">
        <v>1989</v>
      </c>
      <c r="B939" s="10" t="s">
        <v>1990</v>
      </c>
      <c r="C939" s="11">
        <v>0.0</v>
      </c>
      <c r="D939" s="11">
        <v>0.0</v>
      </c>
      <c r="E939" s="11">
        <v>0.0</v>
      </c>
      <c r="F939" s="11">
        <v>0.0</v>
      </c>
      <c r="G939" s="11">
        <v>0.0</v>
      </c>
      <c r="H939" s="11">
        <v>0.0</v>
      </c>
      <c r="I939" s="11">
        <v>0.0</v>
      </c>
      <c r="J939" s="11">
        <v>0.0</v>
      </c>
      <c r="K939" s="11">
        <f t="shared" si="1"/>
        <v>0</v>
      </c>
      <c r="L939" s="11">
        <f t="shared" si="2"/>
        <v>0</v>
      </c>
    </row>
    <row r="940" ht="15.75" customHeight="1">
      <c r="A940" s="10" t="s">
        <v>1991</v>
      </c>
      <c r="B940" s="10" t="s">
        <v>1992</v>
      </c>
      <c r="C940" s="11">
        <v>0.0</v>
      </c>
      <c r="D940" s="11">
        <v>0.0</v>
      </c>
      <c r="E940" s="11">
        <v>0.0</v>
      </c>
      <c r="F940" s="11">
        <v>0.0</v>
      </c>
      <c r="G940" s="11">
        <v>0.0</v>
      </c>
      <c r="H940" s="11">
        <v>0.0</v>
      </c>
      <c r="I940" s="11">
        <v>0.0</v>
      </c>
      <c r="J940" s="11">
        <v>0.0</v>
      </c>
      <c r="K940" s="11">
        <f t="shared" si="1"/>
        <v>0</v>
      </c>
      <c r="L940" s="11">
        <f t="shared" si="2"/>
        <v>0</v>
      </c>
    </row>
    <row r="941" ht="15.75" customHeight="1">
      <c r="A941" s="10" t="s">
        <v>1993</v>
      </c>
      <c r="B941" s="10" t="s">
        <v>1994</v>
      </c>
      <c r="C941" s="11">
        <v>0.0</v>
      </c>
      <c r="D941" s="11">
        <v>0.0</v>
      </c>
      <c r="E941" s="11">
        <v>0.0</v>
      </c>
      <c r="F941" s="11">
        <v>0.0</v>
      </c>
      <c r="G941" s="11">
        <v>0.0</v>
      </c>
      <c r="H941" s="11">
        <v>0.0</v>
      </c>
      <c r="I941" s="11">
        <v>0.0</v>
      </c>
      <c r="J941" s="11">
        <v>0.0</v>
      </c>
      <c r="K941" s="11">
        <f t="shared" si="1"/>
        <v>0</v>
      </c>
      <c r="L941" s="11">
        <f t="shared" si="2"/>
        <v>0</v>
      </c>
    </row>
    <row r="942" ht="15.75" customHeight="1">
      <c r="A942" s="10" t="s">
        <v>1995</v>
      </c>
      <c r="B942" s="10" t="s">
        <v>1996</v>
      </c>
      <c r="C942" s="11">
        <v>0.0</v>
      </c>
      <c r="D942" s="11">
        <v>0.0</v>
      </c>
      <c r="E942" s="11">
        <v>0.0</v>
      </c>
      <c r="F942" s="11">
        <v>0.0</v>
      </c>
      <c r="G942" s="11">
        <v>0.0</v>
      </c>
      <c r="H942" s="11">
        <v>0.0</v>
      </c>
      <c r="I942" s="11">
        <v>0.0</v>
      </c>
      <c r="J942" s="11">
        <v>0.0</v>
      </c>
      <c r="K942" s="11">
        <f t="shared" si="1"/>
        <v>0</v>
      </c>
      <c r="L942" s="11">
        <f t="shared" si="2"/>
        <v>0</v>
      </c>
    </row>
    <row r="943" ht="15.75" customHeight="1">
      <c r="A943" s="10" t="s">
        <v>1997</v>
      </c>
      <c r="B943" s="10" t="s">
        <v>1998</v>
      </c>
      <c r="C943" s="11">
        <v>0.0</v>
      </c>
      <c r="D943" s="11">
        <v>0.0</v>
      </c>
      <c r="E943" s="11">
        <v>0.0</v>
      </c>
      <c r="F943" s="11">
        <v>0.0</v>
      </c>
      <c r="G943" s="11">
        <v>0.0</v>
      </c>
      <c r="H943" s="11">
        <v>0.0</v>
      </c>
      <c r="I943" s="11">
        <v>0.0</v>
      </c>
      <c r="J943" s="11">
        <v>0.0</v>
      </c>
      <c r="K943" s="11">
        <f t="shared" si="1"/>
        <v>0</v>
      </c>
      <c r="L943" s="11">
        <f t="shared" si="2"/>
        <v>0</v>
      </c>
    </row>
    <row r="944" ht="15.75" customHeight="1">
      <c r="A944" s="10" t="s">
        <v>1999</v>
      </c>
      <c r="B944" s="10" t="s">
        <v>2000</v>
      </c>
      <c r="C944" s="11">
        <v>0.0</v>
      </c>
      <c r="D944" s="11">
        <v>0.0</v>
      </c>
      <c r="E944" s="11">
        <v>0.0</v>
      </c>
      <c r="F944" s="11">
        <v>0.0</v>
      </c>
      <c r="G944" s="11">
        <v>0.0</v>
      </c>
      <c r="H944" s="11">
        <v>0.0</v>
      </c>
      <c r="I944" s="11">
        <v>0.0</v>
      </c>
      <c r="J944" s="11">
        <v>0.0</v>
      </c>
      <c r="K944" s="11">
        <f t="shared" si="1"/>
        <v>0</v>
      </c>
      <c r="L944" s="11">
        <f t="shared" si="2"/>
        <v>0</v>
      </c>
    </row>
    <row r="945" ht="15.75" customHeight="1">
      <c r="A945" s="10" t="s">
        <v>2001</v>
      </c>
      <c r="B945" s="10" t="s">
        <v>2002</v>
      </c>
      <c r="C945" s="11">
        <v>0.0</v>
      </c>
      <c r="D945" s="11">
        <v>0.0</v>
      </c>
      <c r="E945" s="11">
        <v>0.0</v>
      </c>
      <c r="F945" s="11">
        <v>0.0</v>
      </c>
      <c r="G945" s="11">
        <v>0.0</v>
      </c>
      <c r="H945" s="11">
        <v>0.0</v>
      </c>
      <c r="I945" s="11">
        <v>0.0</v>
      </c>
      <c r="J945" s="11">
        <v>0.0</v>
      </c>
      <c r="K945" s="11">
        <f t="shared" si="1"/>
        <v>0</v>
      </c>
      <c r="L945" s="11">
        <f t="shared" si="2"/>
        <v>0</v>
      </c>
    </row>
    <row r="946" ht="15.75" customHeight="1">
      <c r="A946" s="10" t="s">
        <v>2003</v>
      </c>
      <c r="B946" s="10" t="s">
        <v>2004</v>
      </c>
      <c r="C946" s="11">
        <v>0.0</v>
      </c>
      <c r="D946" s="11">
        <v>0.0</v>
      </c>
      <c r="E946" s="11">
        <v>0.0</v>
      </c>
      <c r="F946" s="11">
        <v>0.0</v>
      </c>
      <c r="G946" s="11">
        <v>0.0</v>
      </c>
      <c r="H946" s="11">
        <v>0.0</v>
      </c>
      <c r="I946" s="11">
        <v>0.0</v>
      </c>
      <c r="J946" s="11">
        <v>0.0</v>
      </c>
      <c r="K946" s="11">
        <f t="shared" si="1"/>
        <v>0</v>
      </c>
      <c r="L946" s="11">
        <f t="shared" si="2"/>
        <v>0</v>
      </c>
    </row>
    <row r="947" ht="15.75" customHeight="1">
      <c r="A947" s="10" t="s">
        <v>2005</v>
      </c>
      <c r="B947" s="10" t="s">
        <v>2006</v>
      </c>
      <c r="C947" s="11">
        <v>0.0</v>
      </c>
      <c r="D947" s="11">
        <v>0.0</v>
      </c>
      <c r="E947" s="11">
        <v>0.0</v>
      </c>
      <c r="F947" s="11">
        <v>0.0</v>
      </c>
      <c r="G947" s="11">
        <v>0.0</v>
      </c>
      <c r="H947" s="11">
        <v>0.0</v>
      </c>
      <c r="I947" s="11">
        <v>0.0</v>
      </c>
      <c r="J947" s="11">
        <v>0.0</v>
      </c>
      <c r="K947" s="11">
        <f t="shared" si="1"/>
        <v>0</v>
      </c>
      <c r="L947" s="11">
        <f t="shared" si="2"/>
        <v>0</v>
      </c>
    </row>
    <row r="948" ht="15.75" customHeight="1">
      <c r="A948" s="10" t="s">
        <v>2007</v>
      </c>
      <c r="B948" s="10" t="s">
        <v>2008</v>
      </c>
      <c r="C948" s="11">
        <v>0.0</v>
      </c>
      <c r="D948" s="11">
        <v>0.0</v>
      </c>
      <c r="E948" s="11">
        <v>0.0</v>
      </c>
      <c r="F948" s="11">
        <v>0.0</v>
      </c>
      <c r="G948" s="11">
        <v>0.0</v>
      </c>
      <c r="H948" s="11">
        <v>0.0</v>
      </c>
      <c r="I948" s="11">
        <v>0.0</v>
      </c>
      <c r="J948" s="11">
        <v>0.0</v>
      </c>
      <c r="K948" s="11">
        <f t="shared" si="1"/>
        <v>0</v>
      </c>
      <c r="L948" s="11">
        <f t="shared" si="2"/>
        <v>0</v>
      </c>
    </row>
    <row r="949" ht="15.75" customHeight="1">
      <c r="A949" s="10" t="s">
        <v>2009</v>
      </c>
      <c r="B949" s="10" t="s">
        <v>2010</v>
      </c>
      <c r="C949" s="11">
        <v>0.0</v>
      </c>
      <c r="D949" s="11">
        <v>0.0</v>
      </c>
      <c r="E949" s="11">
        <v>0.0</v>
      </c>
      <c r="F949" s="11">
        <v>0.0</v>
      </c>
      <c r="G949" s="11">
        <v>0.0</v>
      </c>
      <c r="H949" s="11">
        <v>0.0</v>
      </c>
      <c r="I949" s="11">
        <v>0.0</v>
      </c>
      <c r="J949" s="11">
        <v>0.0</v>
      </c>
      <c r="K949" s="11">
        <f t="shared" si="1"/>
        <v>0</v>
      </c>
      <c r="L949" s="11">
        <f t="shared" si="2"/>
        <v>0</v>
      </c>
    </row>
    <row r="950" ht="15.75" customHeight="1">
      <c r="A950" s="10" t="s">
        <v>2011</v>
      </c>
      <c r="B950" s="10" t="s">
        <v>2012</v>
      </c>
      <c r="C950" s="11">
        <v>0.0</v>
      </c>
      <c r="D950" s="11">
        <v>0.0</v>
      </c>
      <c r="E950" s="11">
        <v>0.0</v>
      </c>
      <c r="F950" s="11">
        <v>0.0</v>
      </c>
      <c r="G950" s="11">
        <v>0.0</v>
      </c>
      <c r="H950" s="11">
        <v>0.0</v>
      </c>
      <c r="I950" s="11">
        <v>0.0</v>
      </c>
      <c r="J950" s="11">
        <v>0.0</v>
      </c>
      <c r="K950" s="11">
        <f t="shared" si="1"/>
        <v>0</v>
      </c>
      <c r="L950" s="11">
        <f t="shared" si="2"/>
        <v>0</v>
      </c>
    </row>
    <row r="951" ht="15.75" customHeight="1">
      <c r="A951" s="10" t="s">
        <v>2013</v>
      </c>
      <c r="B951" s="10" t="s">
        <v>2014</v>
      </c>
      <c r="C951" s="11">
        <v>0.0</v>
      </c>
      <c r="D951" s="11">
        <v>0.0</v>
      </c>
      <c r="E951" s="11">
        <v>0.0</v>
      </c>
      <c r="F951" s="11">
        <v>0.0</v>
      </c>
      <c r="G951" s="11">
        <v>0.0</v>
      </c>
      <c r="H951" s="11">
        <v>0.0</v>
      </c>
      <c r="I951" s="11">
        <v>0.0</v>
      </c>
      <c r="J951" s="11">
        <v>0.0</v>
      </c>
      <c r="K951" s="11">
        <f t="shared" si="1"/>
        <v>0</v>
      </c>
      <c r="L951" s="11">
        <f t="shared" si="2"/>
        <v>0</v>
      </c>
    </row>
    <row r="952" ht="15.75" customHeight="1">
      <c r="A952" s="10" t="s">
        <v>2017</v>
      </c>
      <c r="B952" s="10" t="s">
        <v>2018</v>
      </c>
      <c r="C952" s="11">
        <v>0.0</v>
      </c>
      <c r="D952" s="11">
        <v>0.0</v>
      </c>
      <c r="E952" s="11">
        <v>0.0</v>
      </c>
      <c r="F952" s="11">
        <v>0.0</v>
      </c>
      <c r="G952" s="11">
        <v>0.0</v>
      </c>
      <c r="H952" s="11">
        <v>0.0</v>
      </c>
      <c r="I952" s="11">
        <v>0.0</v>
      </c>
      <c r="J952" s="11">
        <v>0.0</v>
      </c>
      <c r="K952" s="11">
        <f t="shared" si="1"/>
        <v>0</v>
      </c>
      <c r="L952" s="11">
        <f t="shared" si="2"/>
        <v>0</v>
      </c>
    </row>
    <row r="953" ht="15.75" customHeight="1">
      <c r="A953" s="10" t="s">
        <v>2019</v>
      </c>
      <c r="B953" s="10" t="s">
        <v>2020</v>
      </c>
      <c r="C953" s="11">
        <v>0.0</v>
      </c>
      <c r="D953" s="11">
        <v>0.0</v>
      </c>
      <c r="E953" s="11">
        <v>0.0</v>
      </c>
      <c r="F953" s="11">
        <v>0.0</v>
      </c>
      <c r="G953" s="11">
        <v>0.0</v>
      </c>
      <c r="H953" s="11">
        <v>0.0</v>
      </c>
      <c r="I953" s="11">
        <v>0.0</v>
      </c>
      <c r="J953" s="11">
        <v>0.0</v>
      </c>
      <c r="K953" s="11">
        <f t="shared" si="1"/>
        <v>0</v>
      </c>
      <c r="L953" s="11">
        <f t="shared" si="2"/>
        <v>0</v>
      </c>
    </row>
    <row r="954" ht="15.75" customHeight="1">
      <c r="A954" s="10" t="s">
        <v>2021</v>
      </c>
      <c r="B954" s="10" t="s">
        <v>2022</v>
      </c>
      <c r="C954" s="11">
        <v>0.0</v>
      </c>
      <c r="D954" s="11">
        <v>0.0</v>
      </c>
      <c r="E954" s="11">
        <v>0.0</v>
      </c>
      <c r="F954" s="11">
        <v>0.0</v>
      </c>
      <c r="G954" s="11">
        <v>0.0</v>
      </c>
      <c r="H954" s="11">
        <v>0.0</v>
      </c>
      <c r="I954" s="11">
        <v>0.0</v>
      </c>
      <c r="J954" s="11">
        <v>0.0</v>
      </c>
      <c r="K954" s="11">
        <f t="shared" si="1"/>
        <v>0</v>
      </c>
      <c r="L954" s="11">
        <f t="shared" si="2"/>
        <v>0</v>
      </c>
    </row>
    <row r="955" ht="15.75" customHeight="1">
      <c r="A955" s="10" t="s">
        <v>2023</v>
      </c>
      <c r="B955" s="10" t="s">
        <v>2024</v>
      </c>
      <c r="C955" s="11">
        <v>0.0</v>
      </c>
      <c r="D955" s="11">
        <v>0.0</v>
      </c>
      <c r="E955" s="11">
        <v>0.0</v>
      </c>
      <c r="F955" s="11">
        <v>0.0</v>
      </c>
      <c r="G955" s="11">
        <v>0.0</v>
      </c>
      <c r="H955" s="11">
        <v>0.0</v>
      </c>
      <c r="I955" s="11">
        <v>0.0</v>
      </c>
      <c r="J955" s="11">
        <v>0.0</v>
      </c>
      <c r="K955" s="11">
        <f t="shared" si="1"/>
        <v>0</v>
      </c>
      <c r="L955" s="11">
        <f t="shared" si="2"/>
        <v>0</v>
      </c>
    </row>
    <row r="956" ht="15.75" customHeight="1">
      <c r="A956" s="10" t="s">
        <v>2025</v>
      </c>
      <c r="B956" s="10" t="s">
        <v>2026</v>
      </c>
      <c r="C956" s="11">
        <v>0.0</v>
      </c>
      <c r="D956" s="11">
        <v>0.0</v>
      </c>
      <c r="E956" s="11">
        <v>0.0</v>
      </c>
      <c r="F956" s="11">
        <v>0.0</v>
      </c>
      <c r="G956" s="11">
        <v>0.0</v>
      </c>
      <c r="H956" s="11">
        <v>0.0</v>
      </c>
      <c r="I956" s="11">
        <v>0.0</v>
      </c>
      <c r="J956" s="11">
        <v>0.0</v>
      </c>
      <c r="K956" s="11">
        <f t="shared" si="1"/>
        <v>0</v>
      </c>
      <c r="L956" s="11">
        <f t="shared" si="2"/>
        <v>0</v>
      </c>
    </row>
    <row r="957" ht="15.75" customHeight="1">
      <c r="A957" s="10" t="s">
        <v>2027</v>
      </c>
      <c r="B957" s="10" t="s">
        <v>2028</v>
      </c>
      <c r="C957" s="11">
        <v>0.0</v>
      </c>
      <c r="D957" s="11">
        <v>0.0</v>
      </c>
      <c r="E957" s="11">
        <v>0.0</v>
      </c>
      <c r="F957" s="11">
        <v>0.0</v>
      </c>
      <c r="G957" s="11">
        <v>0.0</v>
      </c>
      <c r="H957" s="11">
        <v>0.0</v>
      </c>
      <c r="I957" s="11">
        <v>0.0</v>
      </c>
      <c r="J957" s="11">
        <v>0.0</v>
      </c>
      <c r="K957" s="11">
        <f t="shared" si="1"/>
        <v>0</v>
      </c>
      <c r="L957" s="11">
        <f t="shared" si="2"/>
        <v>0</v>
      </c>
    </row>
    <row r="958" ht="15.75" customHeight="1">
      <c r="A958" s="10" t="s">
        <v>2029</v>
      </c>
      <c r="B958" s="10" t="s">
        <v>2030</v>
      </c>
      <c r="C958" s="11">
        <v>0.0</v>
      </c>
      <c r="D958" s="11">
        <v>0.0</v>
      </c>
      <c r="E958" s="11">
        <v>0.0</v>
      </c>
      <c r="F958" s="11">
        <v>0.0</v>
      </c>
      <c r="G958" s="11">
        <v>0.0</v>
      </c>
      <c r="H958" s="11">
        <v>0.0</v>
      </c>
      <c r="I958" s="11">
        <v>0.0</v>
      </c>
      <c r="J958" s="11">
        <v>0.0</v>
      </c>
      <c r="K958" s="11">
        <f t="shared" si="1"/>
        <v>0</v>
      </c>
      <c r="L958" s="11">
        <f t="shared" si="2"/>
        <v>0</v>
      </c>
    </row>
    <row r="959" ht="15.75" customHeight="1">
      <c r="A959" s="10" t="s">
        <v>2031</v>
      </c>
      <c r="B959" s="10" t="s">
        <v>2032</v>
      </c>
      <c r="C959" s="11">
        <v>0.0</v>
      </c>
      <c r="D959" s="11">
        <v>0.0</v>
      </c>
      <c r="E959" s="11">
        <v>0.0</v>
      </c>
      <c r="F959" s="11">
        <v>0.0</v>
      </c>
      <c r="G959" s="11">
        <v>0.0</v>
      </c>
      <c r="H959" s="11">
        <v>0.0</v>
      </c>
      <c r="I959" s="11">
        <v>0.0</v>
      </c>
      <c r="J959" s="11">
        <v>0.0</v>
      </c>
      <c r="K959" s="11">
        <f t="shared" si="1"/>
        <v>0</v>
      </c>
      <c r="L959" s="11">
        <f t="shared" si="2"/>
        <v>0</v>
      </c>
    </row>
    <row r="960" ht="15.75" customHeight="1">
      <c r="A960" s="10" t="s">
        <v>2033</v>
      </c>
      <c r="B960" s="10" t="s">
        <v>2034</v>
      </c>
      <c r="C960" s="11">
        <v>0.0</v>
      </c>
      <c r="D960" s="11">
        <v>0.0</v>
      </c>
      <c r="E960" s="11">
        <v>0.0</v>
      </c>
      <c r="F960" s="11">
        <v>0.0</v>
      </c>
      <c r="G960" s="11">
        <v>0.0</v>
      </c>
      <c r="H960" s="11">
        <v>0.0</v>
      </c>
      <c r="I960" s="11">
        <v>0.0</v>
      </c>
      <c r="J960" s="11">
        <v>0.0</v>
      </c>
      <c r="K960" s="11">
        <f t="shared" si="1"/>
        <v>0</v>
      </c>
      <c r="L960" s="11">
        <f t="shared" si="2"/>
        <v>0</v>
      </c>
    </row>
    <row r="961" ht="15.75" customHeight="1">
      <c r="A961" s="10" t="s">
        <v>2035</v>
      </c>
      <c r="B961" s="10" t="s">
        <v>2036</v>
      </c>
      <c r="C961" s="11">
        <v>0.0</v>
      </c>
      <c r="D961" s="11">
        <v>0.0</v>
      </c>
      <c r="E961" s="11">
        <v>0.0</v>
      </c>
      <c r="F961" s="11">
        <v>0.0</v>
      </c>
      <c r="G961" s="11">
        <v>0.0</v>
      </c>
      <c r="H961" s="11">
        <v>0.0</v>
      </c>
      <c r="I961" s="11">
        <v>0.0</v>
      </c>
      <c r="J961" s="11">
        <v>0.0</v>
      </c>
      <c r="K961" s="11">
        <f t="shared" si="1"/>
        <v>0</v>
      </c>
      <c r="L961" s="11">
        <f t="shared" si="2"/>
        <v>0</v>
      </c>
    </row>
    <row r="962" ht="15.75" customHeight="1">
      <c r="A962" s="10" t="s">
        <v>2037</v>
      </c>
      <c r="B962" s="10" t="s">
        <v>2038</v>
      </c>
      <c r="C962" s="11">
        <v>0.0</v>
      </c>
      <c r="D962" s="11">
        <v>0.0</v>
      </c>
      <c r="E962" s="11">
        <v>0.0</v>
      </c>
      <c r="F962" s="11">
        <v>0.0</v>
      </c>
      <c r="G962" s="11">
        <v>0.0</v>
      </c>
      <c r="H962" s="11">
        <v>0.0</v>
      </c>
      <c r="I962" s="11">
        <v>0.0</v>
      </c>
      <c r="J962" s="11">
        <v>0.0</v>
      </c>
      <c r="K962" s="11">
        <f t="shared" si="1"/>
        <v>0</v>
      </c>
      <c r="L962" s="11">
        <f t="shared" si="2"/>
        <v>0</v>
      </c>
    </row>
    <row r="963" ht="15.75" customHeight="1">
      <c r="A963" s="10" t="s">
        <v>2039</v>
      </c>
      <c r="B963" s="10" t="s">
        <v>2040</v>
      </c>
      <c r="C963" s="11">
        <v>0.0</v>
      </c>
      <c r="D963" s="11">
        <v>0.0</v>
      </c>
      <c r="E963" s="11">
        <v>0.0</v>
      </c>
      <c r="F963" s="11">
        <v>0.0</v>
      </c>
      <c r="G963" s="11">
        <v>0.0</v>
      </c>
      <c r="H963" s="11">
        <v>0.0</v>
      </c>
      <c r="I963" s="11">
        <v>0.0</v>
      </c>
      <c r="J963" s="11">
        <v>0.0</v>
      </c>
      <c r="K963" s="11">
        <f t="shared" si="1"/>
        <v>0</v>
      </c>
      <c r="L963" s="11">
        <f t="shared" si="2"/>
        <v>0</v>
      </c>
    </row>
    <row r="964" ht="15.75" customHeight="1">
      <c r="A964" s="10" t="s">
        <v>2041</v>
      </c>
      <c r="B964" s="10" t="s">
        <v>2042</v>
      </c>
      <c r="C964" s="11">
        <v>0.0</v>
      </c>
      <c r="D964" s="11">
        <v>0.0</v>
      </c>
      <c r="E964" s="11">
        <v>0.0</v>
      </c>
      <c r="F964" s="11">
        <v>0.0</v>
      </c>
      <c r="G964" s="11">
        <v>0.0</v>
      </c>
      <c r="H964" s="11">
        <v>0.0</v>
      </c>
      <c r="I964" s="11">
        <v>0.0</v>
      </c>
      <c r="J964" s="11">
        <v>0.0</v>
      </c>
      <c r="K964" s="11">
        <f t="shared" si="1"/>
        <v>0</v>
      </c>
      <c r="L964" s="11">
        <f t="shared" si="2"/>
        <v>0</v>
      </c>
    </row>
    <row r="965" ht="15.75" customHeight="1">
      <c r="A965" s="10" t="s">
        <v>2043</v>
      </c>
      <c r="B965" s="10" t="s">
        <v>2044</v>
      </c>
      <c r="C965" s="11">
        <v>0.0</v>
      </c>
      <c r="D965" s="11">
        <v>0.0</v>
      </c>
      <c r="E965" s="11">
        <v>0.0</v>
      </c>
      <c r="F965" s="11">
        <v>0.0</v>
      </c>
      <c r="G965" s="11">
        <v>0.0</v>
      </c>
      <c r="H965" s="11">
        <v>0.0</v>
      </c>
      <c r="I965" s="11">
        <v>0.0</v>
      </c>
      <c r="J965" s="11">
        <v>0.0</v>
      </c>
      <c r="K965" s="11">
        <f t="shared" si="1"/>
        <v>0</v>
      </c>
      <c r="L965" s="11">
        <f t="shared" si="2"/>
        <v>0</v>
      </c>
    </row>
    <row r="966" ht="15.75" customHeight="1">
      <c r="A966" s="10" t="s">
        <v>2045</v>
      </c>
      <c r="B966" s="10" t="s">
        <v>2046</v>
      </c>
      <c r="C966" s="11">
        <v>0.0</v>
      </c>
      <c r="D966" s="11">
        <v>0.0</v>
      </c>
      <c r="E966" s="11">
        <v>0.0</v>
      </c>
      <c r="F966" s="11">
        <v>0.0</v>
      </c>
      <c r="G966" s="11">
        <v>0.0</v>
      </c>
      <c r="H966" s="11">
        <v>0.0</v>
      </c>
      <c r="I966" s="11">
        <v>0.0</v>
      </c>
      <c r="J966" s="11">
        <v>0.0</v>
      </c>
      <c r="K966" s="11">
        <f t="shared" si="1"/>
        <v>0</v>
      </c>
      <c r="L966" s="11">
        <f t="shared" si="2"/>
        <v>0</v>
      </c>
    </row>
    <row r="967" ht="15.75" customHeight="1">
      <c r="A967" s="10" t="s">
        <v>2047</v>
      </c>
      <c r="B967" s="10" t="s">
        <v>2048</v>
      </c>
      <c r="C967" s="11">
        <v>0.0</v>
      </c>
      <c r="D967" s="11">
        <v>0.0</v>
      </c>
      <c r="E967" s="11">
        <v>0.0</v>
      </c>
      <c r="F967" s="11">
        <v>0.0</v>
      </c>
      <c r="G967" s="11">
        <v>0.0</v>
      </c>
      <c r="H967" s="11">
        <v>0.0</v>
      </c>
      <c r="I967" s="11">
        <v>0.0</v>
      </c>
      <c r="J967" s="11">
        <v>0.0</v>
      </c>
      <c r="K967" s="11">
        <f t="shared" si="1"/>
        <v>0</v>
      </c>
      <c r="L967" s="11">
        <f t="shared" si="2"/>
        <v>0</v>
      </c>
    </row>
    <row r="968" ht="15.75" customHeight="1">
      <c r="A968" s="10" t="s">
        <v>2049</v>
      </c>
      <c r="B968" s="10" t="s">
        <v>2050</v>
      </c>
      <c r="C968" s="11">
        <v>0.0</v>
      </c>
      <c r="D968" s="11">
        <v>0.0</v>
      </c>
      <c r="E968" s="11">
        <v>0.0</v>
      </c>
      <c r="F968" s="11">
        <v>0.0</v>
      </c>
      <c r="G968" s="11">
        <v>0.0</v>
      </c>
      <c r="H968" s="11">
        <v>0.0</v>
      </c>
      <c r="I968" s="11">
        <v>0.0</v>
      </c>
      <c r="J968" s="11">
        <v>0.0</v>
      </c>
      <c r="K968" s="11">
        <f t="shared" si="1"/>
        <v>0</v>
      </c>
      <c r="L968" s="11">
        <f t="shared" si="2"/>
        <v>0</v>
      </c>
    </row>
    <row r="969" ht="15.75" customHeight="1">
      <c r="A969" s="10" t="s">
        <v>2051</v>
      </c>
      <c r="B969" s="10" t="s">
        <v>2052</v>
      </c>
      <c r="C969" s="11">
        <v>0.0</v>
      </c>
      <c r="D969" s="11">
        <v>0.0</v>
      </c>
      <c r="E969" s="11">
        <v>0.0</v>
      </c>
      <c r="F969" s="11">
        <v>0.0</v>
      </c>
      <c r="G969" s="11">
        <v>0.0</v>
      </c>
      <c r="H969" s="11">
        <v>0.0</v>
      </c>
      <c r="I969" s="11">
        <v>0.0</v>
      </c>
      <c r="J969" s="11">
        <v>0.0</v>
      </c>
      <c r="K969" s="11">
        <f t="shared" si="1"/>
        <v>0</v>
      </c>
      <c r="L969" s="11">
        <f t="shared" si="2"/>
        <v>0</v>
      </c>
    </row>
    <row r="970" ht="15.75" customHeight="1">
      <c r="A970" s="10" t="s">
        <v>2053</v>
      </c>
      <c r="B970" s="10" t="s">
        <v>2054</v>
      </c>
      <c r="C970" s="11">
        <v>0.0</v>
      </c>
      <c r="D970" s="11">
        <v>0.0</v>
      </c>
      <c r="E970" s="11">
        <v>0.0</v>
      </c>
      <c r="F970" s="11">
        <v>0.0</v>
      </c>
      <c r="G970" s="11">
        <v>0.0</v>
      </c>
      <c r="H970" s="11">
        <v>0.0</v>
      </c>
      <c r="I970" s="11">
        <v>0.0</v>
      </c>
      <c r="J970" s="11">
        <v>0.0</v>
      </c>
      <c r="K970" s="11">
        <f t="shared" si="1"/>
        <v>0</v>
      </c>
      <c r="L970" s="11">
        <f t="shared" si="2"/>
        <v>0</v>
      </c>
    </row>
    <row r="971" ht="15.75" customHeight="1">
      <c r="A971" s="10" t="s">
        <v>2055</v>
      </c>
      <c r="B971" s="10" t="s">
        <v>2056</v>
      </c>
      <c r="C971" s="11">
        <v>0.0</v>
      </c>
      <c r="D971" s="11">
        <v>0.0</v>
      </c>
      <c r="E971" s="11">
        <v>0.0</v>
      </c>
      <c r="F971" s="11">
        <v>0.0</v>
      </c>
      <c r="G971" s="11">
        <v>0.0</v>
      </c>
      <c r="H971" s="11">
        <v>0.0</v>
      </c>
      <c r="I971" s="11">
        <v>0.0</v>
      </c>
      <c r="J971" s="11">
        <v>0.0</v>
      </c>
      <c r="K971" s="11">
        <f t="shared" si="1"/>
        <v>0</v>
      </c>
      <c r="L971" s="11">
        <f t="shared" si="2"/>
        <v>0</v>
      </c>
    </row>
    <row r="972" ht="15.75" customHeight="1">
      <c r="A972" s="10" t="s">
        <v>2057</v>
      </c>
      <c r="B972" s="10" t="s">
        <v>2058</v>
      </c>
      <c r="C972" s="11">
        <v>0.0</v>
      </c>
      <c r="D972" s="11">
        <v>0.0</v>
      </c>
      <c r="E972" s="11">
        <v>0.0</v>
      </c>
      <c r="F972" s="11">
        <v>0.0</v>
      </c>
      <c r="G972" s="11">
        <v>0.0</v>
      </c>
      <c r="H972" s="11">
        <v>0.0</v>
      </c>
      <c r="I972" s="11">
        <v>0.0</v>
      </c>
      <c r="J972" s="11">
        <v>0.0</v>
      </c>
      <c r="K972" s="11">
        <f t="shared" si="1"/>
        <v>0</v>
      </c>
      <c r="L972" s="11">
        <f t="shared" si="2"/>
        <v>0</v>
      </c>
    </row>
    <row r="973" ht="15.75" customHeight="1">
      <c r="A973" s="10" t="s">
        <v>2059</v>
      </c>
      <c r="B973" s="10" t="s">
        <v>2060</v>
      </c>
      <c r="C973" s="11">
        <v>0.0</v>
      </c>
      <c r="D973" s="11">
        <v>0.0</v>
      </c>
      <c r="E973" s="11">
        <v>0.0</v>
      </c>
      <c r="F973" s="11">
        <v>0.0</v>
      </c>
      <c r="G973" s="11">
        <v>0.0</v>
      </c>
      <c r="H973" s="11">
        <v>0.0</v>
      </c>
      <c r="I973" s="11">
        <v>0.0</v>
      </c>
      <c r="J973" s="11">
        <v>0.0</v>
      </c>
      <c r="K973" s="11">
        <f t="shared" si="1"/>
        <v>0</v>
      </c>
      <c r="L973" s="11">
        <f t="shared" si="2"/>
        <v>0</v>
      </c>
    </row>
    <row r="974" ht="15.75" customHeight="1">
      <c r="A974" s="10" t="s">
        <v>2062</v>
      </c>
      <c r="B974" s="10" t="s">
        <v>2063</v>
      </c>
      <c r="C974" s="11">
        <v>0.0</v>
      </c>
      <c r="D974" s="11">
        <v>0.0</v>
      </c>
      <c r="E974" s="11">
        <v>0.0</v>
      </c>
      <c r="F974" s="11">
        <v>0.0</v>
      </c>
      <c r="G974" s="11">
        <v>0.0</v>
      </c>
      <c r="H974" s="11">
        <v>0.0</v>
      </c>
      <c r="I974" s="11">
        <v>0.0</v>
      </c>
      <c r="J974" s="11">
        <v>0.0</v>
      </c>
      <c r="K974" s="11">
        <f t="shared" si="1"/>
        <v>0</v>
      </c>
      <c r="L974" s="11">
        <f t="shared" si="2"/>
        <v>0</v>
      </c>
    </row>
    <row r="975" ht="15.75" customHeight="1">
      <c r="A975" s="10" t="s">
        <v>2064</v>
      </c>
      <c r="B975" s="10" t="s">
        <v>2065</v>
      </c>
      <c r="C975" s="11">
        <v>0.0</v>
      </c>
      <c r="D975" s="11">
        <v>0.0</v>
      </c>
      <c r="E975" s="11">
        <v>0.0</v>
      </c>
      <c r="F975" s="11">
        <v>0.0</v>
      </c>
      <c r="G975" s="11">
        <v>0.0</v>
      </c>
      <c r="H975" s="11">
        <v>0.0</v>
      </c>
      <c r="I975" s="11">
        <v>0.0</v>
      </c>
      <c r="J975" s="11">
        <v>0.0</v>
      </c>
      <c r="K975" s="11">
        <f t="shared" si="1"/>
        <v>0</v>
      </c>
      <c r="L975" s="11">
        <f t="shared" si="2"/>
        <v>0</v>
      </c>
    </row>
    <row r="976" ht="15.75" customHeight="1">
      <c r="A976" s="10" t="s">
        <v>2066</v>
      </c>
      <c r="B976" s="10" t="s">
        <v>2067</v>
      </c>
      <c r="C976" s="11">
        <v>0.0</v>
      </c>
      <c r="D976" s="11">
        <v>0.0</v>
      </c>
      <c r="E976" s="11">
        <v>0.0</v>
      </c>
      <c r="F976" s="11">
        <v>0.0</v>
      </c>
      <c r="G976" s="11">
        <v>0.0</v>
      </c>
      <c r="H976" s="11">
        <v>0.0</v>
      </c>
      <c r="I976" s="11">
        <v>0.0</v>
      </c>
      <c r="J976" s="11">
        <v>0.0</v>
      </c>
      <c r="K976" s="11">
        <f t="shared" si="1"/>
        <v>0</v>
      </c>
      <c r="L976" s="11">
        <f t="shared" si="2"/>
        <v>0</v>
      </c>
    </row>
    <row r="977" ht="15.75" customHeight="1">
      <c r="A977" s="10" t="s">
        <v>2068</v>
      </c>
      <c r="B977" s="10" t="s">
        <v>2069</v>
      </c>
      <c r="C977" s="11">
        <v>0.0</v>
      </c>
      <c r="D977" s="11">
        <v>0.0</v>
      </c>
      <c r="E977" s="11">
        <v>0.0</v>
      </c>
      <c r="F977" s="11">
        <v>0.0</v>
      </c>
      <c r="G977" s="11">
        <v>0.0</v>
      </c>
      <c r="H977" s="11">
        <v>0.0</v>
      </c>
      <c r="I977" s="11">
        <v>0.0</v>
      </c>
      <c r="J977" s="11">
        <v>0.0</v>
      </c>
      <c r="K977" s="11">
        <f t="shared" si="1"/>
        <v>0</v>
      </c>
      <c r="L977" s="11">
        <f t="shared" si="2"/>
        <v>0</v>
      </c>
    </row>
    <row r="978" ht="15.75" customHeight="1">
      <c r="A978" s="10" t="s">
        <v>2070</v>
      </c>
      <c r="B978" s="10" t="s">
        <v>2071</v>
      </c>
      <c r="C978" s="11">
        <v>0.0</v>
      </c>
      <c r="D978" s="11">
        <v>0.0</v>
      </c>
      <c r="E978" s="11">
        <v>0.0</v>
      </c>
      <c r="F978" s="11">
        <v>0.0</v>
      </c>
      <c r="G978" s="11">
        <v>0.0</v>
      </c>
      <c r="H978" s="11">
        <v>0.0</v>
      </c>
      <c r="I978" s="11">
        <v>0.0</v>
      </c>
      <c r="J978" s="11">
        <v>0.0</v>
      </c>
      <c r="K978" s="11">
        <f t="shared" si="1"/>
        <v>0</v>
      </c>
      <c r="L978" s="11">
        <f t="shared" si="2"/>
        <v>0</v>
      </c>
    </row>
    <row r="979" ht="15.75" customHeight="1">
      <c r="A979" s="10" t="s">
        <v>2072</v>
      </c>
      <c r="B979" s="10" t="s">
        <v>2073</v>
      </c>
      <c r="C979" s="11">
        <v>0.0</v>
      </c>
      <c r="D979" s="11">
        <v>0.0</v>
      </c>
      <c r="E979" s="11">
        <v>0.0</v>
      </c>
      <c r="F979" s="11">
        <v>0.0</v>
      </c>
      <c r="G979" s="11">
        <v>0.0</v>
      </c>
      <c r="H979" s="11">
        <v>0.0</v>
      </c>
      <c r="I979" s="11">
        <v>0.0</v>
      </c>
      <c r="J979" s="11">
        <v>0.0</v>
      </c>
      <c r="K979" s="11">
        <f t="shared" si="1"/>
        <v>0</v>
      </c>
      <c r="L979" s="11">
        <f t="shared" si="2"/>
        <v>0</v>
      </c>
    </row>
    <row r="980" ht="15.75" customHeight="1">
      <c r="A980" s="10" t="s">
        <v>2074</v>
      </c>
      <c r="B980" s="10" t="s">
        <v>2075</v>
      </c>
      <c r="C980" s="11">
        <v>0.0</v>
      </c>
      <c r="D980" s="11">
        <v>0.0</v>
      </c>
      <c r="E980" s="11">
        <v>0.0</v>
      </c>
      <c r="F980" s="11">
        <v>0.0</v>
      </c>
      <c r="G980" s="11">
        <v>0.0</v>
      </c>
      <c r="H980" s="11">
        <v>0.0</v>
      </c>
      <c r="I980" s="11">
        <v>0.0</v>
      </c>
      <c r="J980" s="11">
        <v>0.0</v>
      </c>
      <c r="K980" s="11">
        <f t="shared" si="1"/>
        <v>0</v>
      </c>
      <c r="L980" s="11">
        <f t="shared" si="2"/>
        <v>0</v>
      </c>
    </row>
    <row r="981" ht="15.75" customHeight="1">
      <c r="A981" s="10" t="s">
        <v>2076</v>
      </c>
      <c r="B981" s="10" t="s">
        <v>2077</v>
      </c>
      <c r="C981" s="11">
        <v>0.0</v>
      </c>
      <c r="D981" s="11">
        <v>0.0</v>
      </c>
      <c r="E981" s="11">
        <v>0.0</v>
      </c>
      <c r="F981" s="11">
        <v>0.0</v>
      </c>
      <c r="G981" s="11">
        <v>0.0</v>
      </c>
      <c r="H981" s="11">
        <v>0.0</v>
      </c>
      <c r="I981" s="11">
        <v>0.0</v>
      </c>
      <c r="J981" s="11">
        <v>0.0</v>
      </c>
      <c r="K981" s="11">
        <f t="shared" si="1"/>
        <v>0</v>
      </c>
      <c r="L981" s="11">
        <f t="shared" si="2"/>
        <v>0</v>
      </c>
    </row>
    <row r="982" ht="15.75" customHeight="1">
      <c r="A982" s="10" t="s">
        <v>2078</v>
      </c>
      <c r="B982" s="10" t="s">
        <v>2079</v>
      </c>
      <c r="C982" s="11">
        <v>0.0</v>
      </c>
      <c r="D982" s="11">
        <v>0.0</v>
      </c>
      <c r="E982" s="11">
        <v>0.0</v>
      </c>
      <c r="F982" s="11">
        <v>0.0</v>
      </c>
      <c r="G982" s="11">
        <v>0.0</v>
      </c>
      <c r="H982" s="11">
        <v>0.0</v>
      </c>
      <c r="I982" s="11">
        <v>0.0</v>
      </c>
      <c r="J982" s="11">
        <v>0.0</v>
      </c>
      <c r="K982" s="11">
        <f t="shared" si="1"/>
        <v>0</v>
      </c>
      <c r="L982" s="11">
        <f t="shared" si="2"/>
        <v>0</v>
      </c>
    </row>
    <row r="983" ht="15.75" customHeight="1">
      <c r="A983" s="10" t="s">
        <v>2080</v>
      </c>
      <c r="B983" s="10" t="s">
        <v>2081</v>
      </c>
      <c r="C983" s="11">
        <v>0.0</v>
      </c>
      <c r="D983" s="11">
        <v>0.0</v>
      </c>
      <c r="E983" s="11">
        <v>0.0</v>
      </c>
      <c r="F983" s="11">
        <v>0.0</v>
      </c>
      <c r="G983" s="11">
        <v>0.0</v>
      </c>
      <c r="H983" s="11">
        <v>0.0</v>
      </c>
      <c r="I983" s="11">
        <v>0.0</v>
      </c>
      <c r="J983" s="11">
        <v>0.0</v>
      </c>
      <c r="K983" s="11">
        <f t="shared" si="1"/>
        <v>0</v>
      </c>
      <c r="L983" s="11">
        <f t="shared" si="2"/>
        <v>0</v>
      </c>
    </row>
    <row r="984" ht="15.75" customHeight="1">
      <c r="A984" s="10" t="s">
        <v>2082</v>
      </c>
      <c r="B984" s="10" t="s">
        <v>2083</v>
      </c>
      <c r="C984" s="11">
        <v>0.0</v>
      </c>
      <c r="D984" s="11">
        <v>0.0</v>
      </c>
      <c r="E984" s="11">
        <v>0.0</v>
      </c>
      <c r="F984" s="11">
        <v>0.0</v>
      </c>
      <c r="G984" s="11">
        <v>0.0</v>
      </c>
      <c r="H984" s="11">
        <v>0.0</v>
      </c>
      <c r="I984" s="11">
        <v>0.0</v>
      </c>
      <c r="J984" s="11">
        <v>0.0</v>
      </c>
      <c r="K984" s="11">
        <f t="shared" si="1"/>
        <v>0</v>
      </c>
      <c r="L984" s="11">
        <f t="shared" si="2"/>
        <v>0</v>
      </c>
    </row>
    <row r="985" ht="15.75" customHeight="1">
      <c r="A985" s="10" t="s">
        <v>2084</v>
      </c>
      <c r="B985" s="10" t="s">
        <v>2085</v>
      </c>
      <c r="C985" s="11">
        <v>0.0</v>
      </c>
      <c r="D985" s="11">
        <v>0.0</v>
      </c>
      <c r="E985" s="11">
        <v>0.0</v>
      </c>
      <c r="F985" s="11">
        <v>0.0</v>
      </c>
      <c r="G985" s="11">
        <v>0.0</v>
      </c>
      <c r="H985" s="11">
        <v>0.0</v>
      </c>
      <c r="I985" s="11">
        <v>0.0</v>
      </c>
      <c r="J985" s="11">
        <v>0.0</v>
      </c>
      <c r="K985" s="11">
        <f t="shared" si="1"/>
        <v>0</v>
      </c>
      <c r="L985" s="11">
        <f t="shared" si="2"/>
        <v>0</v>
      </c>
    </row>
    <row r="986" ht="15.75" customHeight="1">
      <c r="A986" s="10" t="s">
        <v>2086</v>
      </c>
      <c r="B986" s="10" t="s">
        <v>2087</v>
      </c>
      <c r="C986" s="11">
        <v>0.0</v>
      </c>
      <c r="D986" s="11">
        <v>0.0</v>
      </c>
      <c r="E986" s="11">
        <v>0.0</v>
      </c>
      <c r="F986" s="11">
        <v>0.0</v>
      </c>
      <c r="G986" s="11">
        <v>0.0</v>
      </c>
      <c r="H986" s="11">
        <v>0.0</v>
      </c>
      <c r="I986" s="11">
        <v>0.0</v>
      </c>
      <c r="J986" s="11">
        <v>0.0</v>
      </c>
      <c r="K986" s="11">
        <f t="shared" si="1"/>
        <v>0</v>
      </c>
      <c r="L986" s="11">
        <f t="shared" si="2"/>
        <v>0</v>
      </c>
    </row>
    <row r="987" ht="15.75" customHeight="1">
      <c r="A987" s="10" t="s">
        <v>2088</v>
      </c>
      <c r="B987" s="10" t="s">
        <v>2089</v>
      </c>
      <c r="C987" s="11">
        <v>0.0</v>
      </c>
      <c r="D987" s="11">
        <v>0.0</v>
      </c>
      <c r="E987" s="11">
        <v>0.0</v>
      </c>
      <c r="F987" s="11">
        <v>0.0</v>
      </c>
      <c r="G987" s="11">
        <v>0.0</v>
      </c>
      <c r="H987" s="11">
        <v>0.0</v>
      </c>
      <c r="I987" s="11">
        <v>0.0</v>
      </c>
      <c r="J987" s="11">
        <v>0.0</v>
      </c>
      <c r="K987" s="11">
        <f t="shared" si="1"/>
        <v>0</v>
      </c>
      <c r="L987" s="11">
        <f t="shared" si="2"/>
        <v>0</v>
      </c>
    </row>
    <row r="988" ht="15.75" customHeight="1">
      <c r="A988" s="10" t="s">
        <v>2090</v>
      </c>
      <c r="B988" s="10" t="s">
        <v>2091</v>
      </c>
      <c r="C988" s="11">
        <v>0.0</v>
      </c>
      <c r="D988" s="11">
        <v>0.0</v>
      </c>
      <c r="E988" s="11">
        <v>0.0</v>
      </c>
      <c r="F988" s="11">
        <v>0.0</v>
      </c>
      <c r="G988" s="11">
        <v>0.0</v>
      </c>
      <c r="H988" s="11">
        <v>0.0</v>
      </c>
      <c r="I988" s="11">
        <v>0.0</v>
      </c>
      <c r="J988" s="11">
        <v>0.0</v>
      </c>
      <c r="K988" s="11">
        <f t="shared" si="1"/>
        <v>0</v>
      </c>
      <c r="L988" s="11">
        <f t="shared" si="2"/>
        <v>0</v>
      </c>
    </row>
    <row r="989" ht="15.75" customHeight="1">
      <c r="A989" s="10" t="s">
        <v>2092</v>
      </c>
      <c r="B989" s="10" t="s">
        <v>2093</v>
      </c>
      <c r="C989" s="11">
        <v>0.0</v>
      </c>
      <c r="D989" s="11">
        <v>0.0</v>
      </c>
      <c r="E989" s="11">
        <v>0.0</v>
      </c>
      <c r="F989" s="11">
        <v>0.0</v>
      </c>
      <c r="G989" s="11">
        <v>0.0</v>
      </c>
      <c r="H989" s="11">
        <v>0.0</v>
      </c>
      <c r="I989" s="11">
        <v>0.0</v>
      </c>
      <c r="J989" s="11">
        <v>0.0</v>
      </c>
      <c r="K989" s="11">
        <f t="shared" si="1"/>
        <v>0</v>
      </c>
      <c r="L989" s="11">
        <f t="shared" si="2"/>
        <v>0</v>
      </c>
    </row>
    <row r="990" ht="15.75" customHeight="1">
      <c r="A990" s="10" t="s">
        <v>2094</v>
      </c>
      <c r="B990" s="10" t="s">
        <v>2095</v>
      </c>
      <c r="C990" s="11">
        <v>0.0</v>
      </c>
      <c r="D990" s="11">
        <v>0.0</v>
      </c>
      <c r="E990" s="11">
        <v>0.0</v>
      </c>
      <c r="F990" s="11">
        <v>0.0</v>
      </c>
      <c r="G990" s="11">
        <v>0.0</v>
      </c>
      <c r="H990" s="11">
        <v>0.0</v>
      </c>
      <c r="I990" s="11">
        <v>0.0</v>
      </c>
      <c r="J990" s="11">
        <v>0.0</v>
      </c>
      <c r="K990" s="11">
        <f t="shared" si="1"/>
        <v>0</v>
      </c>
      <c r="L990" s="11">
        <f t="shared" si="2"/>
        <v>0</v>
      </c>
    </row>
    <row r="991" ht="15.75" customHeight="1">
      <c r="A991" s="10" t="s">
        <v>2096</v>
      </c>
      <c r="B991" s="10" t="s">
        <v>2097</v>
      </c>
      <c r="C991" s="11">
        <v>0.0</v>
      </c>
      <c r="D991" s="11">
        <v>0.0</v>
      </c>
      <c r="E991" s="11">
        <v>0.0</v>
      </c>
      <c r="F991" s="11">
        <v>0.0</v>
      </c>
      <c r="G991" s="11">
        <v>0.0</v>
      </c>
      <c r="H991" s="11">
        <v>0.0</v>
      </c>
      <c r="I991" s="11">
        <v>0.0</v>
      </c>
      <c r="J991" s="11">
        <v>0.0</v>
      </c>
      <c r="K991" s="11">
        <f t="shared" si="1"/>
        <v>0</v>
      </c>
      <c r="L991" s="11">
        <f t="shared" si="2"/>
        <v>0</v>
      </c>
    </row>
    <row r="992" ht="15.75" customHeight="1">
      <c r="A992" s="10" t="s">
        <v>2098</v>
      </c>
      <c r="B992" s="10" t="s">
        <v>2099</v>
      </c>
      <c r="C992" s="11">
        <v>0.0</v>
      </c>
      <c r="D992" s="11">
        <v>0.0</v>
      </c>
      <c r="E992" s="11">
        <v>0.0</v>
      </c>
      <c r="F992" s="11">
        <v>0.0</v>
      </c>
      <c r="G992" s="11">
        <v>0.0</v>
      </c>
      <c r="H992" s="11">
        <v>0.0</v>
      </c>
      <c r="I992" s="11">
        <v>0.0</v>
      </c>
      <c r="J992" s="11">
        <v>0.0</v>
      </c>
      <c r="K992" s="11">
        <f t="shared" si="1"/>
        <v>0</v>
      </c>
      <c r="L992" s="11">
        <f t="shared" si="2"/>
        <v>0</v>
      </c>
    </row>
    <row r="993" ht="15.75" customHeight="1">
      <c r="A993" s="10" t="s">
        <v>2101</v>
      </c>
      <c r="B993" s="10" t="s">
        <v>2102</v>
      </c>
      <c r="C993" s="11">
        <v>0.0</v>
      </c>
      <c r="D993" s="11">
        <v>0.0</v>
      </c>
      <c r="E993" s="11">
        <v>0.0</v>
      </c>
      <c r="F993" s="11">
        <v>0.0</v>
      </c>
      <c r="G993" s="11">
        <v>0.0</v>
      </c>
      <c r="H993" s="11">
        <v>0.0</v>
      </c>
      <c r="I993" s="11">
        <v>0.0</v>
      </c>
      <c r="J993" s="11">
        <v>0.0</v>
      </c>
      <c r="K993" s="11">
        <f t="shared" si="1"/>
        <v>0</v>
      </c>
      <c r="L993" s="11">
        <f t="shared" si="2"/>
        <v>0</v>
      </c>
    </row>
    <row r="994" ht="15.75" customHeight="1">
      <c r="A994" s="10" t="s">
        <v>2103</v>
      </c>
      <c r="B994" s="10" t="s">
        <v>2104</v>
      </c>
      <c r="C994" s="11">
        <v>0.0</v>
      </c>
      <c r="D994" s="11">
        <v>0.0</v>
      </c>
      <c r="E994" s="11">
        <v>0.0</v>
      </c>
      <c r="F994" s="11">
        <v>0.0</v>
      </c>
      <c r="G994" s="11">
        <v>0.0</v>
      </c>
      <c r="H994" s="11">
        <v>0.0</v>
      </c>
      <c r="I994" s="11">
        <v>0.0</v>
      </c>
      <c r="J994" s="11">
        <v>0.0</v>
      </c>
      <c r="K994" s="11">
        <f t="shared" si="1"/>
        <v>0</v>
      </c>
      <c r="L994" s="11">
        <f t="shared" si="2"/>
        <v>0</v>
      </c>
    </row>
    <row r="995" ht="15.75" customHeight="1">
      <c r="A995" s="10" t="s">
        <v>2105</v>
      </c>
      <c r="B995" s="10" t="s">
        <v>2106</v>
      </c>
      <c r="C995" s="11">
        <v>0.0</v>
      </c>
      <c r="D995" s="11">
        <v>0.0</v>
      </c>
      <c r="E995" s="11">
        <v>0.0</v>
      </c>
      <c r="F995" s="11">
        <v>0.0</v>
      </c>
      <c r="G995" s="11">
        <v>0.0</v>
      </c>
      <c r="H995" s="11">
        <v>0.0</v>
      </c>
      <c r="I995" s="11">
        <v>0.0</v>
      </c>
      <c r="J995" s="11">
        <v>0.0</v>
      </c>
      <c r="K995" s="11">
        <f t="shared" si="1"/>
        <v>0</v>
      </c>
      <c r="L995" s="11">
        <f t="shared" si="2"/>
        <v>0</v>
      </c>
    </row>
    <row r="996" ht="15.75" customHeight="1">
      <c r="A996" s="10" t="s">
        <v>2107</v>
      </c>
      <c r="B996" s="10" t="s">
        <v>2108</v>
      </c>
      <c r="C996" s="11">
        <v>0.0</v>
      </c>
      <c r="D996" s="11">
        <v>0.0</v>
      </c>
      <c r="E996" s="11">
        <v>0.0</v>
      </c>
      <c r="F996" s="11">
        <v>0.0</v>
      </c>
      <c r="G996" s="11">
        <v>0.0</v>
      </c>
      <c r="H996" s="11">
        <v>0.0</v>
      </c>
      <c r="I996" s="11">
        <v>0.0</v>
      </c>
      <c r="J996" s="11">
        <v>0.0</v>
      </c>
      <c r="K996" s="11">
        <f t="shared" si="1"/>
        <v>0</v>
      </c>
      <c r="L996" s="11">
        <f t="shared" si="2"/>
        <v>0</v>
      </c>
    </row>
    <row r="997" ht="15.75" customHeight="1">
      <c r="A997" s="10" t="s">
        <v>2109</v>
      </c>
      <c r="B997" s="10" t="s">
        <v>2110</v>
      </c>
      <c r="C997" s="11">
        <v>0.0</v>
      </c>
      <c r="D997" s="11">
        <v>0.0</v>
      </c>
      <c r="E997" s="11">
        <v>0.0</v>
      </c>
      <c r="F997" s="11">
        <v>0.0</v>
      </c>
      <c r="G997" s="11">
        <v>0.0</v>
      </c>
      <c r="H997" s="11">
        <v>0.0</v>
      </c>
      <c r="I997" s="11">
        <v>0.0</v>
      </c>
      <c r="J997" s="11">
        <v>0.0</v>
      </c>
      <c r="K997" s="11">
        <f t="shared" si="1"/>
        <v>0</v>
      </c>
      <c r="L997" s="11">
        <f t="shared" si="2"/>
        <v>0</v>
      </c>
    </row>
    <row r="998" ht="15.75" customHeight="1">
      <c r="A998" s="10" t="s">
        <v>2112</v>
      </c>
      <c r="B998" s="10" t="s">
        <v>2113</v>
      </c>
      <c r="C998" s="11">
        <v>0.0</v>
      </c>
      <c r="D998" s="11">
        <v>0.0</v>
      </c>
      <c r="E998" s="11">
        <v>0.0</v>
      </c>
      <c r="F998" s="11">
        <v>0.0</v>
      </c>
      <c r="G998" s="11">
        <v>0.0</v>
      </c>
      <c r="H998" s="11">
        <v>0.0</v>
      </c>
      <c r="I998" s="11">
        <v>0.0</v>
      </c>
      <c r="J998" s="11">
        <v>0.0</v>
      </c>
      <c r="K998" s="11">
        <f t="shared" si="1"/>
        <v>0</v>
      </c>
      <c r="L998" s="11">
        <f t="shared" si="2"/>
        <v>0</v>
      </c>
    </row>
    <row r="999" ht="15.75" customHeight="1">
      <c r="A999" s="10" t="s">
        <v>2114</v>
      </c>
      <c r="B999" s="10" t="s">
        <v>2115</v>
      </c>
      <c r="C999" s="11">
        <v>0.0</v>
      </c>
      <c r="D999" s="11">
        <v>0.0</v>
      </c>
      <c r="E999" s="11">
        <v>0.0</v>
      </c>
      <c r="F999" s="11">
        <v>0.0</v>
      </c>
      <c r="G999" s="11">
        <v>0.0</v>
      </c>
      <c r="H999" s="11">
        <v>0.0</v>
      </c>
      <c r="I999" s="11">
        <v>0.0</v>
      </c>
      <c r="J999" s="11">
        <v>0.0</v>
      </c>
      <c r="K999" s="11">
        <f t="shared" si="1"/>
        <v>0</v>
      </c>
      <c r="L999" s="11">
        <f t="shared" si="2"/>
        <v>0</v>
      </c>
    </row>
    <row r="1000" ht="15.75" customHeight="1">
      <c r="A1000" s="10" t="s">
        <v>2116</v>
      </c>
      <c r="B1000" s="10" t="s">
        <v>2117</v>
      </c>
      <c r="C1000" s="11">
        <v>0.0</v>
      </c>
      <c r="D1000" s="11">
        <v>0.0</v>
      </c>
      <c r="E1000" s="11">
        <v>0.0</v>
      </c>
      <c r="F1000" s="11">
        <v>0.0</v>
      </c>
      <c r="G1000" s="11">
        <v>0.0</v>
      </c>
      <c r="H1000" s="11">
        <v>0.0</v>
      </c>
      <c r="I1000" s="11">
        <v>0.0</v>
      </c>
      <c r="J1000" s="11">
        <v>0.0</v>
      </c>
      <c r="K1000" s="11">
        <f t="shared" si="1"/>
        <v>0</v>
      </c>
      <c r="L1000" s="11">
        <f t="shared" si="2"/>
        <v>0</v>
      </c>
    </row>
    <row r="1001" ht="15.75" customHeight="1">
      <c r="A1001" s="10" t="s">
        <v>2118</v>
      </c>
      <c r="B1001" s="10" t="s">
        <v>2119</v>
      </c>
      <c r="C1001" s="11">
        <v>0.0</v>
      </c>
      <c r="D1001" s="11">
        <v>0.0</v>
      </c>
      <c r="E1001" s="11">
        <v>0.0</v>
      </c>
      <c r="F1001" s="11">
        <v>0.0</v>
      </c>
      <c r="G1001" s="11">
        <v>0.0</v>
      </c>
      <c r="H1001" s="11">
        <v>0.0</v>
      </c>
      <c r="I1001" s="11">
        <v>0.0</v>
      </c>
      <c r="J1001" s="11">
        <v>0.0</v>
      </c>
      <c r="K1001" s="11">
        <f t="shared" si="1"/>
        <v>0</v>
      </c>
      <c r="L1001" s="11">
        <f t="shared" si="2"/>
        <v>0</v>
      </c>
    </row>
    <row r="1002" ht="15.75" customHeight="1">
      <c r="A1002" s="10" t="s">
        <v>2120</v>
      </c>
      <c r="B1002" s="10" t="s">
        <v>2121</v>
      </c>
      <c r="C1002" s="11">
        <v>0.0</v>
      </c>
      <c r="D1002" s="11">
        <v>0.0</v>
      </c>
      <c r="E1002" s="11">
        <v>0.0</v>
      </c>
      <c r="F1002" s="11">
        <v>0.0</v>
      </c>
      <c r="G1002" s="11">
        <v>0.0</v>
      </c>
      <c r="H1002" s="11">
        <v>0.0</v>
      </c>
      <c r="I1002" s="11">
        <v>0.0</v>
      </c>
      <c r="J1002" s="11">
        <v>0.0</v>
      </c>
      <c r="K1002" s="11">
        <f t="shared" si="1"/>
        <v>0</v>
      </c>
      <c r="L1002" s="11">
        <f t="shared" si="2"/>
        <v>0</v>
      </c>
    </row>
    <row r="1003" ht="15.75" customHeight="1">
      <c r="A1003" s="10" t="s">
        <v>2122</v>
      </c>
      <c r="B1003" s="10" t="s">
        <v>2123</v>
      </c>
      <c r="C1003" s="11">
        <v>0.0</v>
      </c>
      <c r="D1003" s="11">
        <v>0.0</v>
      </c>
      <c r="E1003" s="11">
        <v>0.0</v>
      </c>
      <c r="F1003" s="11">
        <v>0.0</v>
      </c>
      <c r="G1003" s="11">
        <v>0.0</v>
      </c>
      <c r="H1003" s="11">
        <v>0.0</v>
      </c>
      <c r="I1003" s="11">
        <v>0.0</v>
      </c>
      <c r="J1003" s="11">
        <v>0.0</v>
      </c>
      <c r="K1003" s="11">
        <f t="shared" si="1"/>
        <v>0</v>
      </c>
      <c r="L1003" s="11">
        <f t="shared" si="2"/>
        <v>0</v>
      </c>
    </row>
    <row r="1004" ht="15.75" customHeight="1">
      <c r="A1004" s="10" t="s">
        <v>2124</v>
      </c>
      <c r="B1004" s="10" t="s">
        <v>2125</v>
      </c>
      <c r="C1004" s="11">
        <v>0.0</v>
      </c>
      <c r="D1004" s="11">
        <v>0.0</v>
      </c>
      <c r="E1004" s="11">
        <v>0.0</v>
      </c>
      <c r="F1004" s="11">
        <v>0.0</v>
      </c>
      <c r="G1004" s="11">
        <v>0.0</v>
      </c>
      <c r="H1004" s="11">
        <v>0.0</v>
      </c>
      <c r="I1004" s="11">
        <v>0.0</v>
      </c>
      <c r="J1004" s="11">
        <v>0.0</v>
      </c>
      <c r="K1004" s="11">
        <f t="shared" si="1"/>
        <v>0</v>
      </c>
      <c r="L1004" s="11">
        <f t="shared" si="2"/>
        <v>0</v>
      </c>
    </row>
    <row r="1005" ht="15.75" customHeight="1">
      <c r="A1005" s="10" t="s">
        <v>2126</v>
      </c>
      <c r="B1005" s="10" t="s">
        <v>2127</v>
      </c>
      <c r="C1005" s="11">
        <v>0.0</v>
      </c>
      <c r="D1005" s="11">
        <v>0.0</v>
      </c>
      <c r="E1005" s="11">
        <v>0.0</v>
      </c>
      <c r="F1005" s="11">
        <v>1500.0</v>
      </c>
      <c r="G1005" s="11">
        <v>0.0</v>
      </c>
      <c r="H1005" s="11">
        <v>0.0</v>
      </c>
      <c r="I1005" s="11">
        <v>0.0</v>
      </c>
      <c r="J1005" s="11">
        <v>0.0</v>
      </c>
      <c r="K1005" s="11">
        <f t="shared" si="1"/>
        <v>1500</v>
      </c>
      <c r="L1005" s="11">
        <f t="shared" si="2"/>
        <v>0</v>
      </c>
    </row>
    <row r="1006" ht="15.75" customHeight="1">
      <c r="A1006" s="10" t="s">
        <v>2128</v>
      </c>
      <c r="B1006" s="10" t="s">
        <v>2129</v>
      </c>
      <c r="C1006" s="11">
        <v>0.0</v>
      </c>
      <c r="D1006" s="11">
        <v>0.0</v>
      </c>
      <c r="E1006" s="11">
        <v>0.0</v>
      </c>
      <c r="F1006" s="11">
        <v>0.0</v>
      </c>
      <c r="G1006" s="11">
        <v>0.0</v>
      </c>
      <c r="H1006" s="11">
        <v>0.0</v>
      </c>
      <c r="I1006" s="11">
        <v>0.0</v>
      </c>
      <c r="J1006" s="11">
        <v>0.0</v>
      </c>
      <c r="K1006" s="11">
        <f t="shared" si="1"/>
        <v>0</v>
      </c>
      <c r="L1006" s="11">
        <f t="shared" si="2"/>
        <v>0</v>
      </c>
    </row>
    <row r="1007" ht="15.75" customHeight="1">
      <c r="A1007" s="10" t="s">
        <v>2130</v>
      </c>
      <c r="B1007" s="10" t="s">
        <v>2131</v>
      </c>
      <c r="C1007" s="11">
        <v>0.0</v>
      </c>
      <c r="D1007" s="11">
        <v>0.0</v>
      </c>
      <c r="E1007" s="11">
        <v>0.0</v>
      </c>
      <c r="F1007" s="11">
        <v>0.0</v>
      </c>
      <c r="G1007" s="11">
        <v>0.0</v>
      </c>
      <c r="H1007" s="11">
        <v>0.0</v>
      </c>
      <c r="I1007" s="11">
        <v>0.0</v>
      </c>
      <c r="J1007" s="11">
        <v>0.0</v>
      </c>
      <c r="K1007" s="11">
        <f t="shared" si="1"/>
        <v>0</v>
      </c>
      <c r="L1007" s="11">
        <f t="shared" si="2"/>
        <v>0</v>
      </c>
    </row>
    <row r="1008" ht="15.75" customHeight="1">
      <c r="A1008" s="10" t="s">
        <v>2132</v>
      </c>
      <c r="B1008" s="10" t="s">
        <v>2133</v>
      </c>
      <c r="C1008" s="11">
        <v>0.0</v>
      </c>
      <c r="D1008" s="11">
        <v>0.0</v>
      </c>
      <c r="E1008" s="11">
        <v>0.0</v>
      </c>
      <c r="F1008" s="11">
        <v>0.0</v>
      </c>
      <c r="G1008" s="11">
        <v>0.0</v>
      </c>
      <c r="H1008" s="11">
        <v>0.0</v>
      </c>
      <c r="I1008" s="11">
        <v>0.0</v>
      </c>
      <c r="J1008" s="11">
        <v>0.0</v>
      </c>
      <c r="K1008" s="11">
        <f t="shared" si="1"/>
        <v>0</v>
      </c>
      <c r="L1008" s="11">
        <f t="shared" si="2"/>
        <v>0</v>
      </c>
    </row>
    <row r="1009" ht="15.75" customHeight="1">
      <c r="A1009" s="10" t="s">
        <v>2134</v>
      </c>
      <c r="B1009" s="10" t="s">
        <v>2135</v>
      </c>
      <c r="C1009" s="11">
        <v>0.0</v>
      </c>
      <c r="D1009" s="11">
        <v>0.0</v>
      </c>
      <c r="E1009" s="11">
        <v>0.0</v>
      </c>
      <c r="F1009" s="11">
        <v>0.0</v>
      </c>
      <c r="G1009" s="11">
        <v>0.0</v>
      </c>
      <c r="H1009" s="11">
        <v>0.0</v>
      </c>
      <c r="I1009" s="11">
        <v>0.0</v>
      </c>
      <c r="J1009" s="11">
        <v>0.0</v>
      </c>
      <c r="K1009" s="11">
        <f t="shared" si="1"/>
        <v>0</v>
      </c>
      <c r="L1009" s="11">
        <f t="shared" si="2"/>
        <v>0</v>
      </c>
    </row>
    <row r="1010" ht="15.75" customHeight="1">
      <c r="A1010" s="10" t="s">
        <v>2136</v>
      </c>
      <c r="B1010" s="10" t="s">
        <v>2137</v>
      </c>
      <c r="C1010" s="11">
        <v>0.0</v>
      </c>
      <c r="D1010" s="11">
        <v>0.0</v>
      </c>
      <c r="E1010" s="11">
        <v>0.0</v>
      </c>
      <c r="F1010" s="11">
        <v>0.0</v>
      </c>
      <c r="G1010" s="11">
        <v>0.0</v>
      </c>
      <c r="H1010" s="11">
        <v>0.0</v>
      </c>
      <c r="I1010" s="11">
        <v>0.0</v>
      </c>
      <c r="J1010" s="11">
        <v>0.0</v>
      </c>
      <c r="K1010" s="11">
        <f t="shared" si="1"/>
        <v>0</v>
      </c>
      <c r="L1010" s="11">
        <f t="shared" si="2"/>
        <v>0</v>
      </c>
    </row>
    <row r="1011" ht="15.75" customHeight="1">
      <c r="A1011" s="10" t="s">
        <v>2138</v>
      </c>
      <c r="B1011" s="10" t="s">
        <v>2139</v>
      </c>
      <c r="C1011" s="11">
        <v>0.0</v>
      </c>
      <c r="D1011" s="11">
        <v>0.0</v>
      </c>
      <c r="E1011" s="11">
        <v>0.0</v>
      </c>
      <c r="F1011" s="11">
        <v>0.0</v>
      </c>
      <c r="G1011" s="11">
        <v>0.0</v>
      </c>
      <c r="H1011" s="11">
        <v>0.0</v>
      </c>
      <c r="I1011" s="11">
        <v>0.0</v>
      </c>
      <c r="J1011" s="11">
        <v>0.0</v>
      </c>
      <c r="K1011" s="11">
        <f t="shared" si="1"/>
        <v>0</v>
      </c>
      <c r="L1011" s="11">
        <f t="shared" si="2"/>
        <v>0</v>
      </c>
    </row>
    <row r="1012" ht="15.75" customHeight="1">
      <c r="A1012" s="10" t="s">
        <v>2140</v>
      </c>
      <c r="B1012" s="10" t="s">
        <v>2141</v>
      </c>
      <c r="C1012" s="11">
        <v>0.0</v>
      </c>
      <c r="D1012" s="11">
        <v>0.0</v>
      </c>
      <c r="E1012" s="11">
        <v>0.0</v>
      </c>
      <c r="F1012" s="11">
        <v>0.0</v>
      </c>
      <c r="G1012" s="11">
        <v>0.0</v>
      </c>
      <c r="H1012" s="11">
        <v>0.0</v>
      </c>
      <c r="I1012" s="11">
        <v>0.0</v>
      </c>
      <c r="J1012" s="11">
        <v>0.0</v>
      </c>
      <c r="K1012" s="11">
        <f t="shared" si="1"/>
        <v>0</v>
      </c>
      <c r="L1012" s="11">
        <f t="shared" si="2"/>
        <v>0</v>
      </c>
    </row>
    <row r="1013" ht="15.75" customHeight="1">
      <c r="A1013" s="10" t="s">
        <v>2142</v>
      </c>
      <c r="B1013" s="10" t="s">
        <v>2143</v>
      </c>
      <c r="C1013" s="11">
        <v>0.0</v>
      </c>
      <c r="D1013" s="11">
        <v>0.0</v>
      </c>
      <c r="E1013" s="11">
        <v>0.0</v>
      </c>
      <c r="F1013" s="11">
        <v>0.0</v>
      </c>
      <c r="G1013" s="11">
        <v>0.0</v>
      </c>
      <c r="H1013" s="11">
        <v>0.0</v>
      </c>
      <c r="I1013" s="11">
        <v>0.0</v>
      </c>
      <c r="J1013" s="11">
        <v>0.0</v>
      </c>
      <c r="K1013" s="11">
        <f t="shared" si="1"/>
        <v>0</v>
      </c>
      <c r="L1013" s="11">
        <f t="shared" si="2"/>
        <v>0</v>
      </c>
    </row>
    <row r="1014" ht="15.75" customHeight="1">
      <c r="A1014" s="10" t="s">
        <v>2144</v>
      </c>
      <c r="B1014" s="10" t="s">
        <v>2145</v>
      </c>
      <c r="C1014" s="11">
        <v>97.0</v>
      </c>
      <c r="D1014" s="11">
        <v>150.0</v>
      </c>
      <c r="E1014" s="11">
        <v>150.0</v>
      </c>
      <c r="F1014" s="11">
        <v>100.0</v>
      </c>
      <c r="G1014" s="11">
        <v>100.0</v>
      </c>
      <c r="H1014" s="11">
        <v>80.0</v>
      </c>
      <c r="I1014" s="11">
        <v>450.0</v>
      </c>
      <c r="J1014" s="11">
        <v>300.0</v>
      </c>
      <c r="K1014" s="11">
        <f t="shared" si="1"/>
        <v>1427</v>
      </c>
      <c r="L1014" s="11">
        <f t="shared" si="2"/>
        <v>232.5</v>
      </c>
    </row>
    <row r="1015" ht="15.75" customHeight="1">
      <c r="A1015" s="10" t="s">
        <v>2146</v>
      </c>
      <c r="B1015" s="10" t="s">
        <v>2147</v>
      </c>
      <c r="C1015" s="11">
        <v>0.0</v>
      </c>
      <c r="D1015" s="11">
        <v>155.0</v>
      </c>
      <c r="E1015" s="11">
        <v>0.0</v>
      </c>
      <c r="F1015" s="11">
        <v>0.0</v>
      </c>
      <c r="G1015" s="11">
        <v>0.0</v>
      </c>
      <c r="H1015" s="11">
        <v>0.0</v>
      </c>
      <c r="I1015" s="11">
        <v>97.5</v>
      </c>
      <c r="J1015" s="11">
        <v>100.0</v>
      </c>
      <c r="K1015" s="11">
        <f t="shared" si="1"/>
        <v>352.5</v>
      </c>
      <c r="L1015" s="11">
        <f t="shared" si="2"/>
        <v>49.375</v>
      </c>
    </row>
    <row r="1016" ht="15.75" customHeight="1">
      <c r="A1016" s="10" t="s">
        <v>2148</v>
      </c>
      <c r="B1016" s="10" t="s">
        <v>2149</v>
      </c>
      <c r="C1016" s="11">
        <v>0.0</v>
      </c>
      <c r="D1016" s="11">
        <v>0.0</v>
      </c>
      <c r="E1016" s="11">
        <v>50.0</v>
      </c>
      <c r="F1016" s="11">
        <v>0.0</v>
      </c>
      <c r="G1016" s="11">
        <v>0.0</v>
      </c>
      <c r="H1016" s="11">
        <v>0.0</v>
      </c>
      <c r="I1016" s="11">
        <v>0.0</v>
      </c>
      <c r="J1016" s="11">
        <v>0.0</v>
      </c>
      <c r="K1016" s="11">
        <f t="shared" si="1"/>
        <v>50</v>
      </c>
      <c r="L1016" s="11">
        <f t="shared" si="2"/>
        <v>0</v>
      </c>
    </row>
    <row r="1017" ht="15.75" customHeight="1">
      <c r="A1017" s="10" t="s">
        <v>2150</v>
      </c>
      <c r="B1017" s="10" t="s">
        <v>2151</v>
      </c>
      <c r="C1017" s="11">
        <v>0.0</v>
      </c>
      <c r="D1017" s="11">
        <v>0.0</v>
      </c>
      <c r="E1017" s="11">
        <v>0.0</v>
      </c>
      <c r="F1017" s="11">
        <v>0.0</v>
      </c>
      <c r="G1017" s="11">
        <v>0.0</v>
      </c>
      <c r="H1017" s="11">
        <v>0.0</v>
      </c>
      <c r="I1017" s="11">
        <v>0.0</v>
      </c>
      <c r="J1017" s="11">
        <v>0.0</v>
      </c>
      <c r="K1017" s="11">
        <f t="shared" si="1"/>
        <v>0</v>
      </c>
      <c r="L1017" s="11">
        <f t="shared" si="2"/>
        <v>0</v>
      </c>
    </row>
    <row r="1018" ht="15.75" customHeight="1">
      <c r="A1018" s="10" t="s">
        <v>2152</v>
      </c>
      <c r="B1018" s="10" t="s">
        <v>2153</v>
      </c>
      <c r="C1018" s="11">
        <v>0.0</v>
      </c>
      <c r="D1018" s="11">
        <v>0.0</v>
      </c>
      <c r="E1018" s="11">
        <v>0.0</v>
      </c>
      <c r="F1018" s="11">
        <v>0.0</v>
      </c>
      <c r="G1018" s="11">
        <v>0.0</v>
      </c>
      <c r="H1018" s="11">
        <v>0.0</v>
      </c>
      <c r="I1018" s="11">
        <v>0.0</v>
      </c>
      <c r="J1018" s="11">
        <v>0.0</v>
      </c>
      <c r="K1018" s="11">
        <f t="shared" si="1"/>
        <v>0</v>
      </c>
      <c r="L1018" s="11">
        <f t="shared" si="2"/>
        <v>0</v>
      </c>
    </row>
    <row r="1019" ht="15.75" customHeight="1">
      <c r="A1019" s="10" t="s">
        <v>2154</v>
      </c>
      <c r="B1019" s="10" t="s">
        <v>2155</v>
      </c>
      <c r="C1019" s="11">
        <v>0.0</v>
      </c>
      <c r="D1019" s="11">
        <v>0.0</v>
      </c>
      <c r="E1019" s="11">
        <v>0.0</v>
      </c>
      <c r="F1019" s="11">
        <v>0.0</v>
      </c>
      <c r="G1019" s="11">
        <v>0.0</v>
      </c>
      <c r="H1019" s="11">
        <v>0.0</v>
      </c>
      <c r="I1019" s="11">
        <v>0.0</v>
      </c>
      <c r="J1019" s="11">
        <v>0.0</v>
      </c>
      <c r="K1019" s="11">
        <f t="shared" si="1"/>
        <v>0</v>
      </c>
      <c r="L1019" s="11">
        <f t="shared" si="2"/>
        <v>0</v>
      </c>
    </row>
    <row r="1020" ht="15.75" customHeight="1">
      <c r="A1020" s="10" t="s">
        <v>2156</v>
      </c>
      <c r="B1020" s="10" t="s">
        <v>2157</v>
      </c>
      <c r="C1020" s="11">
        <v>0.0</v>
      </c>
      <c r="D1020" s="11">
        <v>0.0</v>
      </c>
      <c r="E1020" s="11">
        <v>0.0</v>
      </c>
      <c r="F1020" s="11">
        <v>0.0</v>
      </c>
      <c r="G1020" s="11">
        <v>0.0</v>
      </c>
      <c r="H1020" s="11">
        <v>0.0</v>
      </c>
      <c r="I1020" s="11">
        <v>0.0</v>
      </c>
      <c r="J1020" s="11">
        <v>0.0</v>
      </c>
      <c r="K1020" s="11">
        <f t="shared" si="1"/>
        <v>0</v>
      </c>
      <c r="L1020" s="11">
        <f t="shared" si="2"/>
        <v>0</v>
      </c>
    </row>
    <row r="1021" ht="15.75" customHeight="1">
      <c r="A1021" s="10" t="s">
        <v>2158</v>
      </c>
      <c r="B1021" s="10" t="s">
        <v>2159</v>
      </c>
      <c r="C1021" s="11">
        <v>0.0</v>
      </c>
      <c r="D1021" s="11">
        <v>50.0</v>
      </c>
      <c r="E1021" s="11">
        <v>50.0</v>
      </c>
      <c r="F1021" s="11">
        <v>0.0</v>
      </c>
      <c r="G1021" s="11">
        <v>50.0</v>
      </c>
      <c r="H1021" s="11">
        <v>0.0</v>
      </c>
      <c r="I1021" s="11">
        <v>0.0</v>
      </c>
      <c r="J1021" s="11">
        <v>50.0</v>
      </c>
      <c r="K1021" s="11">
        <f t="shared" si="1"/>
        <v>200</v>
      </c>
      <c r="L1021" s="11">
        <f t="shared" si="2"/>
        <v>25</v>
      </c>
    </row>
    <row r="1022" ht="15.75" customHeight="1">
      <c r="A1022" s="10" t="s">
        <v>2160</v>
      </c>
      <c r="B1022" s="10" t="s">
        <v>2161</v>
      </c>
      <c r="C1022" s="11">
        <v>50.0</v>
      </c>
      <c r="D1022" s="11">
        <v>0.0</v>
      </c>
      <c r="E1022" s="11">
        <v>0.0</v>
      </c>
      <c r="F1022" s="11">
        <v>100.0</v>
      </c>
      <c r="G1022" s="11">
        <v>0.0</v>
      </c>
      <c r="H1022" s="11">
        <v>0.0</v>
      </c>
      <c r="I1022" s="11">
        <v>0.0</v>
      </c>
      <c r="J1022" s="11">
        <v>0.0</v>
      </c>
      <c r="K1022" s="11">
        <f t="shared" si="1"/>
        <v>150</v>
      </c>
      <c r="L1022" s="11">
        <f t="shared" si="2"/>
        <v>0</v>
      </c>
    </row>
    <row r="1023" ht="15.75" customHeight="1">
      <c r="A1023" s="10" t="s">
        <v>2162</v>
      </c>
      <c r="B1023" s="10" t="s">
        <v>2163</v>
      </c>
      <c r="C1023" s="11">
        <v>0.0</v>
      </c>
      <c r="D1023" s="11">
        <v>50.0</v>
      </c>
      <c r="E1023" s="11">
        <v>0.0</v>
      </c>
      <c r="F1023" s="11">
        <v>0.0</v>
      </c>
      <c r="G1023" s="11">
        <v>50.0</v>
      </c>
      <c r="H1023" s="11">
        <v>0.0</v>
      </c>
      <c r="I1023" s="11">
        <v>0.0</v>
      </c>
      <c r="J1023" s="11">
        <v>50.0</v>
      </c>
      <c r="K1023" s="11">
        <f t="shared" si="1"/>
        <v>150</v>
      </c>
      <c r="L1023" s="11">
        <f t="shared" si="2"/>
        <v>25</v>
      </c>
    </row>
    <row r="1024" ht="15.75" customHeight="1">
      <c r="A1024" s="10" t="s">
        <v>2164</v>
      </c>
      <c r="B1024" s="10" t="s">
        <v>2165</v>
      </c>
      <c r="C1024" s="11">
        <v>145.0</v>
      </c>
      <c r="D1024" s="11">
        <v>100.0</v>
      </c>
      <c r="E1024" s="11">
        <v>102.5</v>
      </c>
      <c r="F1024" s="11">
        <v>0.0</v>
      </c>
      <c r="G1024" s="11">
        <v>150.0</v>
      </c>
      <c r="H1024" s="11">
        <v>49.0</v>
      </c>
      <c r="I1024" s="11">
        <v>302.0</v>
      </c>
      <c r="J1024" s="11">
        <v>640.5</v>
      </c>
      <c r="K1024" s="11">
        <f t="shared" si="1"/>
        <v>1489</v>
      </c>
      <c r="L1024" s="11">
        <f t="shared" si="2"/>
        <v>285.375</v>
      </c>
    </row>
    <row r="1025" ht="15.75" customHeight="1">
      <c r="A1025" s="10" t="s">
        <v>2166</v>
      </c>
      <c r="B1025" s="10" t="s">
        <v>2167</v>
      </c>
      <c r="C1025" s="11">
        <v>0.0</v>
      </c>
      <c r="D1025" s="11">
        <v>0.0</v>
      </c>
      <c r="E1025" s="11">
        <v>50.0</v>
      </c>
      <c r="F1025" s="11">
        <v>0.0</v>
      </c>
      <c r="G1025" s="11">
        <v>0.0</v>
      </c>
      <c r="H1025" s="11">
        <v>0.0</v>
      </c>
      <c r="I1025" s="11">
        <v>0.0</v>
      </c>
      <c r="J1025" s="11">
        <v>0.0</v>
      </c>
      <c r="K1025" s="11">
        <f t="shared" si="1"/>
        <v>50</v>
      </c>
      <c r="L1025" s="11">
        <f t="shared" si="2"/>
        <v>0</v>
      </c>
    </row>
    <row r="1026" ht="15.75" customHeight="1">
      <c r="A1026" s="10" t="s">
        <v>2168</v>
      </c>
      <c r="B1026" s="10" t="s">
        <v>2169</v>
      </c>
      <c r="C1026" s="11">
        <v>0.0</v>
      </c>
      <c r="D1026" s="11">
        <v>50.0</v>
      </c>
      <c r="E1026" s="11">
        <v>0.0</v>
      </c>
      <c r="F1026" s="11">
        <v>0.0</v>
      </c>
      <c r="G1026" s="11">
        <v>0.0</v>
      </c>
      <c r="H1026" s="11">
        <v>0.0</v>
      </c>
      <c r="I1026" s="11">
        <v>206.0</v>
      </c>
      <c r="J1026" s="11">
        <v>607.0</v>
      </c>
      <c r="K1026" s="11">
        <f t="shared" si="1"/>
        <v>863</v>
      </c>
      <c r="L1026" s="11">
        <f t="shared" si="2"/>
        <v>203.25</v>
      </c>
    </row>
    <row r="1027" ht="15.75" customHeight="1">
      <c r="A1027" s="10" t="s">
        <v>2170</v>
      </c>
      <c r="B1027" s="10" t="s">
        <v>2171</v>
      </c>
      <c r="C1027" s="11">
        <v>0.0</v>
      </c>
      <c r="D1027" s="11">
        <v>0.0</v>
      </c>
      <c r="E1027" s="11">
        <v>0.0</v>
      </c>
      <c r="F1027" s="11">
        <v>48.5</v>
      </c>
      <c r="G1027" s="11">
        <v>0.0</v>
      </c>
      <c r="H1027" s="11">
        <v>50.0</v>
      </c>
      <c r="I1027" s="11">
        <v>0.0</v>
      </c>
      <c r="J1027" s="11">
        <v>0.0</v>
      </c>
      <c r="K1027" s="11">
        <f t="shared" si="1"/>
        <v>98.5</v>
      </c>
      <c r="L1027" s="11">
        <f t="shared" si="2"/>
        <v>12.5</v>
      </c>
    </row>
    <row r="1028" ht="15.75" customHeight="1">
      <c r="A1028" s="10" t="s">
        <v>2172</v>
      </c>
      <c r="B1028" s="10" t="s">
        <v>2173</v>
      </c>
      <c r="C1028" s="11">
        <v>50.0</v>
      </c>
      <c r="D1028" s="11">
        <v>0.0</v>
      </c>
      <c r="E1028" s="11">
        <v>100.0</v>
      </c>
      <c r="F1028" s="11">
        <v>0.0</v>
      </c>
      <c r="G1028" s="11">
        <v>50.0</v>
      </c>
      <c r="H1028" s="11">
        <v>0.0</v>
      </c>
      <c r="I1028" s="11">
        <v>0.0</v>
      </c>
      <c r="J1028" s="11">
        <v>50.0</v>
      </c>
      <c r="K1028" s="11">
        <f t="shared" si="1"/>
        <v>250</v>
      </c>
      <c r="L1028" s="11">
        <f t="shared" si="2"/>
        <v>25</v>
      </c>
    </row>
    <row r="1029" ht="15.75" customHeight="1">
      <c r="A1029" s="10" t="s">
        <v>2174</v>
      </c>
      <c r="B1029" s="10" t="s">
        <v>2175</v>
      </c>
      <c r="C1029" s="11">
        <v>0.0</v>
      </c>
      <c r="D1029" s="11">
        <v>0.0</v>
      </c>
      <c r="E1029" s="11">
        <v>0.0</v>
      </c>
      <c r="F1029" s="11">
        <v>0.0</v>
      </c>
      <c r="G1029" s="11">
        <v>0.0</v>
      </c>
      <c r="H1029" s="11">
        <v>0.0</v>
      </c>
      <c r="I1029" s="11">
        <v>0.0</v>
      </c>
      <c r="J1029" s="11">
        <v>0.0</v>
      </c>
      <c r="K1029" s="11">
        <f t="shared" si="1"/>
        <v>0</v>
      </c>
      <c r="L1029" s="11">
        <f t="shared" si="2"/>
        <v>0</v>
      </c>
    </row>
    <row r="1030" ht="15.75" customHeight="1">
      <c r="A1030" s="10" t="s">
        <v>2176</v>
      </c>
      <c r="B1030" s="10" t="s">
        <v>2177</v>
      </c>
      <c r="C1030" s="11">
        <v>0.0</v>
      </c>
      <c r="D1030" s="11">
        <v>50.0</v>
      </c>
      <c r="E1030" s="11">
        <v>0.0</v>
      </c>
      <c r="F1030" s="11">
        <v>0.0</v>
      </c>
      <c r="G1030" s="11">
        <v>0.0</v>
      </c>
      <c r="H1030" s="11">
        <v>0.0</v>
      </c>
      <c r="I1030" s="11">
        <v>0.0</v>
      </c>
      <c r="J1030" s="11">
        <v>0.0</v>
      </c>
      <c r="K1030" s="11">
        <f t="shared" si="1"/>
        <v>50</v>
      </c>
      <c r="L1030" s="11">
        <f t="shared" si="2"/>
        <v>0</v>
      </c>
    </row>
    <row r="1031" ht="15.75" customHeight="1">
      <c r="A1031" s="10" t="s">
        <v>2179</v>
      </c>
      <c r="B1031" s="10" t="s">
        <v>2180</v>
      </c>
      <c r="C1031" s="11">
        <v>0.0</v>
      </c>
      <c r="D1031" s="11">
        <v>0.0</v>
      </c>
      <c r="E1031" s="11">
        <v>0.0</v>
      </c>
      <c r="F1031" s="11">
        <v>0.0</v>
      </c>
      <c r="G1031" s="11">
        <v>0.0</v>
      </c>
      <c r="H1031" s="11">
        <v>0.0</v>
      </c>
      <c r="I1031" s="11">
        <v>49.0</v>
      </c>
      <c r="J1031" s="11">
        <v>0.0</v>
      </c>
      <c r="K1031" s="11">
        <f t="shared" si="1"/>
        <v>49</v>
      </c>
      <c r="L1031" s="11">
        <f t="shared" si="2"/>
        <v>12.25</v>
      </c>
    </row>
    <row r="1032" ht="15.75" customHeight="1">
      <c r="A1032" s="10" t="s">
        <v>2181</v>
      </c>
      <c r="B1032" s="10" t="s">
        <v>2182</v>
      </c>
      <c r="C1032" s="11">
        <v>0.0</v>
      </c>
      <c r="D1032" s="11">
        <v>100.0</v>
      </c>
      <c r="E1032" s="11">
        <v>0.0</v>
      </c>
      <c r="F1032" s="11">
        <v>51.0</v>
      </c>
      <c r="G1032" s="11">
        <v>450.0</v>
      </c>
      <c r="H1032" s="11">
        <v>0.0</v>
      </c>
      <c r="I1032" s="11">
        <v>0.0</v>
      </c>
      <c r="J1032" s="11">
        <v>0.0</v>
      </c>
      <c r="K1032" s="11">
        <f t="shared" si="1"/>
        <v>601</v>
      </c>
      <c r="L1032" s="11">
        <f t="shared" si="2"/>
        <v>112.5</v>
      </c>
    </row>
    <row r="1033" ht="15.75" customHeight="1">
      <c r="A1033" s="10" t="s">
        <v>2183</v>
      </c>
      <c r="B1033" s="10" t="s">
        <v>2184</v>
      </c>
      <c r="C1033" s="11">
        <v>0.0</v>
      </c>
      <c r="D1033" s="11">
        <v>0.0</v>
      </c>
      <c r="E1033" s="11">
        <v>0.0</v>
      </c>
      <c r="F1033" s="11">
        <v>0.0</v>
      </c>
      <c r="G1033" s="11">
        <v>0.0</v>
      </c>
      <c r="H1033" s="11">
        <v>0.0</v>
      </c>
      <c r="I1033" s="11">
        <v>0.0</v>
      </c>
      <c r="J1033" s="11">
        <v>0.0</v>
      </c>
      <c r="K1033" s="11">
        <f t="shared" si="1"/>
        <v>0</v>
      </c>
      <c r="L1033" s="11">
        <f t="shared" si="2"/>
        <v>0</v>
      </c>
    </row>
    <row r="1034" ht="15.75" customHeight="1">
      <c r="A1034" s="10" t="s">
        <v>2185</v>
      </c>
      <c r="B1034" s="10" t="s">
        <v>2186</v>
      </c>
      <c r="C1034" s="11">
        <v>0.0</v>
      </c>
      <c r="D1034" s="11">
        <v>0.0</v>
      </c>
      <c r="E1034" s="11">
        <v>0.0</v>
      </c>
      <c r="F1034" s="11">
        <v>0.0</v>
      </c>
      <c r="G1034" s="11">
        <v>0.0</v>
      </c>
      <c r="H1034" s="11">
        <v>0.0</v>
      </c>
      <c r="I1034" s="11">
        <v>0.0</v>
      </c>
      <c r="J1034" s="11">
        <v>0.0</v>
      </c>
      <c r="K1034" s="11">
        <f t="shared" si="1"/>
        <v>0</v>
      </c>
      <c r="L1034" s="11">
        <f t="shared" si="2"/>
        <v>0</v>
      </c>
    </row>
    <row r="1035" ht="15.75" customHeight="1">
      <c r="A1035" s="10" t="s">
        <v>2187</v>
      </c>
      <c r="B1035" s="10" t="s">
        <v>2188</v>
      </c>
      <c r="C1035" s="11">
        <v>0.0</v>
      </c>
      <c r="D1035" s="11">
        <v>0.0</v>
      </c>
      <c r="E1035" s="11">
        <v>0.0</v>
      </c>
      <c r="F1035" s="11">
        <v>400.0</v>
      </c>
      <c r="G1035" s="11">
        <v>0.0</v>
      </c>
      <c r="H1035" s="11">
        <v>0.0</v>
      </c>
      <c r="I1035" s="11">
        <v>0.0</v>
      </c>
      <c r="J1035" s="11">
        <v>0.0</v>
      </c>
      <c r="K1035" s="11">
        <f t="shared" si="1"/>
        <v>400</v>
      </c>
      <c r="L1035" s="11">
        <f t="shared" si="2"/>
        <v>0</v>
      </c>
    </row>
    <row r="1036" ht="15.75" customHeight="1">
      <c r="A1036" s="10" t="s">
        <v>2189</v>
      </c>
      <c r="B1036" s="10" t="s">
        <v>2190</v>
      </c>
      <c r="C1036" s="11">
        <v>0.0</v>
      </c>
      <c r="D1036" s="11">
        <v>0.0</v>
      </c>
      <c r="E1036" s="11">
        <v>400.0</v>
      </c>
      <c r="F1036" s="11">
        <v>800.0</v>
      </c>
      <c r="G1036" s="11">
        <v>0.0</v>
      </c>
      <c r="H1036" s="11">
        <v>400.0</v>
      </c>
      <c r="I1036" s="11">
        <v>0.0</v>
      </c>
      <c r="J1036" s="11">
        <v>0.0</v>
      </c>
      <c r="K1036" s="11">
        <f t="shared" si="1"/>
        <v>1600</v>
      </c>
      <c r="L1036" s="11">
        <f t="shared" si="2"/>
        <v>100</v>
      </c>
    </row>
    <row r="1037" ht="15.75" customHeight="1">
      <c r="A1037" s="10" t="s">
        <v>2191</v>
      </c>
      <c r="B1037" s="10" t="s">
        <v>2192</v>
      </c>
      <c r="C1037" s="11">
        <v>0.0</v>
      </c>
      <c r="D1037" s="11">
        <v>0.0</v>
      </c>
      <c r="E1037" s="11">
        <v>0.0</v>
      </c>
      <c r="F1037" s="11">
        <v>0.0</v>
      </c>
      <c r="G1037" s="11">
        <v>24.0</v>
      </c>
      <c r="H1037" s="11">
        <v>0.0</v>
      </c>
      <c r="I1037" s="11">
        <v>0.0</v>
      </c>
      <c r="J1037" s="11">
        <v>0.0</v>
      </c>
      <c r="K1037" s="11">
        <f t="shared" si="1"/>
        <v>24</v>
      </c>
      <c r="L1037" s="11">
        <f t="shared" si="2"/>
        <v>6</v>
      </c>
    </row>
    <row r="1038" ht="15.75" customHeight="1">
      <c r="A1038" s="10" t="s">
        <v>2193</v>
      </c>
      <c r="B1038" s="10" t="s">
        <v>2194</v>
      </c>
      <c r="C1038" s="11">
        <v>0.0</v>
      </c>
      <c r="D1038" s="11">
        <v>0.0</v>
      </c>
      <c r="E1038" s="11">
        <v>0.0</v>
      </c>
      <c r="F1038" s="11">
        <v>0.0</v>
      </c>
      <c r="G1038" s="11">
        <v>0.0</v>
      </c>
      <c r="H1038" s="11">
        <v>0.0</v>
      </c>
      <c r="I1038" s="11">
        <v>0.0</v>
      </c>
      <c r="J1038" s="11">
        <v>0.0</v>
      </c>
      <c r="K1038" s="11">
        <f t="shared" si="1"/>
        <v>0</v>
      </c>
      <c r="L1038" s="11">
        <f t="shared" si="2"/>
        <v>0</v>
      </c>
    </row>
    <row r="1039" ht="15.75" customHeight="1">
      <c r="A1039" s="10" t="s">
        <v>2195</v>
      </c>
      <c r="B1039" s="10" t="s">
        <v>2196</v>
      </c>
      <c r="C1039" s="11">
        <v>150.0</v>
      </c>
      <c r="D1039" s="11">
        <v>0.0</v>
      </c>
      <c r="E1039" s="11">
        <v>0.0</v>
      </c>
      <c r="F1039" s="11">
        <v>0.0</v>
      </c>
      <c r="G1039" s="11">
        <v>0.0</v>
      </c>
      <c r="H1039" s="11">
        <v>0.0</v>
      </c>
      <c r="I1039" s="11">
        <v>0.0</v>
      </c>
      <c r="J1039" s="11">
        <v>50.0</v>
      </c>
      <c r="K1039" s="11">
        <f t="shared" si="1"/>
        <v>200</v>
      </c>
      <c r="L1039" s="11">
        <f t="shared" si="2"/>
        <v>12.5</v>
      </c>
    </row>
    <row r="1040" ht="15.75" customHeight="1">
      <c r="A1040" s="10" t="s">
        <v>2197</v>
      </c>
      <c r="B1040" s="10" t="s">
        <v>2198</v>
      </c>
      <c r="C1040" s="11">
        <v>98.0</v>
      </c>
      <c r="D1040" s="11">
        <v>0.0</v>
      </c>
      <c r="E1040" s="11">
        <v>0.0</v>
      </c>
      <c r="F1040" s="11">
        <v>0.0</v>
      </c>
      <c r="G1040" s="11">
        <v>0.0</v>
      </c>
      <c r="H1040" s="11">
        <v>0.0</v>
      </c>
      <c r="I1040" s="11">
        <v>0.0</v>
      </c>
      <c r="J1040" s="11">
        <v>0.0</v>
      </c>
      <c r="K1040" s="11">
        <f t="shared" si="1"/>
        <v>98</v>
      </c>
      <c r="L1040" s="11">
        <f t="shared" si="2"/>
        <v>0</v>
      </c>
    </row>
    <row r="1041" ht="15.75" customHeight="1">
      <c r="A1041" s="10" t="s">
        <v>2199</v>
      </c>
      <c r="B1041" s="10" t="s">
        <v>2200</v>
      </c>
      <c r="C1041" s="11">
        <v>100.0</v>
      </c>
      <c r="D1041" s="11">
        <v>0.0</v>
      </c>
      <c r="E1041" s="11">
        <v>0.0</v>
      </c>
      <c r="F1041" s="11">
        <v>0.0</v>
      </c>
      <c r="G1041" s="11">
        <v>0.0</v>
      </c>
      <c r="H1041" s="11">
        <v>0.0</v>
      </c>
      <c r="I1041" s="11">
        <v>0.0</v>
      </c>
      <c r="J1041" s="11">
        <v>0.0</v>
      </c>
      <c r="K1041" s="11">
        <f t="shared" si="1"/>
        <v>100</v>
      </c>
      <c r="L1041" s="11">
        <f t="shared" si="2"/>
        <v>0</v>
      </c>
    </row>
    <row r="1042" ht="15.75" customHeight="1">
      <c r="A1042" s="10" t="s">
        <v>2201</v>
      </c>
      <c r="B1042" s="10" t="s">
        <v>2202</v>
      </c>
      <c r="C1042" s="11">
        <v>50.0</v>
      </c>
      <c r="D1042" s="11">
        <v>0.0</v>
      </c>
      <c r="E1042" s="11">
        <v>0.0</v>
      </c>
      <c r="F1042" s="11">
        <v>0.0</v>
      </c>
      <c r="G1042" s="11">
        <v>0.0</v>
      </c>
      <c r="H1042" s="11">
        <v>0.0</v>
      </c>
      <c r="I1042" s="11">
        <v>0.0</v>
      </c>
      <c r="J1042" s="11">
        <v>0.0</v>
      </c>
      <c r="K1042" s="11">
        <f t="shared" si="1"/>
        <v>50</v>
      </c>
      <c r="L1042" s="11">
        <f t="shared" si="2"/>
        <v>0</v>
      </c>
    </row>
    <row r="1043" ht="15.75" customHeight="1">
      <c r="A1043" s="10" t="s">
        <v>2203</v>
      </c>
      <c r="B1043" s="10" t="s">
        <v>2204</v>
      </c>
      <c r="C1043" s="11">
        <v>0.0</v>
      </c>
      <c r="D1043" s="11">
        <v>0.0</v>
      </c>
      <c r="E1043" s="11">
        <v>0.0</v>
      </c>
      <c r="F1043" s="11">
        <v>0.0</v>
      </c>
      <c r="G1043" s="11">
        <v>0.0</v>
      </c>
      <c r="H1043" s="11">
        <v>0.0</v>
      </c>
      <c r="I1043" s="11">
        <v>0.0</v>
      </c>
      <c r="J1043" s="11">
        <v>0.0</v>
      </c>
      <c r="K1043" s="11">
        <f t="shared" si="1"/>
        <v>0</v>
      </c>
      <c r="L1043" s="11">
        <f t="shared" si="2"/>
        <v>0</v>
      </c>
    </row>
    <row r="1044" ht="15.75" customHeight="1">
      <c r="A1044" s="10" t="s">
        <v>2205</v>
      </c>
      <c r="B1044" s="10" t="s">
        <v>2206</v>
      </c>
      <c r="C1044" s="11">
        <v>0.0</v>
      </c>
      <c r="D1044" s="11">
        <v>36.5</v>
      </c>
      <c r="E1044" s="11">
        <v>0.0</v>
      </c>
      <c r="F1044" s="11">
        <v>0.0</v>
      </c>
      <c r="G1044" s="11">
        <v>0.0</v>
      </c>
      <c r="H1044" s="11">
        <v>0.0</v>
      </c>
      <c r="I1044" s="11">
        <v>50.0</v>
      </c>
      <c r="J1044" s="11">
        <v>50.0</v>
      </c>
      <c r="K1044" s="11">
        <f t="shared" si="1"/>
        <v>136.5</v>
      </c>
      <c r="L1044" s="11">
        <f t="shared" si="2"/>
        <v>25</v>
      </c>
    </row>
    <row r="1045" ht="15.75" customHeight="1">
      <c r="A1045" s="10" t="s">
        <v>2207</v>
      </c>
      <c r="B1045" s="10" t="s">
        <v>2208</v>
      </c>
      <c r="C1045" s="11">
        <v>300.0</v>
      </c>
      <c r="D1045" s="11">
        <v>100.0</v>
      </c>
      <c r="E1045" s="11">
        <v>593.0</v>
      </c>
      <c r="F1045" s="11">
        <v>50.0</v>
      </c>
      <c r="G1045" s="11">
        <v>100.0</v>
      </c>
      <c r="H1045" s="11">
        <v>169.0</v>
      </c>
      <c r="I1045" s="11">
        <v>150.0</v>
      </c>
      <c r="J1045" s="11">
        <v>197.0</v>
      </c>
      <c r="K1045" s="11">
        <f t="shared" si="1"/>
        <v>1659</v>
      </c>
      <c r="L1045" s="11">
        <f t="shared" si="2"/>
        <v>154</v>
      </c>
    </row>
    <row r="1046" ht="15.75" customHeight="1">
      <c r="A1046" s="10" t="s">
        <v>2209</v>
      </c>
      <c r="B1046" s="10" t="s">
        <v>2210</v>
      </c>
      <c r="C1046" s="11">
        <v>1103.0</v>
      </c>
      <c r="D1046" s="11">
        <v>802.0</v>
      </c>
      <c r="E1046" s="11">
        <v>0.0</v>
      </c>
      <c r="F1046" s="11">
        <v>0.0</v>
      </c>
      <c r="G1046" s="11">
        <v>0.0</v>
      </c>
      <c r="H1046" s="11">
        <v>0.0</v>
      </c>
      <c r="I1046" s="11">
        <v>1200.0</v>
      </c>
      <c r="J1046" s="11">
        <v>2367.5</v>
      </c>
      <c r="K1046" s="11">
        <f t="shared" si="1"/>
        <v>5472.5</v>
      </c>
      <c r="L1046" s="11">
        <f t="shared" si="2"/>
        <v>891.875</v>
      </c>
    </row>
    <row r="1047" ht="15.75" customHeight="1">
      <c r="A1047" s="10" t="s">
        <v>2211</v>
      </c>
      <c r="B1047" s="10" t="s">
        <v>2212</v>
      </c>
      <c r="C1047" s="11">
        <v>0.0</v>
      </c>
      <c r="D1047" s="11">
        <v>0.0</v>
      </c>
      <c r="E1047" s="11">
        <v>0.0</v>
      </c>
      <c r="F1047" s="11">
        <v>0.0</v>
      </c>
      <c r="G1047" s="11">
        <v>0.0</v>
      </c>
      <c r="H1047" s="11">
        <v>0.0</v>
      </c>
      <c r="I1047" s="11">
        <v>0.0</v>
      </c>
      <c r="J1047" s="11">
        <v>600.0</v>
      </c>
      <c r="K1047" s="11">
        <f t="shared" si="1"/>
        <v>600</v>
      </c>
      <c r="L1047" s="11">
        <f t="shared" si="2"/>
        <v>150</v>
      </c>
    </row>
    <row r="1048" ht="15.75" customHeight="1">
      <c r="A1048" s="10" t="s">
        <v>2213</v>
      </c>
      <c r="B1048" s="10" t="s">
        <v>2214</v>
      </c>
      <c r="C1048" s="11">
        <v>1100.0</v>
      </c>
      <c r="D1048" s="11">
        <v>1412.0</v>
      </c>
      <c r="E1048" s="11">
        <v>1117.0</v>
      </c>
      <c r="F1048" s="11">
        <v>1401.5</v>
      </c>
      <c r="G1048" s="11">
        <v>1228.5</v>
      </c>
      <c r="H1048" s="11">
        <v>503.0</v>
      </c>
      <c r="I1048" s="11">
        <v>1240.0</v>
      </c>
      <c r="J1048" s="11">
        <v>1954.0</v>
      </c>
      <c r="K1048" s="11">
        <f t="shared" si="1"/>
        <v>9956</v>
      </c>
      <c r="L1048" s="11">
        <f t="shared" si="2"/>
        <v>1231.375</v>
      </c>
    </row>
    <row r="1049" ht="15.75" customHeight="1">
      <c r="A1049" s="10" t="s">
        <v>2215</v>
      </c>
      <c r="B1049" s="10" t="s">
        <v>2216</v>
      </c>
      <c r="C1049" s="11">
        <v>660.0</v>
      </c>
      <c r="D1049" s="11">
        <v>300.0</v>
      </c>
      <c r="E1049" s="11">
        <v>950.0</v>
      </c>
      <c r="F1049" s="11">
        <v>900.0</v>
      </c>
      <c r="G1049" s="11">
        <v>550.5</v>
      </c>
      <c r="H1049" s="11">
        <v>1195.0</v>
      </c>
      <c r="I1049" s="11">
        <v>150.0</v>
      </c>
      <c r="J1049" s="11">
        <v>2795.0</v>
      </c>
      <c r="K1049" s="11">
        <f t="shared" si="1"/>
        <v>7500.5</v>
      </c>
      <c r="L1049" s="11">
        <f t="shared" si="2"/>
        <v>1172.625</v>
      </c>
    </row>
    <row r="1050" ht="15.75" customHeight="1">
      <c r="A1050" s="10" t="s">
        <v>2217</v>
      </c>
      <c r="B1050" s="10" t="s">
        <v>2218</v>
      </c>
      <c r="C1050" s="11">
        <v>717.0</v>
      </c>
      <c r="D1050" s="11">
        <v>650.0</v>
      </c>
      <c r="E1050" s="11">
        <v>829.0</v>
      </c>
      <c r="F1050" s="11">
        <v>50.0</v>
      </c>
      <c r="G1050" s="11">
        <v>0.0</v>
      </c>
      <c r="H1050" s="11">
        <v>100.0</v>
      </c>
      <c r="I1050" s="11">
        <v>250.0</v>
      </c>
      <c r="J1050" s="11">
        <v>0.0</v>
      </c>
      <c r="K1050" s="11">
        <f t="shared" si="1"/>
        <v>2596</v>
      </c>
      <c r="L1050" s="11">
        <f t="shared" si="2"/>
        <v>87.5</v>
      </c>
    </row>
    <row r="1051" ht="15.75" customHeight="1">
      <c r="A1051" s="10" t="s">
        <v>2219</v>
      </c>
      <c r="B1051" s="10" t="s">
        <v>2220</v>
      </c>
      <c r="C1051" s="11">
        <v>350.0</v>
      </c>
      <c r="D1051" s="11">
        <v>453.0</v>
      </c>
      <c r="E1051" s="11">
        <v>250.0</v>
      </c>
      <c r="F1051" s="11">
        <v>100.0</v>
      </c>
      <c r="G1051" s="11">
        <v>150.0</v>
      </c>
      <c r="H1051" s="11">
        <v>200.0</v>
      </c>
      <c r="I1051" s="11">
        <v>47.0</v>
      </c>
      <c r="J1051" s="11">
        <v>0.0</v>
      </c>
      <c r="K1051" s="11">
        <f t="shared" si="1"/>
        <v>1550</v>
      </c>
      <c r="L1051" s="11">
        <f t="shared" si="2"/>
        <v>99.25</v>
      </c>
    </row>
    <row r="1052" ht="15.75" customHeight="1">
      <c r="A1052" s="10" t="s">
        <v>2221</v>
      </c>
      <c r="B1052" s="10" t="s">
        <v>2222</v>
      </c>
      <c r="C1052" s="11">
        <v>1137.0</v>
      </c>
      <c r="D1052" s="11">
        <v>0.0</v>
      </c>
      <c r="E1052" s="11">
        <v>1846.0</v>
      </c>
      <c r="F1052" s="11">
        <v>150.0</v>
      </c>
      <c r="G1052" s="11">
        <v>398.0</v>
      </c>
      <c r="H1052" s="11">
        <v>697.0</v>
      </c>
      <c r="I1052" s="11">
        <v>650.0</v>
      </c>
      <c r="J1052" s="11">
        <v>648.0</v>
      </c>
      <c r="K1052" s="11">
        <f t="shared" si="1"/>
        <v>5526</v>
      </c>
      <c r="L1052" s="11">
        <f t="shared" si="2"/>
        <v>598.25</v>
      </c>
    </row>
    <row r="1053" ht="15.75" customHeight="1">
      <c r="A1053" s="10" t="s">
        <v>2223</v>
      </c>
      <c r="B1053" s="10" t="s">
        <v>2224</v>
      </c>
      <c r="C1053" s="11">
        <v>1359.0</v>
      </c>
      <c r="D1053" s="11">
        <v>650.0</v>
      </c>
      <c r="E1053" s="11">
        <v>1409.0</v>
      </c>
      <c r="F1053" s="11">
        <v>97.0</v>
      </c>
      <c r="G1053" s="11">
        <v>150.0</v>
      </c>
      <c r="H1053" s="11">
        <v>337.0</v>
      </c>
      <c r="I1053" s="11">
        <v>500.0</v>
      </c>
      <c r="J1053" s="11">
        <v>550.0</v>
      </c>
      <c r="K1053" s="11">
        <f t="shared" si="1"/>
        <v>5052</v>
      </c>
      <c r="L1053" s="11">
        <f t="shared" si="2"/>
        <v>384.25</v>
      </c>
    </row>
    <row r="1054" ht="15.75" customHeight="1">
      <c r="A1054" s="10" t="s">
        <v>2225</v>
      </c>
      <c r="B1054" s="10" t="s">
        <v>2226</v>
      </c>
      <c r="C1054" s="11">
        <v>406.0</v>
      </c>
      <c r="D1054" s="11">
        <v>250.0</v>
      </c>
      <c r="E1054" s="11">
        <v>517.0</v>
      </c>
      <c r="F1054" s="11">
        <v>100.0</v>
      </c>
      <c r="G1054" s="11">
        <v>150.0</v>
      </c>
      <c r="H1054" s="11">
        <v>740.0</v>
      </c>
      <c r="I1054" s="11">
        <v>100.0</v>
      </c>
      <c r="J1054" s="11">
        <v>0.0</v>
      </c>
      <c r="K1054" s="11">
        <f t="shared" si="1"/>
        <v>2263</v>
      </c>
      <c r="L1054" s="11">
        <f t="shared" si="2"/>
        <v>247.5</v>
      </c>
    </row>
    <row r="1055" ht="15.75" customHeight="1">
      <c r="A1055" s="10" t="s">
        <v>2227</v>
      </c>
      <c r="B1055" s="10" t="s">
        <v>2228</v>
      </c>
      <c r="C1055" s="11">
        <v>0.0</v>
      </c>
      <c r="D1055" s="11">
        <v>0.0</v>
      </c>
      <c r="E1055" s="11">
        <v>0.0</v>
      </c>
      <c r="F1055" s="11">
        <v>0.0</v>
      </c>
      <c r="G1055" s="11">
        <v>0.0</v>
      </c>
      <c r="H1055" s="11">
        <v>0.0</v>
      </c>
      <c r="I1055" s="11">
        <v>0.0</v>
      </c>
      <c r="J1055" s="11">
        <v>0.0</v>
      </c>
      <c r="K1055" s="11">
        <f t="shared" si="1"/>
        <v>0</v>
      </c>
      <c r="L1055" s="11">
        <f t="shared" si="2"/>
        <v>0</v>
      </c>
    </row>
    <row r="1056" ht="15.75" customHeight="1">
      <c r="A1056" s="10" t="s">
        <v>2229</v>
      </c>
      <c r="B1056" s="10" t="s">
        <v>2230</v>
      </c>
      <c r="C1056" s="11">
        <v>97.0</v>
      </c>
      <c r="D1056" s="11">
        <v>47.0</v>
      </c>
      <c r="E1056" s="11">
        <v>0.0</v>
      </c>
      <c r="F1056" s="11">
        <v>50.0</v>
      </c>
      <c r="G1056" s="11">
        <v>0.0</v>
      </c>
      <c r="H1056" s="11">
        <v>0.0</v>
      </c>
      <c r="I1056" s="11">
        <v>131.0</v>
      </c>
      <c r="J1056" s="11">
        <v>0.0</v>
      </c>
      <c r="K1056" s="11">
        <f t="shared" si="1"/>
        <v>325</v>
      </c>
      <c r="L1056" s="11">
        <f t="shared" si="2"/>
        <v>32.75</v>
      </c>
    </row>
    <row r="1057" ht="15.75" customHeight="1">
      <c r="A1057" s="10" t="s">
        <v>2231</v>
      </c>
      <c r="B1057" s="10" t="s">
        <v>2232</v>
      </c>
      <c r="C1057" s="11">
        <v>146.8</v>
      </c>
      <c r="D1057" s="11">
        <v>200.6</v>
      </c>
      <c r="E1057" s="11">
        <v>52.9</v>
      </c>
      <c r="F1057" s="11">
        <v>0.0</v>
      </c>
      <c r="G1057" s="11">
        <v>102.0</v>
      </c>
      <c r="H1057" s="11">
        <v>48.0</v>
      </c>
      <c r="I1057" s="11">
        <v>150.0</v>
      </c>
      <c r="J1057" s="11">
        <v>102.0</v>
      </c>
      <c r="K1057" s="11">
        <f t="shared" si="1"/>
        <v>802.3</v>
      </c>
      <c r="L1057" s="11">
        <f t="shared" si="2"/>
        <v>100.5</v>
      </c>
    </row>
    <row r="1058" ht="15.75" customHeight="1">
      <c r="A1058" s="10" t="s">
        <v>2233</v>
      </c>
      <c r="B1058" s="10" t="s">
        <v>2234</v>
      </c>
      <c r="C1058" s="11">
        <v>0.0</v>
      </c>
      <c r="D1058" s="11">
        <v>0.0</v>
      </c>
      <c r="E1058" s="11">
        <v>32.0</v>
      </c>
      <c r="F1058" s="11">
        <v>0.0</v>
      </c>
      <c r="G1058" s="11">
        <v>0.0</v>
      </c>
      <c r="H1058" s="11">
        <v>0.0</v>
      </c>
      <c r="I1058" s="11">
        <v>0.0</v>
      </c>
      <c r="J1058" s="11">
        <v>52.1</v>
      </c>
      <c r="K1058" s="11">
        <f t="shared" si="1"/>
        <v>84.1</v>
      </c>
      <c r="L1058" s="11">
        <f t="shared" si="2"/>
        <v>13.025</v>
      </c>
    </row>
    <row r="1059" ht="15.75" customHeight="1">
      <c r="A1059" s="10" t="s">
        <v>2235</v>
      </c>
      <c r="B1059" s="10" t="s">
        <v>2236</v>
      </c>
      <c r="C1059" s="11">
        <v>98.0</v>
      </c>
      <c r="D1059" s="11">
        <v>48.0</v>
      </c>
      <c r="E1059" s="11">
        <v>0.0</v>
      </c>
      <c r="F1059" s="11">
        <v>0.0</v>
      </c>
      <c r="G1059" s="11">
        <v>50.5</v>
      </c>
      <c r="H1059" s="11">
        <v>98.2</v>
      </c>
      <c r="I1059" s="11">
        <v>51.4</v>
      </c>
      <c r="J1059" s="11">
        <v>48.6</v>
      </c>
      <c r="K1059" s="11">
        <f t="shared" si="1"/>
        <v>394.7</v>
      </c>
      <c r="L1059" s="11">
        <f t="shared" si="2"/>
        <v>62.175</v>
      </c>
    </row>
    <row r="1060" ht="15.75" customHeight="1">
      <c r="A1060" s="10" t="s">
        <v>2237</v>
      </c>
      <c r="B1060" s="10" t="s">
        <v>2238</v>
      </c>
      <c r="C1060" s="11">
        <v>49.6</v>
      </c>
      <c r="D1060" s="11">
        <v>43.3</v>
      </c>
      <c r="E1060" s="11">
        <v>0.0</v>
      </c>
      <c r="F1060" s="11">
        <v>0.0</v>
      </c>
      <c r="G1060" s="11">
        <v>0.0</v>
      </c>
      <c r="H1060" s="11">
        <v>54.0</v>
      </c>
      <c r="I1060" s="11">
        <v>46.0</v>
      </c>
      <c r="J1060" s="11">
        <v>0.0</v>
      </c>
      <c r="K1060" s="11">
        <f t="shared" si="1"/>
        <v>192.9</v>
      </c>
      <c r="L1060" s="11">
        <f t="shared" si="2"/>
        <v>25</v>
      </c>
    </row>
    <row r="1061" ht="15.75" customHeight="1">
      <c r="A1061" s="10" t="s">
        <v>2239</v>
      </c>
      <c r="B1061" s="10" t="s">
        <v>2240</v>
      </c>
      <c r="C1061" s="11">
        <v>0.0</v>
      </c>
      <c r="D1061" s="11">
        <v>50.0</v>
      </c>
      <c r="E1061" s="11">
        <v>0.0</v>
      </c>
      <c r="F1061" s="11">
        <v>0.0</v>
      </c>
      <c r="G1061" s="11">
        <v>0.0</v>
      </c>
      <c r="H1061" s="11">
        <v>0.0</v>
      </c>
      <c r="I1061" s="11">
        <v>0.0</v>
      </c>
      <c r="J1061" s="11">
        <v>193.0</v>
      </c>
      <c r="K1061" s="11">
        <f t="shared" si="1"/>
        <v>243</v>
      </c>
      <c r="L1061" s="11">
        <f t="shared" si="2"/>
        <v>48.25</v>
      </c>
    </row>
    <row r="1062" ht="15.75" customHeight="1">
      <c r="A1062" s="10" t="s">
        <v>2241</v>
      </c>
      <c r="B1062" s="10" t="s">
        <v>2242</v>
      </c>
      <c r="C1062" s="11">
        <v>30.0</v>
      </c>
      <c r="D1062" s="11">
        <v>0.0</v>
      </c>
      <c r="E1062" s="11">
        <v>0.0</v>
      </c>
      <c r="F1062" s="11">
        <v>0.0</v>
      </c>
      <c r="G1062" s="11">
        <v>0.0</v>
      </c>
      <c r="H1062" s="11">
        <v>0.0</v>
      </c>
      <c r="I1062" s="11">
        <v>0.0</v>
      </c>
      <c r="J1062" s="11">
        <v>0.0</v>
      </c>
      <c r="K1062" s="11">
        <f t="shared" si="1"/>
        <v>30</v>
      </c>
      <c r="L1062" s="11">
        <f t="shared" si="2"/>
        <v>0</v>
      </c>
    </row>
    <row r="1063" ht="15.75" customHeight="1">
      <c r="A1063" s="10" t="s">
        <v>2243</v>
      </c>
      <c r="B1063" s="10" t="s">
        <v>2244</v>
      </c>
      <c r="C1063" s="11">
        <v>0.0</v>
      </c>
      <c r="D1063" s="11">
        <v>0.0</v>
      </c>
      <c r="E1063" s="11">
        <v>0.0</v>
      </c>
      <c r="F1063" s="11">
        <v>0.0</v>
      </c>
      <c r="G1063" s="11">
        <v>0.0</v>
      </c>
      <c r="H1063" s="11">
        <v>0.0</v>
      </c>
      <c r="I1063" s="11">
        <v>30.0</v>
      </c>
      <c r="J1063" s="11">
        <v>0.0</v>
      </c>
      <c r="K1063" s="11">
        <f t="shared" si="1"/>
        <v>30</v>
      </c>
      <c r="L1063" s="11">
        <f t="shared" si="2"/>
        <v>7.5</v>
      </c>
    </row>
    <row r="1064" ht="15.75" customHeight="1">
      <c r="A1064" s="10" t="s">
        <v>2246</v>
      </c>
      <c r="B1064" s="10" t="s">
        <v>2247</v>
      </c>
      <c r="C1064" s="11">
        <v>30.0</v>
      </c>
      <c r="D1064" s="11">
        <v>30.0</v>
      </c>
      <c r="E1064" s="11">
        <v>60.0</v>
      </c>
      <c r="F1064" s="11">
        <v>120.0</v>
      </c>
      <c r="G1064" s="11">
        <v>30.0</v>
      </c>
      <c r="H1064" s="11">
        <v>60.0</v>
      </c>
      <c r="I1064" s="11">
        <v>30.0</v>
      </c>
      <c r="J1064" s="11">
        <v>0.0</v>
      </c>
      <c r="K1064" s="11">
        <f t="shared" si="1"/>
        <v>360</v>
      </c>
      <c r="L1064" s="11">
        <f t="shared" si="2"/>
        <v>30</v>
      </c>
    </row>
    <row r="1065" ht="15.75" customHeight="1">
      <c r="A1065" s="10" t="s">
        <v>2248</v>
      </c>
      <c r="B1065" s="10" t="s">
        <v>2249</v>
      </c>
      <c r="C1065" s="11">
        <v>0.0</v>
      </c>
      <c r="D1065" s="11">
        <v>0.0</v>
      </c>
      <c r="E1065" s="11">
        <v>0.0</v>
      </c>
      <c r="F1065" s="11">
        <v>0.0</v>
      </c>
      <c r="G1065" s="11">
        <v>0.0</v>
      </c>
      <c r="H1065" s="11">
        <v>0.0</v>
      </c>
      <c r="I1065" s="11">
        <v>0.0</v>
      </c>
      <c r="J1065" s="11">
        <v>0.0</v>
      </c>
      <c r="K1065" s="11">
        <f t="shared" si="1"/>
        <v>0</v>
      </c>
      <c r="L1065" s="11">
        <f t="shared" si="2"/>
        <v>0</v>
      </c>
    </row>
    <row r="1066" ht="15.75" customHeight="1">
      <c r="A1066" s="10" t="s">
        <v>2250</v>
      </c>
      <c r="B1066" s="10" t="s">
        <v>2251</v>
      </c>
      <c r="C1066" s="11">
        <v>0.0</v>
      </c>
      <c r="D1066" s="11">
        <v>0.0</v>
      </c>
      <c r="E1066" s="11">
        <v>0.0</v>
      </c>
      <c r="F1066" s="11">
        <v>0.0</v>
      </c>
      <c r="G1066" s="11">
        <v>0.0</v>
      </c>
      <c r="H1066" s="11">
        <v>0.0</v>
      </c>
      <c r="I1066" s="11">
        <v>0.0</v>
      </c>
      <c r="J1066" s="11">
        <v>0.0</v>
      </c>
      <c r="K1066" s="11">
        <f t="shared" si="1"/>
        <v>0</v>
      </c>
      <c r="L1066" s="11">
        <f t="shared" si="2"/>
        <v>0</v>
      </c>
    </row>
    <row r="1067" ht="15.75" customHeight="1">
      <c r="A1067" s="10" t="s">
        <v>2252</v>
      </c>
      <c r="B1067" s="10" t="s">
        <v>2253</v>
      </c>
      <c r="C1067" s="11">
        <v>0.0</v>
      </c>
      <c r="D1067" s="11">
        <v>0.0</v>
      </c>
      <c r="E1067" s="11">
        <v>0.0</v>
      </c>
      <c r="F1067" s="11">
        <v>0.0</v>
      </c>
      <c r="G1067" s="11">
        <v>0.0</v>
      </c>
      <c r="H1067" s="11">
        <v>0.0</v>
      </c>
      <c r="I1067" s="11">
        <v>0.0</v>
      </c>
      <c r="J1067" s="11">
        <v>0.0</v>
      </c>
      <c r="K1067" s="11">
        <f t="shared" si="1"/>
        <v>0</v>
      </c>
      <c r="L1067" s="11">
        <f t="shared" si="2"/>
        <v>0</v>
      </c>
    </row>
    <row r="1068" ht="15.75" customHeight="1">
      <c r="A1068" s="10" t="s">
        <v>2254</v>
      </c>
      <c r="B1068" s="10" t="s">
        <v>2255</v>
      </c>
      <c r="C1068" s="11">
        <v>0.0</v>
      </c>
      <c r="D1068" s="11">
        <v>0.0</v>
      </c>
      <c r="E1068" s="11">
        <v>0.0</v>
      </c>
      <c r="F1068" s="11">
        <v>0.0</v>
      </c>
      <c r="G1068" s="11">
        <v>0.0</v>
      </c>
      <c r="H1068" s="11">
        <v>0.0</v>
      </c>
      <c r="I1068" s="11">
        <v>0.0</v>
      </c>
      <c r="J1068" s="11">
        <v>0.0</v>
      </c>
      <c r="K1068" s="11">
        <f t="shared" si="1"/>
        <v>0</v>
      </c>
      <c r="L1068" s="11">
        <f t="shared" si="2"/>
        <v>0</v>
      </c>
    </row>
    <row r="1069" ht="15.75" customHeight="1">
      <c r="A1069" s="10" t="s">
        <v>1326</v>
      </c>
      <c r="B1069" s="10" t="s">
        <v>2256</v>
      </c>
      <c r="C1069" s="11">
        <v>0.0</v>
      </c>
      <c r="D1069" s="11">
        <v>60.0</v>
      </c>
      <c r="E1069" s="11">
        <v>210.0</v>
      </c>
      <c r="F1069" s="11">
        <v>0.0</v>
      </c>
      <c r="G1069" s="11">
        <v>30.0</v>
      </c>
      <c r="H1069" s="11">
        <v>0.0</v>
      </c>
      <c r="I1069" s="11">
        <v>0.0</v>
      </c>
      <c r="J1069" s="11">
        <v>0.0</v>
      </c>
      <c r="K1069" s="11">
        <f t="shared" si="1"/>
        <v>300</v>
      </c>
      <c r="L1069" s="11">
        <f t="shared" si="2"/>
        <v>7.5</v>
      </c>
    </row>
    <row r="1070" ht="15.75" customHeight="1">
      <c r="A1070" s="10" t="s">
        <v>2257</v>
      </c>
      <c r="B1070" s="10" t="s">
        <v>2258</v>
      </c>
      <c r="C1070" s="11">
        <v>0.0</v>
      </c>
      <c r="D1070" s="11">
        <v>0.0</v>
      </c>
      <c r="E1070" s="11">
        <v>0.0</v>
      </c>
      <c r="F1070" s="11">
        <v>0.0</v>
      </c>
      <c r="G1070" s="11">
        <v>0.0</v>
      </c>
      <c r="H1070" s="11">
        <v>0.0</v>
      </c>
      <c r="I1070" s="11">
        <v>0.0</v>
      </c>
      <c r="J1070" s="11">
        <v>0.0</v>
      </c>
      <c r="K1070" s="11">
        <f t="shared" si="1"/>
        <v>0</v>
      </c>
      <c r="L1070" s="11">
        <f t="shared" si="2"/>
        <v>0</v>
      </c>
    </row>
    <row r="1071" ht="15.75" customHeight="1">
      <c r="A1071" s="10" t="s">
        <v>2259</v>
      </c>
      <c r="B1071" s="10" t="s">
        <v>2260</v>
      </c>
      <c r="C1071" s="11">
        <v>0.0</v>
      </c>
      <c r="D1071" s="11">
        <v>0.0</v>
      </c>
      <c r="E1071" s="11">
        <v>0.0</v>
      </c>
      <c r="F1071" s="11">
        <v>0.0</v>
      </c>
      <c r="G1071" s="11">
        <v>0.0</v>
      </c>
      <c r="H1071" s="11">
        <v>0.0</v>
      </c>
      <c r="I1071" s="11">
        <v>0.0</v>
      </c>
      <c r="J1071" s="11">
        <v>0.0</v>
      </c>
      <c r="K1071" s="11">
        <f t="shared" si="1"/>
        <v>0</v>
      </c>
      <c r="L1071" s="11">
        <f t="shared" si="2"/>
        <v>0</v>
      </c>
    </row>
    <row r="1072" ht="15.75" customHeight="1">
      <c r="A1072" s="10" t="s">
        <v>2261</v>
      </c>
      <c r="B1072" s="10" t="s">
        <v>2262</v>
      </c>
      <c r="C1072" s="11">
        <v>0.0</v>
      </c>
      <c r="D1072" s="11">
        <v>0.0</v>
      </c>
      <c r="E1072" s="11">
        <v>0.0</v>
      </c>
      <c r="F1072" s="11">
        <v>0.0</v>
      </c>
      <c r="G1072" s="11">
        <v>0.0</v>
      </c>
      <c r="H1072" s="11">
        <v>0.0</v>
      </c>
      <c r="I1072" s="11">
        <v>0.0</v>
      </c>
      <c r="J1072" s="11">
        <v>0.0</v>
      </c>
      <c r="K1072" s="11">
        <f t="shared" si="1"/>
        <v>0</v>
      </c>
      <c r="L1072" s="11">
        <f t="shared" si="2"/>
        <v>0</v>
      </c>
    </row>
    <row r="1073" ht="15.75" customHeight="1">
      <c r="A1073" s="10" t="s">
        <v>2263</v>
      </c>
      <c r="B1073" s="10" t="s">
        <v>2264</v>
      </c>
      <c r="C1073" s="11">
        <v>0.0</v>
      </c>
      <c r="D1073" s="11">
        <v>0.0</v>
      </c>
      <c r="E1073" s="11">
        <v>0.0</v>
      </c>
      <c r="F1073" s="11">
        <v>0.0</v>
      </c>
      <c r="G1073" s="11">
        <v>0.0</v>
      </c>
      <c r="H1073" s="11">
        <v>0.0</v>
      </c>
      <c r="I1073" s="11">
        <v>0.0</v>
      </c>
      <c r="J1073" s="11">
        <v>0.0</v>
      </c>
      <c r="K1073" s="11">
        <f t="shared" si="1"/>
        <v>0</v>
      </c>
      <c r="L1073" s="11">
        <f t="shared" si="2"/>
        <v>0</v>
      </c>
    </row>
    <row r="1074" ht="15.75" customHeight="1">
      <c r="A1074" s="10" t="s">
        <v>2265</v>
      </c>
      <c r="B1074" s="10" t="s">
        <v>2266</v>
      </c>
      <c r="C1074" s="11">
        <v>0.0</v>
      </c>
      <c r="D1074" s="11">
        <v>0.0</v>
      </c>
      <c r="E1074" s="11">
        <v>0.0</v>
      </c>
      <c r="F1074" s="11">
        <v>0.0</v>
      </c>
      <c r="G1074" s="11">
        <v>0.0</v>
      </c>
      <c r="H1074" s="11">
        <v>0.0</v>
      </c>
      <c r="I1074" s="11">
        <v>0.0</v>
      </c>
      <c r="J1074" s="11">
        <v>0.0</v>
      </c>
      <c r="K1074" s="11">
        <f t="shared" si="1"/>
        <v>0</v>
      </c>
      <c r="L1074" s="11">
        <f t="shared" si="2"/>
        <v>0</v>
      </c>
    </row>
    <row r="1075" ht="15.75" customHeight="1">
      <c r="A1075" s="10" t="s">
        <v>2267</v>
      </c>
      <c r="B1075" s="10" t="s">
        <v>2268</v>
      </c>
      <c r="C1075" s="11">
        <v>0.0</v>
      </c>
      <c r="D1075" s="11">
        <v>0.0</v>
      </c>
      <c r="E1075" s="11">
        <v>0.0</v>
      </c>
      <c r="F1075" s="11">
        <v>0.0</v>
      </c>
      <c r="G1075" s="11">
        <v>0.0</v>
      </c>
      <c r="H1075" s="11">
        <v>0.0</v>
      </c>
      <c r="I1075" s="11">
        <v>0.0</v>
      </c>
      <c r="J1075" s="11">
        <v>0.0</v>
      </c>
      <c r="K1075" s="11">
        <f t="shared" si="1"/>
        <v>0</v>
      </c>
      <c r="L1075" s="11">
        <f t="shared" si="2"/>
        <v>0</v>
      </c>
    </row>
    <row r="1076" ht="15.75" customHeight="1">
      <c r="A1076" s="10" t="s">
        <v>2269</v>
      </c>
      <c r="B1076" s="10" t="s">
        <v>2270</v>
      </c>
      <c r="C1076" s="11">
        <v>0.0</v>
      </c>
      <c r="D1076" s="11">
        <v>0.0</v>
      </c>
      <c r="E1076" s="11">
        <v>0.0</v>
      </c>
      <c r="F1076" s="11">
        <v>0.0</v>
      </c>
      <c r="G1076" s="11">
        <v>0.0</v>
      </c>
      <c r="H1076" s="11">
        <v>0.0</v>
      </c>
      <c r="I1076" s="11">
        <v>0.0</v>
      </c>
      <c r="J1076" s="11">
        <v>0.0</v>
      </c>
      <c r="K1076" s="11">
        <f t="shared" si="1"/>
        <v>0</v>
      </c>
      <c r="L1076" s="11">
        <f t="shared" si="2"/>
        <v>0</v>
      </c>
    </row>
    <row r="1077" ht="15.75" customHeight="1">
      <c r="A1077" s="10" t="s">
        <v>2271</v>
      </c>
      <c r="B1077" s="10" t="s">
        <v>2272</v>
      </c>
      <c r="C1077" s="11">
        <v>84.0</v>
      </c>
      <c r="D1077" s="11">
        <v>0.0</v>
      </c>
      <c r="E1077" s="11">
        <v>0.0</v>
      </c>
      <c r="F1077" s="11">
        <v>0.0</v>
      </c>
      <c r="G1077" s="11">
        <v>0.0</v>
      </c>
      <c r="H1077" s="11">
        <v>0.0</v>
      </c>
      <c r="I1077" s="11">
        <v>0.0</v>
      </c>
      <c r="J1077" s="11">
        <v>0.0</v>
      </c>
      <c r="K1077" s="11">
        <f t="shared" si="1"/>
        <v>84</v>
      </c>
      <c r="L1077" s="11">
        <f t="shared" si="2"/>
        <v>0</v>
      </c>
    </row>
    <row r="1078" ht="15.75" customHeight="1">
      <c r="A1078" s="10" t="s">
        <v>2273</v>
      </c>
      <c r="B1078" s="10" t="s">
        <v>2274</v>
      </c>
      <c r="C1078" s="11">
        <v>50.0</v>
      </c>
      <c r="D1078" s="11">
        <v>0.0</v>
      </c>
      <c r="E1078" s="11">
        <v>0.0</v>
      </c>
      <c r="F1078" s="11">
        <v>0.0</v>
      </c>
      <c r="G1078" s="11">
        <v>0.0</v>
      </c>
      <c r="H1078" s="11">
        <v>0.0</v>
      </c>
      <c r="I1078" s="11">
        <v>0.0</v>
      </c>
      <c r="J1078" s="11">
        <v>0.0</v>
      </c>
      <c r="K1078" s="11">
        <f t="shared" si="1"/>
        <v>50</v>
      </c>
      <c r="L1078" s="11">
        <f t="shared" si="2"/>
        <v>0</v>
      </c>
    </row>
    <row r="1079" ht="15.75" customHeight="1">
      <c r="A1079" s="10" t="s">
        <v>2275</v>
      </c>
      <c r="B1079" s="10" t="s">
        <v>2276</v>
      </c>
      <c r="C1079" s="11">
        <v>297.0</v>
      </c>
      <c r="D1079" s="11">
        <v>0.0</v>
      </c>
      <c r="E1079" s="11">
        <v>50.0</v>
      </c>
      <c r="F1079" s="11">
        <v>0.0</v>
      </c>
      <c r="G1079" s="11">
        <v>0.0</v>
      </c>
      <c r="H1079" s="11">
        <v>0.0</v>
      </c>
      <c r="I1079" s="11">
        <v>0.0</v>
      </c>
      <c r="J1079" s="11">
        <v>50.0</v>
      </c>
      <c r="K1079" s="11">
        <f t="shared" si="1"/>
        <v>397</v>
      </c>
      <c r="L1079" s="11">
        <f t="shared" si="2"/>
        <v>12.5</v>
      </c>
    </row>
    <row r="1080" ht="15.75" customHeight="1">
      <c r="A1080" s="10" t="s">
        <v>2277</v>
      </c>
      <c r="B1080" s="10" t="s">
        <v>2278</v>
      </c>
      <c r="C1080" s="11">
        <v>100.0</v>
      </c>
      <c r="D1080" s="11">
        <v>45.0</v>
      </c>
      <c r="E1080" s="11">
        <v>0.0</v>
      </c>
      <c r="F1080" s="11">
        <v>0.0</v>
      </c>
      <c r="G1080" s="11">
        <v>0.0</v>
      </c>
      <c r="H1080" s="11">
        <v>0.0</v>
      </c>
      <c r="I1080" s="11">
        <v>48.0</v>
      </c>
      <c r="J1080" s="11">
        <v>0.0</v>
      </c>
      <c r="K1080" s="11">
        <f t="shared" si="1"/>
        <v>193</v>
      </c>
      <c r="L1080" s="11">
        <f t="shared" si="2"/>
        <v>12</v>
      </c>
    </row>
    <row r="1081" ht="15.75" customHeight="1">
      <c r="A1081" s="10" t="s">
        <v>2279</v>
      </c>
      <c r="B1081" s="10" t="s">
        <v>2280</v>
      </c>
      <c r="C1081" s="11">
        <v>0.0</v>
      </c>
      <c r="D1081" s="11">
        <v>50.0</v>
      </c>
      <c r="E1081" s="11">
        <v>50.0</v>
      </c>
      <c r="F1081" s="11">
        <v>50.0</v>
      </c>
      <c r="G1081" s="11">
        <v>50.0</v>
      </c>
      <c r="H1081" s="11">
        <v>50.0</v>
      </c>
      <c r="I1081" s="11">
        <v>73.0</v>
      </c>
      <c r="J1081" s="11">
        <v>100.0</v>
      </c>
      <c r="K1081" s="11">
        <f t="shared" si="1"/>
        <v>423</v>
      </c>
      <c r="L1081" s="11">
        <f t="shared" si="2"/>
        <v>68.25</v>
      </c>
    </row>
    <row r="1082" ht="15.75" customHeight="1">
      <c r="A1082" s="10" t="s">
        <v>2281</v>
      </c>
      <c r="B1082" s="10" t="s">
        <v>2282</v>
      </c>
      <c r="C1082" s="11">
        <v>645.0</v>
      </c>
      <c r="D1082" s="11">
        <v>2069.0</v>
      </c>
      <c r="E1082" s="11">
        <v>3796.5</v>
      </c>
      <c r="F1082" s="11">
        <v>613.5</v>
      </c>
      <c r="G1082" s="11">
        <v>529.5</v>
      </c>
      <c r="H1082" s="11">
        <v>545.0</v>
      </c>
      <c r="I1082" s="11">
        <v>655.0</v>
      </c>
      <c r="J1082" s="11">
        <v>647.0</v>
      </c>
      <c r="K1082" s="11">
        <f t="shared" si="1"/>
        <v>9500.5</v>
      </c>
      <c r="L1082" s="11">
        <f t="shared" si="2"/>
        <v>594.125</v>
      </c>
    </row>
    <row r="1083" ht="15.75" customHeight="1">
      <c r="A1083" s="10" t="s">
        <v>2283</v>
      </c>
      <c r="B1083" s="10" t="s">
        <v>2284</v>
      </c>
      <c r="C1083" s="11">
        <v>1148.0</v>
      </c>
      <c r="D1083" s="11">
        <v>1100.0</v>
      </c>
      <c r="E1083" s="11">
        <v>693.0</v>
      </c>
      <c r="F1083" s="11">
        <v>298.0</v>
      </c>
      <c r="G1083" s="11">
        <v>100.0</v>
      </c>
      <c r="H1083" s="11">
        <v>300.0</v>
      </c>
      <c r="I1083" s="11">
        <v>50.0</v>
      </c>
      <c r="J1083" s="11">
        <v>100.0</v>
      </c>
      <c r="K1083" s="11">
        <f t="shared" si="1"/>
        <v>3789</v>
      </c>
      <c r="L1083" s="11">
        <f t="shared" si="2"/>
        <v>137.5</v>
      </c>
    </row>
    <row r="1084" ht="15.75" customHeight="1">
      <c r="A1084" s="10" t="s">
        <v>2285</v>
      </c>
      <c r="B1084" s="10" t="s">
        <v>2286</v>
      </c>
      <c r="C1084" s="11">
        <v>400.0</v>
      </c>
      <c r="D1084" s="11">
        <v>100.0</v>
      </c>
      <c r="E1084" s="11">
        <v>149.0</v>
      </c>
      <c r="F1084" s="11">
        <v>50.0</v>
      </c>
      <c r="G1084" s="11">
        <v>95.5</v>
      </c>
      <c r="H1084" s="11">
        <v>106.0</v>
      </c>
      <c r="I1084" s="11">
        <v>50.0</v>
      </c>
      <c r="J1084" s="11">
        <v>150.0</v>
      </c>
      <c r="K1084" s="11">
        <f t="shared" si="1"/>
        <v>1100.5</v>
      </c>
      <c r="L1084" s="11">
        <f t="shared" si="2"/>
        <v>100.375</v>
      </c>
    </row>
    <row r="1085" ht="15.75" customHeight="1">
      <c r="A1085" s="10" t="s">
        <v>2287</v>
      </c>
      <c r="B1085" s="10" t="s">
        <v>2288</v>
      </c>
      <c r="C1085" s="11">
        <v>150.0</v>
      </c>
      <c r="D1085" s="11">
        <v>154.0</v>
      </c>
      <c r="E1085" s="11">
        <v>50.0</v>
      </c>
      <c r="F1085" s="11">
        <v>135.5</v>
      </c>
      <c r="G1085" s="11">
        <v>0.0</v>
      </c>
      <c r="H1085" s="11">
        <v>50.0</v>
      </c>
      <c r="I1085" s="11">
        <v>0.0</v>
      </c>
      <c r="J1085" s="11">
        <v>100.0</v>
      </c>
      <c r="K1085" s="11">
        <f t="shared" si="1"/>
        <v>639.5</v>
      </c>
      <c r="L1085" s="11">
        <f t="shared" si="2"/>
        <v>37.5</v>
      </c>
    </row>
    <row r="1086" ht="15.75" customHeight="1">
      <c r="A1086" s="10" t="s">
        <v>2289</v>
      </c>
      <c r="B1086" s="10" t="s">
        <v>2290</v>
      </c>
      <c r="C1086" s="11">
        <v>0.0</v>
      </c>
      <c r="D1086" s="11">
        <v>0.0</v>
      </c>
      <c r="E1086" s="11">
        <v>0.0</v>
      </c>
      <c r="F1086" s="11">
        <v>0.0</v>
      </c>
      <c r="G1086" s="11">
        <v>0.0</v>
      </c>
      <c r="H1086" s="11">
        <v>0.0</v>
      </c>
      <c r="I1086" s="11">
        <v>0.0</v>
      </c>
      <c r="J1086" s="11">
        <v>0.0</v>
      </c>
      <c r="K1086" s="11">
        <f t="shared" si="1"/>
        <v>0</v>
      </c>
      <c r="L1086" s="11">
        <f t="shared" si="2"/>
        <v>0</v>
      </c>
    </row>
    <row r="1087" ht="15.75" customHeight="1">
      <c r="A1087" s="10" t="s">
        <v>2291</v>
      </c>
      <c r="B1087" s="10" t="s">
        <v>2292</v>
      </c>
      <c r="C1087" s="11">
        <v>0.0</v>
      </c>
      <c r="D1087" s="11">
        <v>0.0</v>
      </c>
      <c r="E1087" s="11">
        <v>0.0</v>
      </c>
      <c r="F1087" s="11">
        <v>0.0</v>
      </c>
      <c r="G1087" s="11">
        <v>0.0</v>
      </c>
      <c r="H1087" s="11">
        <v>0.0</v>
      </c>
      <c r="I1087" s="11">
        <v>0.0</v>
      </c>
      <c r="J1087" s="11">
        <v>0.0</v>
      </c>
      <c r="K1087" s="11">
        <f t="shared" si="1"/>
        <v>0</v>
      </c>
      <c r="L1087" s="11">
        <f t="shared" si="2"/>
        <v>0</v>
      </c>
    </row>
    <row r="1088" ht="15.75" customHeight="1">
      <c r="A1088" s="10" t="s">
        <v>2293</v>
      </c>
      <c r="B1088" s="10" t="s">
        <v>2294</v>
      </c>
      <c r="C1088" s="11">
        <v>0.0</v>
      </c>
      <c r="D1088" s="11">
        <v>40.0</v>
      </c>
      <c r="E1088" s="11">
        <v>0.0</v>
      </c>
      <c r="F1088" s="11">
        <v>0.0</v>
      </c>
      <c r="G1088" s="11">
        <v>0.0</v>
      </c>
      <c r="H1088" s="11">
        <v>0.0</v>
      </c>
      <c r="I1088" s="11">
        <v>0.0</v>
      </c>
      <c r="J1088" s="11">
        <v>40.0</v>
      </c>
      <c r="K1088" s="11">
        <f t="shared" si="1"/>
        <v>80</v>
      </c>
      <c r="L1088" s="11">
        <f t="shared" si="2"/>
        <v>10</v>
      </c>
    </row>
    <row r="1089" ht="15.75" customHeight="1">
      <c r="A1089" s="10" t="s">
        <v>2295</v>
      </c>
      <c r="B1089" s="10" t="s">
        <v>2296</v>
      </c>
      <c r="C1089" s="11">
        <v>120.0</v>
      </c>
      <c r="D1089" s="11">
        <v>238.0</v>
      </c>
      <c r="E1089" s="11">
        <v>280.0</v>
      </c>
      <c r="F1089" s="11">
        <v>120.0</v>
      </c>
      <c r="G1089" s="11">
        <v>163.0</v>
      </c>
      <c r="H1089" s="11">
        <v>148.0</v>
      </c>
      <c r="I1089" s="11">
        <v>320.0</v>
      </c>
      <c r="J1089" s="11">
        <v>440.0</v>
      </c>
      <c r="K1089" s="11">
        <f t="shared" si="1"/>
        <v>1829</v>
      </c>
      <c r="L1089" s="11">
        <f t="shared" si="2"/>
        <v>267.75</v>
      </c>
    </row>
    <row r="1090" ht="15.75" customHeight="1">
      <c r="A1090" s="10" t="s">
        <v>2297</v>
      </c>
      <c r="B1090" s="10" t="s">
        <v>2298</v>
      </c>
      <c r="C1090" s="11">
        <v>400.0</v>
      </c>
      <c r="D1090" s="11">
        <v>0.0</v>
      </c>
      <c r="E1090" s="11">
        <v>1315.0</v>
      </c>
      <c r="F1090" s="11">
        <v>397.0</v>
      </c>
      <c r="G1090" s="11">
        <v>638.0</v>
      </c>
      <c r="H1090" s="11">
        <v>1277.0</v>
      </c>
      <c r="I1090" s="11">
        <v>1526.0</v>
      </c>
      <c r="J1090" s="11">
        <v>1518.0</v>
      </c>
      <c r="K1090" s="11">
        <f t="shared" si="1"/>
        <v>7071</v>
      </c>
      <c r="L1090" s="11">
        <f t="shared" si="2"/>
        <v>1239.75</v>
      </c>
    </row>
    <row r="1091" ht="15.75" customHeight="1">
      <c r="A1091" s="10" t="s">
        <v>2299</v>
      </c>
      <c r="B1091" s="10" t="s">
        <v>2300</v>
      </c>
      <c r="C1091" s="11">
        <v>320.0</v>
      </c>
      <c r="D1091" s="11">
        <v>520.0</v>
      </c>
      <c r="E1091" s="11">
        <v>632.0</v>
      </c>
      <c r="F1091" s="11">
        <v>640.0</v>
      </c>
      <c r="G1091" s="11">
        <v>530.0</v>
      </c>
      <c r="H1091" s="11">
        <v>400.0</v>
      </c>
      <c r="I1091" s="11">
        <v>0.0</v>
      </c>
      <c r="J1091" s="11">
        <v>0.0</v>
      </c>
      <c r="K1091" s="11">
        <f t="shared" si="1"/>
        <v>3042</v>
      </c>
      <c r="L1091" s="11">
        <f t="shared" si="2"/>
        <v>232.5</v>
      </c>
    </row>
    <row r="1092" ht="15.75" customHeight="1">
      <c r="A1092" s="10" t="s">
        <v>2301</v>
      </c>
      <c r="B1092" s="10" t="s">
        <v>2302</v>
      </c>
      <c r="C1092" s="11">
        <v>246.0</v>
      </c>
      <c r="D1092" s="11">
        <v>280.0</v>
      </c>
      <c r="E1092" s="11">
        <v>278.0</v>
      </c>
      <c r="F1092" s="11">
        <v>240.0</v>
      </c>
      <c r="G1092" s="11">
        <v>240.0</v>
      </c>
      <c r="H1092" s="11">
        <v>362.0</v>
      </c>
      <c r="I1092" s="11">
        <v>480.0</v>
      </c>
      <c r="J1092" s="11">
        <v>440.0</v>
      </c>
      <c r="K1092" s="11">
        <f t="shared" si="1"/>
        <v>2566</v>
      </c>
      <c r="L1092" s="11">
        <f t="shared" si="2"/>
        <v>380.5</v>
      </c>
    </row>
    <row r="1093" ht="15.75" customHeight="1">
      <c r="A1093" s="10" t="s">
        <v>2303</v>
      </c>
      <c r="B1093" s="10" t="s">
        <v>2304</v>
      </c>
      <c r="C1093" s="11">
        <v>0.0</v>
      </c>
      <c r="D1093" s="11">
        <v>0.0</v>
      </c>
      <c r="E1093" s="11">
        <v>0.0</v>
      </c>
      <c r="F1093" s="11">
        <v>0.0</v>
      </c>
      <c r="G1093" s="11">
        <v>0.0</v>
      </c>
      <c r="H1093" s="11">
        <v>0.0</v>
      </c>
      <c r="I1093" s="11">
        <v>0.0</v>
      </c>
      <c r="J1093" s="11">
        <v>0.0</v>
      </c>
      <c r="K1093" s="11">
        <f t="shared" si="1"/>
        <v>0</v>
      </c>
      <c r="L1093" s="11">
        <f t="shared" si="2"/>
        <v>0</v>
      </c>
    </row>
    <row r="1094" ht="15.75" customHeight="1">
      <c r="A1094" s="10" t="s">
        <v>2305</v>
      </c>
      <c r="B1094" s="10" t="s">
        <v>2306</v>
      </c>
      <c r="C1094" s="11">
        <v>0.0</v>
      </c>
      <c r="D1094" s="11">
        <v>40.0</v>
      </c>
      <c r="E1094" s="11">
        <v>80.0</v>
      </c>
      <c r="F1094" s="11">
        <v>40.0</v>
      </c>
      <c r="G1094" s="11">
        <v>0.0</v>
      </c>
      <c r="H1094" s="11">
        <v>40.0</v>
      </c>
      <c r="I1094" s="11">
        <v>40.0</v>
      </c>
      <c r="J1094" s="11">
        <v>80.0</v>
      </c>
      <c r="K1094" s="11">
        <f t="shared" si="1"/>
        <v>320</v>
      </c>
      <c r="L1094" s="11">
        <f t="shared" si="2"/>
        <v>40</v>
      </c>
    </row>
    <row r="1095" ht="15.75" customHeight="1">
      <c r="A1095" s="10" t="s">
        <v>2307</v>
      </c>
      <c r="B1095" s="10" t="s">
        <v>2308</v>
      </c>
      <c r="C1095" s="11">
        <v>3287.0</v>
      </c>
      <c r="D1095" s="11">
        <v>800.0</v>
      </c>
      <c r="E1095" s="11">
        <v>4255.0</v>
      </c>
      <c r="F1095" s="11">
        <v>2366.0</v>
      </c>
      <c r="G1095" s="11">
        <v>589.0</v>
      </c>
      <c r="H1095" s="11">
        <v>2360.0</v>
      </c>
      <c r="I1095" s="11">
        <v>1988.0</v>
      </c>
      <c r="J1095" s="11">
        <v>2613.0</v>
      </c>
      <c r="K1095" s="11">
        <f t="shared" si="1"/>
        <v>18258</v>
      </c>
      <c r="L1095" s="11">
        <f t="shared" si="2"/>
        <v>1887.5</v>
      </c>
    </row>
    <row r="1096" ht="15.75" customHeight="1">
      <c r="A1096" s="10" t="s">
        <v>2309</v>
      </c>
      <c r="B1096" s="10" t="s">
        <v>2310</v>
      </c>
      <c r="C1096" s="11">
        <v>0.0</v>
      </c>
      <c r="D1096" s="11">
        <v>0.0</v>
      </c>
      <c r="E1096" s="11">
        <v>0.0</v>
      </c>
      <c r="F1096" s="11">
        <v>0.0</v>
      </c>
      <c r="G1096" s="11">
        <v>0.0</v>
      </c>
      <c r="H1096" s="11">
        <v>0.0</v>
      </c>
      <c r="I1096" s="11">
        <v>0.0</v>
      </c>
      <c r="J1096" s="11">
        <v>0.0</v>
      </c>
      <c r="K1096" s="11">
        <f t="shared" si="1"/>
        <v>0</v>
      </c>
      <c r="L1096" s="11">
        <f t="shared" si="2"/>
        <v>0</v>
      </c>
    </row>
    <row r="1097" ht="15.75" customHeight="1">
      <c r="A1097" s="10" t="s">
        <v>2312</v>
      </c>
      <c r="B1097" s="10" t="s">
        <v>2313</v>
      </c>
      <c r="C1097" s="11">
        <v>0.0</v>
      </c>
      <c r="D1097" s="11">
        <v>0.0</v>
      </c>
      <c r="E1097" s="11">
        <v>0.0</v>
      </c>
      <c r="F1097" s="11">
        <v>0.0</v>
      </c>
      <c r="G1097" s="11">
        <v>116.0</v>
      </c>
      <c r="H1097" s="11">
        <v>0.0</v>
      </c>
      <c r="I1097" s="11">
        <v>0.0</v>
      </c>
      <c r="J1097" s="11">
        <v>40.0</v>
      </c>
      <c r="K1097" s="11">
        <f t="shared" si="1"/>
        <v>156</v>
      </c>
      <c r="L1097" s="11">
        <f t="shared" si="2"/>
        <v>39</v>
      </c>
    </row>
    <row r="1098" ht="15.75" customHeight="1">
      <c r="A1098" s="10" t="s">
        <v>2314</v>
      </c>
      <c r="B1098" s="10" t="s">
        <v>2315</v>
      </c>
      <c r="C1098" s="11">
        <v>40.0</v>
      </c>
      <c r="D1098" s="11">
        <v>0.0</v>
      </c>
      <c r="E1098" s="11">
        <v>40.0</v>
      </c>
      <c r="F1098" s="11">
        <v>0.0</v>
      </c>
      <c r="G1098" s="11">
        <v>0.0</v>
      </c>
      <c r="H1098" s="11">
        <v>0.0</v>
      </c>
      <c r="I1098" s="11">
        <v>40.0</v>
      </c>
      <c r="J1098" s="11">
        <v>40.0</v>
      </c>
      <c r="K1098" s="11">
        <f t="shared" si="1"/>
        <v>160</v>
      </c>
      <c r="L1098" s="11">
        <f t="shared" si="2"/>
        <v>20</v>
      </c>
    </row>
    <row r="1099" ht="15.75" customHeight="1">
      <c r="A1099" s="10" t="s">
        <v>2316</v>
      </c>
      <c r="B1099" s="10" t="s">
        <v>2317</v>
      </c>
      <c r="C1099" s="11">
        <v>485.0</v>
      </c>
      <c r="D1099" s="11">
        <v>200.0</v>
      </c>
      <c r="E1099" s="11">
        <v>205.0</v>
      </c>
      <c r="F1099" s="11">
        <v>120.0</v>
      </c>
      <c r="G1099" s="11">
        <v>160.0</v>
      </c>
      <c r="H1099" s="11">
        <v>280.0</v>
      </c>
      <c r="I1099" s="11">
        <v>198.0</v>
      </c>
      <c r="J1099" s="11">
        <v>160.0</v>
      </c>
      <c r="K1099" s="11">
        <f t="shared" si="1"/>
        <v>1808</v>
      </c>
      <c r="L1099" s="11">
        <f t="shared" si="2"/>
        <v>199.5</v>
      </c>
    </row>
    <row r="1100" ht="15.75" customHeight="1">
      <c r="A1100" s="10" t="s">
        <v>2318</v>
      </c>
      <c r="B1100" s="10" t="s">
        <v>2319</v>
      </c>
      <c r="C1100" s="11">
        <v>40.0</v>
      </c>
      <c r="D1100" s="11">
        <v>0.0</v>
      </c>
      <c r="E1100" s="11">
        <v>40.0</v>
      </c>
      <c r="F1100" s="11">
        <v>0.0</v>
      </c>
      <c r="G1100" s="11">
        <v>0.0</v>
      </c>
      <c r="H1100" s="11">
        <v>0.0</v>
      </c>
      <c r="I1100" s="11">
        <v>0.0</v>
      </c>
      <c r="J1100" s="11">
        <v>40.0</v>
      </c>
      <c r="K1100" s="11">
        <f t="shared" si="1"/>
        <v>120</v>
      </c>
      <c r="L1100" s="11">
        <f t="shared" si="2"/>
        <v>10</v>
      </c>
    </row>
    <row r="1101" ht="15.75" customHeight="1">
      <c r="A1101" s="10" t="s">
        <v>2320</v>
      </c>
      <c r="B1101" s="10" t="s">
        <v>2321</v>
      </c>
      <c r="C1101" s="11">
        <v>1356.0</v>
      </c>
      <c r="D1101" s="11">
        <v>1160.0</v>
      </c>
      <c r="E1101" s="11">
        <v>998.0</v>
      </c>
      <c r="F1101" s="11">
        <v>1186.0</v>
      </c>
      <c r="G1101" s="11">
        <v>800.0</v>
      </c>
      <c r="H1101" s="11">
        <v>536.0</v>
      </c>
      <c r="I1101" s="11">
        <v>0.0</v>
      </c>
      <c r="J1101" s="11">
        <v>0.0</v>
      </c>
      <c r="K1101" s="11">
        <f t="shared" si="1"/>
        <v>6036</v>
      </c>
      <c r="L1101" s="11">
        <f t="shared" si="2"/>
        <v>334</v>
      </c>
    </row>
    <row r="1102" ht="15.75" customHeight="1">
      <c r="A1102" s="10" t="s">
        <v>2322</v>
      </c>
      <c r="B1102" s="10" t="s">
        <v>2323</v>
      </c>
      <c r="C1102" s="11">
        <v>0.0</v>
      </c>
      <c r="D1102" s="11">
        <v>0.0</v>
      </c>
      <c r="E1102" s="11">
        <v>0.0</v>
      </c>
      <c r="F1102" s="11">
        <v>0.0</v>
      </c>
      <c r="G1102" s="11">
        <v>0.0</v>
      </c>
      <c r="H1102" s="11">
        <v>0.0</v>
      </c>
      <c r="I1102" s="11">
        <v>0.0</v>
      </c>
      <c r="J1102" s="11">
        <v>0.0</v>
      </c>
      <c r="K1102" s="11">
        <f t="shared" si="1"/>
        <v>0</v>
      </c>
      <c r="L1102" s="11">
        <f t="shared" si="2"/>
        <v>0</v>
      </c>
    </row>
    <row r="1103" ht="15.75" customHeight="1">
      <c r="A1103" s="10" t="s">
        <v>2324</v>
      </c>
      <c r="B1103" s="10" t="s">
        <v>2325</v>
      </c>
      <c r="C1103" s="11">
        <v>0.0</v>
      </c>
      <c r="D1103" s="11">
        <v>0.0</v>
      </c>
      <c r="E1103" s="11">
        <v>30.0</v>
      </c>
      <c r="F1103" s="11">
        <v>30.0</v>
      </c>
      <c r="G1103" s="11">
        <v>0.0</v>
      </c>
      <c r="H1103" s="11">
        <v>30.0</v>
      </c>
      <c r="I1103" s="11">
        <v>30.0</v>
      </c>
      <c r="J1103" s="11">
        <v>90.0</v>
      </c>
      <c r="K1103" s="11">
        <f t="shared" si="1"/>
        <v>210</v>
      </c>
      <c r="L1103" s="11">
        <f t="shared" si="2"/>
        <v>37.5</v>
      </c>
    </row>
    <row r="1104" ht="15.75" customHeight="1">
      <c r="A1104" s="10" t="s">
        <v>2015</v>
      </c>
      <c r="B1104" s="10" t="s">
        <v>2326</v>
      </c>
      <c r="C1104" s="11">
        <v>1230.0</v>
      </c>
      <c r="D1104" s="11">
        <v>1317.0</v>
      </c>
      <c r="E1104" s="11">
        <v>1200.0</v>
      </c>
      <c r="F1104" s="11">
        <v>602.0</v>
      </c>
      <c r="G1104" s="11">
        <v>240.0</v>
      </c>
      <c r="H1104" s="11">
        <v>478.0</v>
      </c>
      <c r="I1104" s="11">
        <v>300.0</v>
      </c>
      <c r="J1104" s="11">
        <v>210.0</v>
      </c>
      <c r="K1104" s="11">
        <f t="shared" si="1"/>
        <v>5577</v>
      </c>
      <c r="L1104" s="11">
        <f t="shared" si="2"/>
        <v>307</v>
      </c>
    </row>
    <row r="1105" ht="15.75" customHeight="1">
      <c r="A1105" s="10" t="s">
        <v>1722</v>
      </c>
      <c r="B1105" s="10" t="s">
        <v>2327</v>
      </c>
      <c r="C1105" s="11">
        <v>60.0</v>
      </c>
      <c r="D1105" s="11">
        <v>160.0</v>
      </c>
      <c r="E1105" s="11">
        <v>0.0</v>
      </c>
      <c r="F1105" s="11">
        <v>55.5</v>
      </c>
      <c r="G1105" s="11">
        <v>20.0</v>
      </c>
      <c r="H1105" s="11">
        <v>20.0</v>
      </c>
      <c r="I1105" s="11">
        <v>20.0</v>
      </c>
      <c r="J1105" s="11">
        <v>0.0</v>
      </c>
      <c r="K1105" s="11">
        <f t="shared" si="1"/>
        <v>335.5</v>
      </c>
      <c r="L1105" s="11">
        <f t="shared" si="2"/>
        <v>15</v>
      </c>
    </row>
    <row r="1106" ht="15.75" customHeight="1">
      <c r="A1106" s="10" t="s">
        <v>1546</v>
      </c>
      <c r="B1106" s="10" t="s">
        <v>2328</v>
      </c>
      <c r="C1106" s="11">
        <v>397.0</v>
      </c>
      <c r="D1106" s="11">
        <v>100.0</v>
      </c>
      <c r="E1106" s="11">
        <v>19.5</v>
      </c>
      <c r="F1106" s="11">
        <v>160.0</v>
      </c>
      <c r="G1106" s="11">
        <v>0.0</v>
      </c>
      <c r="H1106" s="11">
        <v>0.0</v>
      </c>
      <c r="I1106" s="11">
        <v>0.0</v>
      </c>
      <c r="J1106" s="11">
        <v>0.0</v>
      </c>
      <c r="K1106" s="11">
        <f t="shared" si="1"/>
        <v>676.5</v>
      </c>
      <c r="L1106" s="11">
        <f t="shared" si="2"/>
        <v>0</v>
      </c>
    </row>
    <row r="1107" ht="15.75" customHeight="1">
      <c r="A1107" s="10" t="s">
        <v>2329</v>
      </c>
      <c r="B1107" s="10" t="s">
        <v>2330</v>
      </c>
      <c r="C1107" s="11">
        <v>0.0</v>
      </c>
      <c r="D1107" s="11">
        <v>80.0</v>
      </c>
      <c r="E1107" s="11">
        <v>40.0</v>
      </c>
      <c r="F1107" s="11">
        <v>0.0</v>
      </c>
      <c r="G1107" s="11">
        <v>0.0</v>
      </c>
      <c r="H1107" s="11">
        <v>0.0</v>
      </c>
      <c r="I1107" s="11">
        <v>0.0</v>
      </c>
      <c r="J1107" s="11">
        <v>40.0</v>
      </c>
      <c r="K1107" s="11">
        <f t="shared" si="1"/>
        <v>160</v>
      </c>
      <c r="L1107" s="11">
        <f t="shared" si="2"/>
        <v>10</v>
      </c>
    </row>
    <row r="1108" ht="15.75" customHeight="1">
      <c r="A1108" s="10" t="s">
        <v>2331</v>
      </c>
      <c r="B1108" s="10" t="s">
        <v>2332</v>
      </c>
      <c r="C1108" s="11">
        <v>0.0</v>
      </c>
      <c r="D1108" s="11">
        <v>0.0</v>
      </c>
      <c r="E1108" s="11">
        <v>0.0</v>
      </c>
      <c r="F1108" s="11">
        <v>0.0</v>
      </c>
      <c r="G1108" s="11">
        <v>0.0</v>
      </c>
      <c r="H1108" s="11">
        <v>0.0</v>
      </c>
      <c r="I1108" s="11">
        <v>0.0</v>
      </c>
      <c r="J1108" s="11">
        <v>0.0</v>
      </c>
      <c r="K1108" s="11">
        <f t="shared" si="1"/>
        <v>0</v>
      </c>
      <c r="L1108" s="11">
        <f t="shared" si="2"/>
        <v>0</v>
      </c>
    </row>
    <row r="1109" ht="15.75" customHeight="1">
      <c r="A1109" s="10" t="s">
        <v>2333</v>
      </c>
      <c r="B1109" s="10" t="s">
        <v>2334</v>
      </c>
      <c r="C1109" s="11">
        <v>0.0</v>
      </c>
      <c r="D1109" s="11">
        <v>0.0</v>
      </c>
      <c r="E1109" s="11">
        <v>0.0</v>
      </c>
      <c r="F1109" s="11">
        <v>30.0</v>
      </c>
      <c r="G1109" s="11">
        <v>0.0</v>
      </c>
      <c r="H1109" s="11">
        <v>0.0</v>
      </c>
      <c r="I1109" s="11">
        <v>0.0</v>
      </c>
      <c r="J1109" s="11">
        <v>30.0</v>
      </c>
      <c r="K1109" s="11">
        <f t="shared" si="1"/>
        <v>60</v>
      </c>
      <c r="L1109" s="11">
        <f t="shared" si="2"/>
        <v>7.5</v>
      </c>
    </row>
    <row r="1110" ht="15.75" customHeight="1">
      <c r="A1110" s="10" t="s">
        <v>2335</v>
      </c>
      <c r="B1110" s="10" t="s">
        <v>2336</v>
      </c>
      <c r="C1110" s="11">
        <v>185.0</v>
      </c>
      <c r="D1110" s="11">
        <v>160.0</v>
      </c>
      <c r="E1110" s="11">
        <v>40.0</v>
      </c>
      <c r="F1110" s="11">
        <v>0.0</v>
      </c>
      <c r="G1110" s="11">
        <v>0.0</v>
      </c>
      <c r="H1110" s="11">
        <v>0.0</v>
      </c>
      <c r="I1110" s="11">
        <v>480.0</v>
      </c>
      <c r="J1110" s="11">
        <v>600.0</v>
      </c>
      <c r="K1110" s="11">
        <f t="shared" si="1"/>
        <v>1465</v>
      </c>
      <c r="L1110" s="11">
        <f t="shared" si="2"/>
        <v>270</v>
      </c>
    </row>
    <row r="1111" ht="15.75" customHeight="1">
      <c r="A1111" s="10" t="s">
        <v>2337</v>
      </c>
      <c r="B1111" s="10" t="s">
        <v>2338</v>
      </c>
      <c r="C1111" s="11">
        <v>0.0</v>
      </c>
      <c r="D1111" s="11">
        <v>0.0</v>
      </c>
      <c r="E1111" s="11">
        <v>0.0</v>
      </c>
      <c r="F1111" s="11">
        <v>0.0</v>
      </c>
      <c r="G1111" s="11">
        <v>0.0</v>
      </c>
      <c r="H1111" s="11">
        <v>0.0</v>
      </c>
      <c r="I1111" s="11">
        <v>0.0</v>
      </c>
      <c r="J1111" s="11">
        <v>0.0</v>
      </c>
      <c r="K1111" s="11">
        <f t="shared" si="1"/>
        <v>0</v>
      </c>
      <c r="L1111" s="11">
        <f t="shared" si="2"/>
        <v>0</v>
      </c>
    </row>
    <row r="1112" ht="15.75" customHeight="1">
      <c r="A1112" s="10" t="s">
        <v>2339</v>
      </c>
      <c r="B1112" s="10" t="s">
        <v>2340</v>
      </c>
      <c r="C1112" s="11">
        <v>0.0</v>
      </c>
      <c r="D1112" s="11">
        <v>0.0</v>
      </c>
      <c r="E1112" s="11">
        <v>0.0</v>
      </c>
      <c r="F1112" s="11">
        <v>0.0</v>
      </c>
      <c r="G1112" s="11">
        <v>0.0</v>
      </c>
      <c r="H1112" s="11">
        <v>0.0</v>
      </c>
      <c r="I1112" s="11">
        <v>0.0</v>
      </c>
      <c r="J1112" s="11">
        <v>0.0</v>
      </c>
      <c r="K1112" s="11">
        <f t="shared" si="1"/>
        <v>0</v>
      </c>
      <c r="L1112" s="11">
        <f t="shared" si="2"/>
        <v>0</v>
      </c>
    </row>
    <row r="1113" ht="15.75" customHeight="1">
      <c r="A1113" s="10" t="s">
        <v>2341</v>
      </c>
      <c r="B1113" s="10" t="s">
        <v>2342</v>
      </c>
      <c r="C1113" s="11">
        <v>50.0</v>
      </c>
      <c r="D1113" s="11">
        <v>50.0</v>
      </c>
      <c r="E1113" s="11">
        <v>152.0</v>
      </c>
      <c r="F1113" s="11">
        <v>0.0</v>
      </c>
      <c r="G1113" s="11">
        <v>55.0</v>
      </c>
      <c r="H1113" s="11">
        <v>100.0</v>
      </c>
      <c r="I1113" s="11">
        <v>200.0</v>
      </c>
      <c r="J1113" s="11">
        <v>150.0</v>
      </c>
      <c r="K1113" s="11">
        <f t="shared" si="1"/>
        <v>757</v>
      </c>
      <c r="L1113" s="11">
        <f t="shared" si="2"/>
        <v>126.25</v>
      </c>
    </row>
    <row r="1114" ht="15.75" customHeight="1">
      <c r="A1114" s="10" t="s">
        <v>2343</v>
      </c>
      <c r="B1114" s="10" t="s">
        <v>2344</v>
      </c>
      <c r="C1114" s="11">
        <v>0.0</v>
      </c>
      <c r="D1114" s="11">
        <v>100.0</v>
      </c>
      <c r="E1114" s="11">
        <v>50.0</v>
      </c>
      <c r="F1114" s="11">
        <v>0.0</v>
      </c>
      <c r="G1114" s="11">
        <v>0.0</v>
      </c>
      <c r="H1114" s="11">
        <v>0.0</v>
      </c>
      <c r="I1114" s="11">
        <v>50.0</v>
      </c>
      <c r="J1114" s="11">
        <v>92.0</v>
      </c>
      <c r="K1114" s="11">
        <f t="shared" si="1"/>
        <v>292</v>
      </c>
      <c r="L1114" s="11">
        <f t="shared" si="2"/>
        <v>35.5</v>
      </c>
    </row>
    <row r="1115" ht="15.75" customHeight="1">
      <c r="A1115" s="10" t="s">
        <v>2345</v>
      </c>
      <c r="B1115" s="10" t="s">
        <v>2346</v>
      </c>
      <c r="C1115" s="11">
        <v>50.0</v>
      </c>
      <c r="D1115" s="11">
        <v>0.0</v>
      </c>
      <c r="E1115" s="11">
        <v>0.0</v>
      </c>
      <c r="F1115" s="11">
        <v>0.0</v>
      </c>
      <c r="G1115" s="11">
        <v>0.0</v>
      </c>
      <c r="H1115" s="11">
        <v>0.0</v>
      </c>
      <c r="I1115" s="11">
        <v>0.0</v>
      </c>
      <c r="J1115" s="11">
        <v>50.0</v>
      </c>
      <c r="K1115" s="11">
        <f t="shared" si="1"/>
        <v>100</v>
      </c>
      <c r="L1115" s="11">
        <f t="shared" si="2"/>
        <v>12.5</v>
      </c>
    </row>
    <row r="1116" ht="15.75" customHeight="1">
      <c r="A1116" s="10" t="s">
        <v>2347</v>
      </c>
      <c r="B1116" s="10" t="s">
        <v>2348</v>
      </c>
      <c r="C1116" s="11">
        <v>50.0</v>
      </c>
      <c r="D1116" s="11">
        <v>0.0</v>
      </c>
      <c r="E1116" s="11">
        <v>0.0</v>
      </c>
      <c r="F1116" s="11">
        <v>50.0</v>
      </c>
      <c r="G1116" s="11">
        <v>50.0</v>
      </c>
      <c r="H1116" s="11">
        <v>50.0</v>
      </c>
      <c r="I1116" s="11">
        <v>0.0</v>
      </c>
      <c r="J1116" s="11">
        <v>0.0</v>
      </c>
      <c r="K1116" s="11">
        <f t="shared" si="1"/>
        <v>200</v>
      </c>
      <c r="L1116" s="11">
        <f t="shared" si="2"/>
        <v>25</v>
      </c>
    </row>
    <row r="1117" ht="15.75" customHeight="1">
      <c r="A1117" s="10" t="s">
        <v>2349</v>
      </c>
      <c r="B1117" s="10" t="s">
        <v>2350</v>
      </c>
      <c r="C1117" s="11">
        <v>100.0</v>
      </c>
      <c r="D1117" s="11">
        <v>0.0</v>
      </c>
      <c r="E1117" s="11">
        <v>0.0</v>
      </c>
      <c r="F1117" s="11">
        <v>50.0</v>
      </c>
      <c r="G1117" s="11">
        <v>100.0</v>
      </c>
      <c r="H1117" s="11">
        <v>0.0</v>
      </c>
      <c r="I1117" s="11">
        <v>43.0</v>
      </c>
      <c r="J1117" s="11">
        <v>0.0</v>
      </c>
      <c r="K1117" s="11">
        <f t="shared" si="1"/>
        <v>293</v>
      </c>
      <c r="L1117" s="11">
        <f t="shared" si="2"/>
        <v>35.75</v>
      </c>
    </row>
    <row r="1118" ht="15.75" customHeight="1">
      <c r="A1118" s="10" t="s">
        <v>2351</v>
      </c>
      <c r="B1118" s="10" t="s">
        <v>2352</v>
      </c>
      <c r="C1118" s="11">
        <v>0.0</v>
      </c>
      <c r="D1118" s="11">
        <v>50.0</v>
      </c>
      <c r="E1118" s="11">
        <v>211.0</v>
      </c>
      <c r="F1118" s="11">
        <v>51.0</v>
      </c>
      <c r="G1118" s="11">
        <v>150.0</v>
      </c>
      <c r="H1118" s="11">
        <v>150.0</v>
      </c>
      <c r="I1118" s="11">
        <v>50.0</v>
      </c>
      <c r="J1118" s="11">
        <v>0.0</v>
      </c>
      <c r="K1118" s="11">
        <f t="shared" si="1"/>
        <v>662</v>
      </c>
      <c r="L1118" s="11">
        <f t="shared" si="2"/>
        <v>87.5</v>
      </c>
    </row>
    <row r="1119" ht="15.75" customHeight="1">
      <c r="A1119" s="10" t="s">
        <v>2353</v>
      </c>
      <c r="B1119" s="10" t="s">
        <v>2354</v>
      </c>
      <c r="C1119" s="11">
        <v>45.0</v>
      </c>
      <c r="D1119" s="11">
        <v>0.0</v>
      </c>
      <c r="E1119" s="11">
        <v>0.0</v>
      </c>
      <c r="F1119" s="11">
        <v>50.0</v>
      </c>
      <c r="G1119" s="11">
        <v>0.0</v>
      </c>
      <c r="H1119" s="11">
        <v>0.0</v>
      </c>
      <c r="I1119" s="11">
        <v>0.0</v>
      </c>
      <c r="J1119" s="11">
        <v>50.0</v>
      </c>
      <c r="K1119" s="11">
        <f t="shared" si="1"/>
        <v>145</v>
      </c>
      <c r="L1119" s="11">
        <f t="shared" si="2"/>
        <v>12.5</v>
      </c>
    </row>
    <row r="1120" ht="15.75" customHeight="1">
      <c r="A1120" s="10" t="s">
        <v>2355</v>
      </c>
      <c r="B1120" s="10" t="s">
        <v>2356</v>
      </c>
      <c r="C1120" s="11">
        <v>50.0</v>
      </c>
      <c r="D1120" s="11">
        <v>0.0</v>
      </c>
      <c r="E1120" s="11">
        <v>0.0</v>
      </c>
      <c r="F1120" s="11">
        <v>0.0</v>
      </c>
      <c r="G1120" s="11">
        <v>0.0</v>
      </c>
      <c r="H1120" s="11">
        <v>0.0</v>
      </c>
      <c r="I1120" s="11">
        <v>0.0</v>
      </c>
      <c r="J1120" s="11">
        <v>0.0</v>
      </c>
      <c r="K1120" s="11">
        <f t="shared" si="1"/>
        <v>50</v>
      </c>
      <c r="L1120" s="11">
        <f t="shared" si="2"/>
        <v>0</v>
      </c>
    </row>
    <row r="1121" ht="15.75" customHeight="1">
      <c r="A1121" s="10" t="s">
        <v>2357</v>
      </c>
      <c r="B1121" s="10" t="s">
        <v>2358</v>
      </c>
      <c r="C1121" s="11">
        <v>0.0</v>
      </c>
      <c r="D1121" s="11">
        <v>0.0</v>
      </c>
      <c r="E1121" s="11">
        <v>0.0</v>
      </c>
      <c r="F1121" s="11">
        <v>0.0</v>
      </c>
      <c r="G1121" s="11">
        <v>0.0</v>
      </c>
      <c r="H1121" s="11">
        <v>0.0</v>
      </c>
      <c r="I1121" s="11">
        <v>350.0</v>
      </c>
      <c r="J1121" s="11">
        <v>350.0</v>
      </c>
      <c r="K1121" s="11">
        <f t="shared" si="1"/>
        <v>700</v>
      </c>
      <c r="L1121" s="11">
        <f t="shared" si="2"/>
        <v>175</v>
      </c>
    </row>
    <row r="1122" ht="15.75" customHeight="1">
      <c r="A1122" s="10" t="s">
        <v>2359</v>
      </c>
      <c r="B1122" s="10" t="s">
        <v>2360</v>
      </c>
      <c r="C1122" s="11">
        <v>0.0</v>
      </c>
      <c r="D1122" s="11">
        <v>0.0</v>
      </c>
      <c r="E1122" s="11">
        <v>0.0</v>
      </c>
      <c r="F1122" s="11">
        <v>0.0</v>
      </c>
      <c r="G1122" s="11">
        <v>0.0</v>
      </c>
      <c r="H1122" s="11">
        <v>0.0</v>
      </c>
      <c r="I1122" s="11">
        <v>0.0</v>
      </c>
      <c r="J1122" s="11">
        <v>0.0</v>
      </c>
      <c r="K1122" s="11">
        <f t="shared" si="1"/>
        <v>0</v>
      </c>
      <c r="L1122" s="11">
        <f t="shared" si="2"/>
        <v>0</v>
      </c>
    </row>
    <row r="1123" ht="15.75" customHeight="1">
      <c r="A1123" s="10" t="s">
        <v>2361</v>
      </c>
      <c r="B1123" s="10" t="s">
        <v>2362</v>
      </c>
      <c r="C1123" s="11">
        <v>0.0</v>
      </c>
      <c r="D1123" s="11">
        <v>0.0</v>
      </c>
      <c r="E1123" s="11">
        <v>0.0</v>
      </c>
      <c r="F1123" s="11">
        <v>36.0</v>
      </c>
      <c r="G1123" s="11">
        <v>50.0</v>
      </c>
      <c r="H1123" s="11">
        <v>50.0</v>
      </c>
      <c r="I1123" s="11">
        <v>0.0</v>
      </c>
      <c r="J1123" s="11">
        <v>50.0</v>
      </c>
      <c r="K1123" s="11">
        <f t="shared" si="1"/>
        <v>186</v>
      </c>
      <c r="L1123" s="11">
        <f t="shared" si="2"/>
        <v>37.5</v>
      </c>
    </row>
    <row r="1124" ht="15.75" customHeight="1">
      <c r="A1124" s="10" t="s">
        <v>2363</v>
      </c>
      <c r="B1124" s="10" t="s">
        <v>2364</v>
      </c>
      <c r="C1124" s="11">
        <v>0.0</v>
      </c>
      <c r="D1124" s="11">
        <v>0.0</v>
      </c>
      <c r="E1124" s="11">
        <v>0.0</v>
      </c>
      <c r="F1124" s="11">
        <v>50.0</v>
      </c>
      <c r="G1124" s="11">
        <v>0.0</v>
      </c>
      <c r="H1124" s="11">
        <v>0.0</v>
      </c>
      <c r="I1124" s="11">
        <v>0.0</v>
      </c>
      <c r="J1124" s="11">
        <v>200.0</v>
      </c>
      <c r="K1124" s="11">
        <f t="shared" si="1"/>
        <v>250</v>
      </c>
      <c r="L1124" s="11">
        <f t="shared" si="2"/>
        <v>50</v>
      </c>
    </row>
    <row r="1125" ht="15.75" customHeight="1">
      <c r="A1125" s="10" t="s">
        <v>2365</v>
      </c>
      <c r="B1125" s="10" t="s">
        <v>2366</v>
      </c>
      <c r="C1125" s="11">
        <v>100.0</v>
      </c>
      <c r="D1125" s="11">
        <v>100.0</v>
      </c>
      <c r="E1125" s="11">
        <v>107.0</v>
      </c>
      <c r="F1125" s="11">
        <v>100.0</v>
      </c>
      <c r="G1125" s="11">
        <v>303.0</v>
      </c>
      <c r="H1125" s="11">
        <v>351.0</v>
      </c>
      <c r="I1125" s="11">
        <v>754.7</v>
      </c>
      <c r="J1125" s="11">
        <v>1397.0</v>
      </c>
      <c r="K1125" s="11">
        <f t="shared" si="1"/>
        <v>3212.7</v>
      </c>
      <c r="L1125" s="11">
        <f t="shared" si="2"/>
        <v>701.425</v>
      </c>
    </row>
    <row r="1126" ht="15.75" customHeight="1">
      <c r="A1126" s="10" t="s">
        <v>2367</v>
      </c>
      <c r="B1126" s="10" t="s">
        <v>2368</v>
      </c>
      <c r="C1126" s="11">
        <v>102.0</v>
      </c>
      <c r="D1126" s="11">
        <v>0.0</v>
      </c>
      <c r="E1126" s="11">
        <v>120.0</v>
      </c>
      <c r="F1126" s="11">
        <v>78.0</v>
      </c>
      <c r="G1126" s="11">
        <v>170.0</v>
      </c>
      <c r="H1126" s="11">
        <v>190.0</v>
      </c>
      <c r="I1126" s="11">
        <v>174.0</v>
      </c>
      <c r="J1126" s="11">
        <v>130.0</v>
      </c>
      <c r="K1126" s="11">
        <f t="shared" si="1"/>
        <v>964</v>
      </c>
      <c r="L1126" s="11">
        <f t="shared" si="2"/>
        <v>166</v>
      </c>
    </row>
    <row r="1127" ht="15.75" customHeight="1">
      <c r="A1127" s="10" t="s">
        <v>2369</v>
      </c>
      <c r="B1127" s="10" t="s">
        <v>2370</v>
      </c>
      <c r="C1127" s="11">
        <v>50.0</v>
      </c>
      <c r="D1127" s="11">
        <v>50.0</v>
      </c>
      <c r="E1127" s="11">
        <v>50.0</v>
      </c>
      <c r="F1127" s="11">
        <v>0.0</v>
      </c>
      <c r="G1127" s="11">
        <v>43.0</v>
      </c>
      <c r="H1127" s="11">
        <v>0.0</v>
      </c>
      <c r="I1127" s="11">
        <v>57.0</v>
      </c>
      <c r="J1127" s="11">
        <v>0.0</v>
      </c>
      <c r="K1127" s="11">
        <f t="shared" si="1"/>
        <v>250</v>
      </c>
      <c r="L1127" s="11">
        <f t="shared" si="2"/>
        <v>25</v>
      </c>
    </row>
    <row r="1128" ht="15.75" customHeight="1">
      <c r="A1128" s="10" t="s">
        <v>2373</v>
      </c>
      <c r="B1128" s="10" t="s">
        <v>2374</v>
      </c>
      <c r="C1128" s="11">
        <v>50.0</v>
      </c>
      <c r="D1128" s="11">
        <v>0.0</v>
      </c>
      <c r="E1128" s="11">
        <v>50.0</v>
      </c>
      <c r="F1128" s="11">
        <v>50.0</v>
      </c>
      <c r="G1128" s="11">
        <v>50.0</v>
      </c>
      <c r="H1128" s="11">
        <v>0.0</v>
      </c>
      <c r="I1128" s="11">
        <v>130.0</v>
      </c>
      <c r="J1128" s="11">
        <v>180.0</v>
      </c>
      <c r="K1128" s="11">
        <f t="shared" si="1"/>
        <v>510</v>
      </c>
      <c r="L1128" s="11">
        <f t="shared" si="2"/>
        <v>90</v>
      </c>
    </row>
    <row r="1129" ht="15.75" customHeight="1">
      <c r="A1129" s="10" t="s">
        <v>2375</v>
      </c>
      <c r="B1129" s="10" t="s">
        <v>2376</v>
      </c>
      <c r="C1129" s="11">
        <v>0.0</v>
      </c>
      <c r="D1129" s="11">
        <v>0.0</v>
      </c>
      <c r="E1129" s="11">
        <v>0.0</v>
      </c>
      <c r="F1129" s="11">
        <v>0.0</v>
      </c>
      <c r="G1129" s="11">
        <v>0.0</v>
      </c>
      <c r="H1129" s="11">
        <v>0.0</v>
      </c>
      <c r="I1129" s="11">
        <v>0.0</v>
      </c>
      <c r="J1129" s="11">
        <v>50.0</v>
      </c>
      <c r="K1129" s="11">
        <f t="shared" si="1"/>
        <v>50</v>
      </c>
      <c r="L1129" s="11">
        <f t="shared" si="2"/>
        <v>12.5</v>
      </c>
    </row>
    <row r="1130" ht="15.75" customHeight="1">
      <c r="A1130" s="10" t="s">
        <v>2377</v>
      </c>
      <c r="B1130" s="10" t="s">
        <v>2378</v>
      </c>
      <c r="C1130" s="11">
        <v>0.0</v>
      </c>
      <c r="D1130" s="11">
        <v>0.0</v>
      </c>
      <c r="E1130" s="11">
        <v>0.0</v>
      </c>
      <c r="F1130" s="11">
        <v>0.0</v>
      </c>
      <c r="G1130" s="11">
        <v>0.0</v>
      </c>
      <c r="H1130" s="11">
        <v>0.0</v>
      </c>
      <c r="I1130" s="11">
        <v>0.0</v>
      </c>
      <c r="J1130" s="11">
        <v>0.0</v>
      </c>
      <c r="K1130" s="11">
        <f t="shared" si="1"/>
        <v>0</v>
      </c>
      <c r="L1130" s="11">
        <f t="shared" si="2"/>
        <v>0</v>
      </c>
    </row>
    <row r="1131" ht="15.75" customHeight="1">
      <c r="A1131" s="10" t="s">
        <v>2379</v>
      </c>
      <c r="B1131" s="10" t="s">
        <v>2380</v>
      </c>
      <c r="C1131" s="11">
        <v>200.0</v>
      </c>
      <c r="D1131" s="11">
        <v>120.0</v>
      </c>
      <c r="E1131" s="11">
        <v>200.0</v>
      </c>
      <c r="F1131" s="11">
        <v>117.5</v>
      </c>
      <c r="G1131" s="11">
        <v>80.0</v>
      </c>
      <c r="H1131" s="11">
        <v>120.0</v>
      </c>
      <c r="I1131" s="11">
        <v>411.0</v>
      </c>
      <c r="J1131" s="11">
        <v>314.0</v>
      </c>
      <c r="K1131" s="11">
        <f t="shared" si="1"/>
        <v>1562.5</v>
      </c>
      <c r="L1131" s="11">
        <f t="shared" si="2"/>
        <v>231.25</v>
      </c>
    </row>
    <row r="1132" ht="15.75" customHeight="1">
      <c r="A1132" s="10" t="s">
        <v>2381</v>
      </c>
      <c r="B1132" s="10" t="s">
        <v>2382</v>
      </c>
      <c r="C1132" s="11">
        <v>0.0</v>
      </c>
      <c r="D1132" s="11">
        <v>0.0</v>
      </c>
      <c r="E1132" s="11">
        <v>0.0</v>
      </c>
      <c r="F1132" s="11">
        <v>0.0</v>
      </c>
      <c r="G1132" s="11">
        <v>0.0</v>
      </c>
      <c r="H1132" s="11">
        <v>0.0</v>
      </c>
      <c r="I1132" s="11">
        <v>0.0</v>
      </c>
      <c r="J1132" s="11">
        <v>0.0</v>
      </c>
      <c r="K1132" s="11">
        <f t="shared" si="1"/>
        <v>0</v>
      </c>
      <c r="L1132" s="11">
        <f t="shared" si="2"/>
        <v>0</v>
      </c>
    </row>
    <row r="1133" ht="15.75" customHeight="1">
      <c r="A1133" s="10" t="s">
        <v>2383</v>
      </c>
      <c r="B1133" s="10" t="s">
        <v>2384</v>
      </c>
      <c r="C1133" s="11">
        <v>0.0</v>
      </c>
      <c r="D1133" s="11">
        <v>0.0</v>
      </c>
      <c r="E1133" s="11">
        <v>280.0</v>
      </c>
      <c r="F1133" s="11">
        <v>283.0</v>
      </c>
      <c r="G1133" s="11">
        <v>160.0</v>
      </c>
      <c r="H1133" s="11">
        <v>206.0</v>
      </c>
      <c r="I1133" s="11">
        <v>117.0</v>
      </c>
      <c r="J1133" s="11">
        <v>160.0</v>
      </c>
      <c r="K1133" s="11">
        <f t="shared" si="1"/>
        <v>1206</v>
      </c>
      <c r="L1133" s="11">
        <f t="shared" si="2"/>
        <v>160.75</v>
      </c>
    </row>
    <row r="1134" ht="15.75" customHeight="1">
      <c r="A1134" s="10" t="s">
        <v>2385</v>
      </c>
      <c r="B1134" s="10" t="s">
        <v>2386</v>
      </c>
      <c r="C1134" s="11">
        <v>8352.0</v>
      </c>
      <c r="D1134" s="11">
        <v>11468.0</v>
      </c>
      <c r="E1134" s="11">
        <v>8522.0</v>
      </c>
      <c r="F1134" s="11">
        <v>4880.0</v>
      </c>
      <c r="G1134" s="11">
        <v>4843.0</v>
      </c>
      <c r="H1134" s="11">
        <v>5475.0</v>
      </c>
      <c r="I1134" s="11">
        <v>5385.0</v>
      </c>
      <c r="J1134" s="11">
        <v>6620.0</v>
      </c>
      <c r="K1134" s="11">
        <f t="shared" si="1"/>
        <v>55545</v>
      </c>
      <c r="L1134" s="11">
        <f t="shared" si="2"/>
        <v>5580.75</v>
      </c>
    </row>
    <row r="1135" ht="15.75" customHeight="1">
      <c r="A1135" s="10" t="s">
        <v>2387</v>
      </c>
      <c r="B1135" s="10" t="s">
        <v>2388</v>
      </c>
      <c r="C1135" s="11">
        <v>0.0</v>
      </c>
      <c r="D1135" s="11">
        <v>0.0</v>
      </c>
      <c r="E1135" s="11">
        <v>0.0</v>
      </c>
      <c r="F1135" s="11">
        <v>0.0</v>
      </c>
      <c r="G1135" s="11">
        <v>0.0</v>
      </c>
      <c r="H1135" s="11">
        <v>0.0</v>
      </c>
      <c r="I1135" s="11">
        <v>0.0</v>
      </c>
      <c r="J1135" s="11">
        <v>0.0</v>
      </c>
      <c r="K1135" s="11">
        <f t="shared" si="1"/>
        <v>0</v>
      </c>
      <c r="L1135" s="11">
        <f t="shared" si="2"/>
        <v>0</v>
      </c>
    </row>
    <row r="1136" ht="15.75" customHeight="1">
      <c r="A1136" s="10" t="s">
        <v>2389</v>
      </c>
      <c r="B1136" s="10" t="s">
        <v>2390</v>
      </c>
      <c r="C1136" s="11">
        <v>0.0</v>
      </c>
      <c r="D1136" s="11">
        <v>38.0</v>
      </c>
      <c r="E1136" s="11">
        <v>159.0</v>
      </c>
      <c r="F1136" s="11">
        <v>0.0</v>
      </c>
      <c r="G1136" s="11">
        <v>0.0</v>
      </c>
      <c r="H1136" s="11">
        <v>0.0</v>
      </c>
      <c r="I1136" s="11">
        <v>120.0</v>
      </c>
      <c r="J1136" s="11">
        <v>80.0</v>
      </c>
      <c r="K1136" s="11">
        <f t="shared" si="1"/>
        <v>397</v>
      </c>
      <c r="L1136" s="11">
        <f t="shared" si="2"/>
        <v>50</v>
      </c>
    </row>
    <row r="1137" ht="15.75" customHeight="1">
      <c r="A1137" s="10" t="s">
        <v>2391</v>
      </c>
      <c r="B1137" s="10" t="s">
        <v>2392</v>
      </c>
      <c r="C1137" s="11">
        <v>0.0</v>
      </c>
      <c r="D1137" s="11">
        <v>0.0</v>
      </c>
      <c r="E1137" s="11">
        <v>44.0</v>
      </c>
      <c r="F1137" s="11">
        <v>0.0</v>
      </c>
      <c r="G1137" s="11">
        <v>0.0</v>
      </c>
      <c r="H1137" s="11">
        <v>0.0</v>
      </c>
      <c r="I1137" s="11">
        <v>0.0</v>
      </c>
      <c r="J1137" s="11">
        <v>0.0</v>
      </c>
      <c r="K1137" s="11">
        <f t="shared" si="1"/>
        <v>44</v>
      </c>
      <c r="L1137" s="11">
        <f t="shared" si="2"/>
        <v>0</v>
      </c>
    </row>
    <row r="1138" ht="15.75" customHeight="1">
      <c r="A1138" s="10" t="s">
        <v>2393</v>
      </c>
      <c r="B1138" s="10" t="s">
        <v>2394</v>
      </c>
      <c r="C1138" s="11">
        <v>0.0</v>
      </c>
      <c r="D1138" s="11">
        <v>0.0</v>
      </c>
      <c r="E1138" s="11">
        <v>0.0</v>
      </c>
      <c r="F1138" s="11">
        <v>0.0</v>
      </c>
      <c r="G1138" s="11">
        <v>0.0</v>
      </c>
      <c r="H1138" s="11">
        <v>0.0</v>
      </c>
      <c r="I1138" s="11">
        <v>0.0</v>
      </c>
      <c r="J1138" s="11">
        <v>50.0</v>
      </c>
      <c r="K1138" s="11">
        <f t="shared" si="1"/>
        <v>50</v>
      </c>
      <c r="L1138" s="11">
        <f t="shared" si="2"/>
        <v>12.5</v>
      </c>
    </row>
    <row r="1139" ht="15.75" customHeight="1">
      <c r="A1139" s="10" t="s">
        <v>2395</v>
      </c>
      <c r="B1139" s="10" t="s">
        <v>2396</v>
      </c>
      <c r="C1139" s="11">
        <v>0.0</v>
      </c>
      <c r="D1139" s="11">
        <v>50.0</v>
      </c>
      <c r="E1139" s="11">
        <v>0.0</v>
      </c>
      <c r="F1139" s="11">
        <v>21.0</v>
      </c>
      <c r="G1139" s="11">
        <v>100.0</v>
      </c>
      <c r="H1139" s="11">
        <v>50.0</v>
      </c>
      <c r="I1139" s="11">
        <v>50.0</v>
      </c>
      <c r="J1139" s="11">
        <v>100.0</v>
      </c>
      <c r="K1139" s="11">
        <f t="shared" si="1"/>
        <v>371</v>
      </c>
      <c r="L1139" s="11">
        <f t="shared" si="2"/>
        <v>75</v>
      </c>
    </row>
    <row r="1140" ht="15.75" customHeight="1">
      <c r="A1140" s="10" t="s">
        <v>2397</v>
      </c>
      <c r="B1140" s="10" t="s">
        <v>2398</v>
      </c>
      <c r="C1140" s="11">
        <v>80.0</v>
      </c>
      <c r="D1140" s="11">
        <v>40.0</v>
      </c>
      <c r="E1140" s="11">
        <v>0.0</v>
      </c>
      <c r="F1140" s="11">
        <v>40.0</v>
      </c>
      <c r="G1140" s="11">
        <v>0.0</v>
      </c>
      <c r="H1140" s="11">
        <v>40.0</v>
      </c>
      <c r="I1140" s="11">
        <v>120.0</v>
      </c>
      <c r="J1140" s="11">
        <v>162.0</v>
      </c>
      <c r="K1140" s="11">
        <f t="shared" si="1"/>
        <v>482</v>
      </c>
      <c r="L1140" s="11">
        <f t="shared" si="2"/>
        <v>80.5</v>
      </c>
    </row>
    <row r="1141" ht="15.75" customHeight="1">
      <c r="A1141" s="10" t="s">
        <v>2399</v>
      </c>
      <c r="B1141" s="10" t="s">
        <v>2400</v>
      </c>
      <c r="C1141" s="11">
        <v>0.0</v>
      </c>
      <c r="D1141" s="11">
        <v>0.0</v>
      </c>
      <c r="E1141" s="11">
        <v>0.0</v>
      </c>
      <c r="F1141" s="11">
        <v>0.0</v>
      </c>
      <c r="G1141" s="11">
        <v>0.0</v>
      </c>
      <c r="H1141" s="11">
        <v>0.0</v>
      </c>
      <c r="I1141" s="11">
        <v>40.0</v>
      </c>
      <c r="J1141" s="11">
        <v>80.0</v>
      </c>
      <c r="K1141" s="11">
        <f t="shared" si="1"/>
        <v>120</v>
      </c>
      <c r="L1141" s="11">
        <f t="shared" si="2"/>
        <v>30</v>
      </c>
    </row>
    <row r="1142" ht="15.75" customHeight="1">
      <c r="A1142" s="10" t="s">
        <v>2401</v>
      </c>
      <c r="B1142" s="10" t="s">
        <v>2402</v>
      </c>
      <c r="C1142" s="11">
        <v>0.0</v>
      </c>
      <c r="D1142" s="11">
        <v>0.0</v>
      </c>
      <c r="E1142" s="11">
        <v>0.0</v>
      </c>
      <c r="F1142" s="11">
        <v>0.0</v>
      </c>
      <c r="G1142" s="11">
        <v>0.0</v>
      </c>
      <c r="H1142" s="11">
        <v>0.0</v>
      </c>
      <c r="I1142" s="11">
        <v>0.0</v>
      </c>
      <c r="J1142" s="11">
        <v>0.0</v>
      </c>
      <c r="K1142" s="11">
        <f t="shared" si="1"/>
        <v>0</v>
      </c>
      <c r="L1142" s="11">
        <f t="shared" si="2"/>
        <v>0</v>
      </c>
    </row>
    <row r="1143" ht="15.75" customHeight="1">
      <c r="A1143" s="10" t="s">
        <v>2403</v>
      </c>
      <c r="B1143" s="10" t="s">
        <v>2404</v>
      </c>
      <c r="C1143" s="11">
        <v>0.0</v>
      </c>
      <c r="D1143" s="11">
        <v>0.0</v>
      </c>
      <c r="E1143" s="11">
        <v>0.0</v>
      </c>
      <c r="F1143" s="11">
        <v>0.0</v>
      </c>
      <c r="G1143" s="11">
        <v>0.0</v>
      </c>
      <c r="H1143" s="11">
        <v>0.0</v>
      </c>
      <c r="I1143" s="11">
        <v>0.0</v>
      </c>
      <c r="J1143" s="11">
        <v>0.0</v>
      </c>
      <c r="K1143" s="11">
        <f t="shared" si="1"/>
        <v>0</v>
      </c>
      <c r="L1143" s="11">
        <f t="shared" si="2"/>
        <v>0</v>
      </c>
    </row>
    <row r="1144" ht="15.75" customHeight="1">
      <c r="A1144" s="10" t="s">
        <v>2405</v>
      </c>
      <c r="B1144" s="10" t="s">
        <v>2406</v>
      </c>
      <c r="C1144" s="11">
        <v>41.0</v>
      </c>
      <c r="D1144" s="11">
        <v>0.0</v>
      </c>
      <c r="E1144" s="11">
        <v>0.0</v>
      </c>
      <c r="F1144" s="11">
        <v>153.0</v>
      </c>
      <c r="G1144" s="11">
        <v>40.0</v>
      </c>
      <c r="H1144" s="11">
        <v>0.0</v>
      </c>
      <c r="I1144" s="11">
        <v>0.0</v>
      </c>
      <c r="J1144" s="11">
        <v>106.0</v>
      </c>
      <c r="K1144" s="11">
        <f t="shared" si="1"/>
        <v>340</v>
      </c>
      <c r="L1144" s="11">
        <f t="shared" si="2"/>
        <v>36.5</v>
      </c>
    </row>
    <row r="1145" ht="15.75" customHeight="1">
      <c r="A1145" s="10" t="s">
        <v>2407</v>
      </c>
      <c r="B1145" s="10" t="s">
        <v>2408</v>
      </c>
      <c r="C1145" s="11">
        <v>50.0</v>
      </c>
      <c r="D1145" s="11">
        <v>50.0</v>
      </c>
      <c r="E1145" s="11">
        <v>50.0</v>
      </c>
      <c r="F1145" s="11">
        <v>0.0</v>
      </c>
      <c r="G1145" s="11">
        <v>0.0</v>
      </c>
      <c r="H1145" s="11">
        <v>0.0</v>
      </c>
      <c r="I1145" s="11">
        <v>0.0</v>
      </c>
      <c r="J1145" s="11">
        <v>0.0</v>
      </c>
      <c r="K1145" s="11">
        <f t="shared" si="1"/>
        <v>150</v>
      </c>
      <c r="L1145" s="11">
        <f t="shared" si="2"/>
        <v>0</v>
      </c>
    </row>
    <row r="1146" ht="15.75" customHeight="1">
      <c r="A1146" s="10" t="s">
        <v>2409</v>
      </c>
      <c r="B1146" s="10" t="s">
        <v>2410</v>
      </c>
      <c r="C1146" s="11">
        <v>0.0</v>
      </c>
      <c r="D1146" s="11">
        <v>0.0</v>
      </c>
      <c r="E1146" s="11">
        <v>0.0</v>
      </c>
      <c r="F1146" s="11">
        <v>0.0</v>
      </c>
      <c r="G1146" s="11">
        <v>0.0</v>
      </c>
      <c r="H1146" s="11">
        <v>0.0</v>
      </c>
      <c r="I1146" s="11">
        <v>200.0</v>
      </c>
      <c r="J1146" s="11">
        <v>120.0</v>
      </c>
      <c r="K1146" s="11">
        <f t="shared" si="1"/>
        <v>320</v>
      </c>
      <c r="L1146" s="11">
        <f t="shared" si="2"/>
        <v>80</v>
      </c>
    </row>
    <row r="1147" ht="15.75" customHeight="1">
      <c r="A1147" s="10" t="s">
        <v>2411</v>
      </c>
      <c r="B1147" s="10" t="s">
        <v>2412</v>
      </c>
      <c r="C1147" s="11">
        <v>0.0</v>
      </c>
      <c r="D1147" s="11">
        <v>0.0</v>
      </c>
      <c r="E1147" s="11">
        <v>0.0</v>
      </c>
      <c r="F1147" s="11">
        <v>0.0</v>
      </c>
      <c r="G1147" s="11">
        <v>0.0</v>
      </c>
      <c r="H1147" s="11">
        <v>0.0</v>
      </c>
      <c r="I1147" s="11">
        <v>0.0</v>
      </c>
      <c r="J1147" s="11">
        <v>0.0</v>
      </c>
      <c r="K1147" s="11">
        <f t="shared" si="1"/>
        <v>0</v>
      </c>
      <c r="L1147" s="11">
        <f t="shared" si="2"/>
        <v>0</v>
      </c>
    </row>
    <row r="1148" ht="15.75" customHeight="1">
      <c r="A1148" s="10" t="s">
        <v>2413</v>
      </c>
      <c r="B1148" s="10" t="s">
        <v>2414</v>
      </c>
      <c r="C1148" s="11">
        <v>57.0</v>
      </c>
      <c r="D1148" s="11">
        <v>28.5</v>
      </c>
      <c r="E1148" s="11">
        <v>57.0</v>
      </c>
      <c r="F1148" s="11">
        <v>0.0</v>
      </c>
      <c r="G1148" s="11">
        <v>0.0</v>
      </c>
      <c r="H1148" s="11">
        <v>0.0</v>
      </c>
      <c r="I1148" s="11">
        <v>0.0</v>
      </c>
      <c r="J1148" s="11">
        <v>0.0</v>
      </c>
      <c r="K1148" s="11">
        <f t="shared" si="1"/>
        <v>142.5</v>
      </c>
      <c r="L1148" s="11">
        <f t="shared" si="2"/>
        <v>0</v>
      </c>
    </row>
    <row r="1149" ht="15.75" customHeight="1">
      <c r="A1149" s="10" t="s">
        <v>2415</v>
      </c>
      <c r="B1149" s="10" t="s">
        <v>2416</v>
      </c>
      <c r="C1149" s="11">
        <v>28.5</v>
      </c>
      <c r="D1149" s="11">
        <v>57.0</v>
      </c>
      <c r="E1149" s="11">
        <v>85.5</v>
      </c>
      <c r="F1149" s="11">
        <v>142.5</v>
      </c>
      <c r="G1149" s="11">
        <v>171.0</v>
      </c>
      <c r="H1149" s="11">
        <v>0.0</v>
      </c>
      <c r="I1149" s="11">
        <v>0.0</v>
      </c>
      <c r="J1149" s="11">
        <v>0.0</v>
      </c>
      <c r="K1149" s="11">
        <f t="shared" si="1"/>
        <v>484.5</v>
      </c>
      <c r="L1149" s="11">
        <f t="shared" si="2"/>
        <v>42.75</v>
      </c>
    </row>
    <row r="1150" ht="15.75" customHeight="1">
      <c r="A1150" s="10" t="s">
        <v>2417</v>
      </c>
      <c r="B1150" s="10" t="s">
        <v>2418</v>
      </c>
      <c r="C1150" s="11">
        <v>741.0</v>
      </c>
      <c r="D1150" s="11">
        <v>541.5</v>
      </c>
      <c r="E1150" s="11">
        <v>912.0</v>
      </c>
      <c r="F1150" s="11">
        <v>199.5</v>
      </c>
      <c r="G1150" s="11">
        <v>114.0</v>
      </c>
      <c r="H1150" s="11">
        <v>142.5</v>
      </c>
      <c r="I1150" s="11">
        <v>855.0</v>
      </c>
      <c r="J1150" s="11">
        <v>741.0</v>
      </c>
      <c r="K1150" s="11">
        <f t="shared" si="1"/>
        <v>4246.5</v>
      </c>
      <c r="L1150" s="11">
        <f t="shared" si="2"/>
        <v>463.125</v>
      </c>
    </row>
    <row r="1151" ht="15.75" customHeight="1">
      <c r="A1151" s="10" t="s">
        <v>2419</v>
      </c>
      <c r="B1151" s="10" t="s">
        <v>2420</v>
      </c>
      <c r="C1151" s="11">
        <v>57.0</v>
      </c>
      <c r="D1151" s="11">
        <v>171.0</v>
      </c>
      <c r="E1151" s="11">
        <v>0.0</v>
      </c>
      <c r="F1151" s="11">
        <v>0.0</v>
      </c>
      <c r="G1151" s="11">
        <v>0.0</v>
      </c>
      <c r="H1151" s="11">
        <v>0.0</v>
      </c>
      <c r="I1151" s="11">
        <v>0.0</v>
      </c>
      <c r="J1151" s="11">
        <v>0.0</v>
      </c>
      <c r="K1151" s="11">
        <f t="shared" si="1"/>
        <v>228</v>
      </c>
      <c r="L1151" s="11">
        <f t="shared" si="2"/>
        <v>0</v>
      </c>
    </row>
    <row r="1152" ht="15.75" customHeight="1">
      <c r="A1152" s="10" t="s">
        <v>2421</v>
      </c>
      <c r="B1152" s="10" t="s">
        <v>2422</v>
      </c>
      <c r="C1152" s="11">
        <v>0.0</v>
      </c>
      <c r="D1152" s="11">
        <v>0.0</v>
      </c>
      <c r="E1152" s="11">
        <v>0.0</v>
      </c>
      <c r="F1152" s="11">
        <v>0.0</v>
      </c>
      <c r="G1152" s="11">
        <v>0.0</v>
      </c>
      <c r="H1152" s="11">
        <v>0.0</v>
      </c>
      <c r="I1152" s="11">
        <v>0.0</v>
      </c>
      <c r="J1152" s="11">
        <v>0.0</v>
      </c>
      <c r="K1152" s="11">
        <f t="shared" si="1"/>
        <v>0</v>
      </c>
      <c r="L1152" s="11">
        <f t="shared" si="2"/>
        <v>0</v>
      </c>
    </row>
    <row r="1153" ht="15.75" customHeight="1">
      <c r="A1153" s="10" t="s">
        <v>2423</v>
      </c>
      <c r="B1153" s="10" t="s">
        <v>2424</v>
      </c>
      <c r="C1153" s="11">
        <v>28.5</v>
      </c>
      <c r="D1153" s="11">
        <v>0.0</v>
      </c>
      <c r="E1153" s="11">
        <v>0.0</v>
      </c>
      <c r="F1153" s="11">
        <v>0.0</v>
      </c>
      <c r="G1153" s="11">
        <v>0.0</v>
      </c>
      <c r="H1153" s="11">
        <v>0.0</v>
      </c>
      <c r="I1153" s="11">
        <v>0.0</v>
      </c>
      <c r="J1153" s="11">
        <v>0.0</v>
      </c>
      <c r="K1153" s="11">
        <f t="shared" si="1"/>
        <v>28.5</v>
      </c>
      <c r="L1153" s="11">
        <f t="shared" si="2"/>
        <v>0</v>
      </c>
    </row>
    <row r="1154" ht="15.75" customHeight="1">
      <c r="A1154" s="10" t="s">
        <v>2425</v>
      </c>
      <c r="B1154" s="10" t="s">
        <v>2426</v>
      </c>
      <c r="C1154" s="11">
        <v>0.0</v>
      </c>
      <c r="D1154" s="11">
        <v>0.0</v>
      </c>
      <c r="E1154" s="11">
        <v>0.0</v>
      </c>
      <c r="F1154" s="11">
        <v>0.0</v>
      </c>
      <c r="G1154" s="11">
        <v>0.0</v>
      </c>
      <c r="H1154" s="11">
        <v>10.0</v>
      </c>
      <c r="I1154" s="11">
        <v>20.0</v>
      </c>
      <c r="J1154" s="11">
        <v>0.0</v>
      </c>
      <c r="K1154" s="11">
        <f t="shared" si="1"/>
        <v>30</v>
      </c>
      <c r="L1154" s="11">
        <f t="shared" si="2"/>
        <v>7.5</v>
      </c>
    </row>
    <row r="1155" ht="15.75" customHeight="1">
      <c r="A1155" s="10" t="s">
        <v>2427</v>
      </c>
      <c r="B1155" s="10" t="s">
        <v>2428</v>
      </c>
      <c r="C1155" s="11">
        <v>0.0</v>
      </c>
      <c r="D1155" s="11">
        <v>0.0</v>
      </c>
      <c r="E1155" s="11">
        <v>0.0</v>
      </c>
      <c r="F1155" s="11">
        <v>0.0</v>
      </c>
      <c r="G1155" s="11">
        <v>0.0</v>
      </c>
      <c r="H1155" s="11">
        <v>30.0</v>
      </c>
      <c r="I1155" s="11">
        <v>30.0</v>
      </c>
      <c r="J1155" s="11">
        <v>0.0</v>
      </c>
      <c r="K1155" s="11">
        <f t="shared" si="1"/>
        <v>60</v>
      </c>
      <c r="L1155" s="11">
        <f t="shared" si="2"/>
        <v>15</v>
      </c>
    </row>
    <row r="1156" ht="15.75" customHeight="1">
      <c r="A1156" s="10" t="s">
        <v>2429</v>
      </c>
      <c r="B1156" s="10" t="s">
        <v>2430</v>
      </c>
      <c r="C1156" s="11">
        <v>0.0</v>
      </c>
      <c r="D1156" s="11">
        <v>0.0</v>
      </c>
      <c r="E1156" s="11">
        <v>0.0</v>
      </c>
      <c r="F1156" s="11">
        <v>0.0</v>
      </c>
      <c r="G1156" s="11">
        <v>0.0</v>
      </c>
      <c r="H1156" s="11">
        <v>10.0</v>
      </c>
      <c r="I1156" s="11">
        <v>30.0</v>
      </c>
      <c r="J1156" s="11">
        <v>0.0</v>
      </c>
      <c r="K1156" s="11">
        <f t="shared" si="1"/>
        <v>40</v>
      </c>
      <c r="L1156" s="11">
        <f t="shared" si="2"/>
        <v>10</v>
      </c>
    </row>
    <row r="1157" ht="15.75" customHeight="1">
      <c r="A1157" s="10" t="s">
        <v>2431</v>
      </c>
      <c r="B1157" s="10" t="s">
        <v>2432</v>
      </c>
      <c r="C1157" s="11">
        <v>0.0</v>
      </c>
      <c r="D1157" s="11">
        <v>0.0</v>
      </c>
      <c r="E1157" s="11">
        <v>0.0</v>
      </c>
      <c r="F1157" s="11">
        <v>0.0</v>
      </c>
      <c r="G1157" s="11">
        <v>0.0</v>
      </c>
      <c r="H1157" s="11">
        <v>80.0</v>
      </c>
      <c r="I1157" s="11">
        <v>50.0</v>
      </c>
      <c r="J1157" s="11">
        <v>20.0</v>
      </c>
      <c r="K1157" s="11">
        <f t="shared" si="1"/>
        <v>150</v>
      </c>
      <c r="L1157" s="11">
        <f t="shared" si="2"/>
        <v>37.5</v>
      </c>
    </row>
    <row r="1158" ht="15.75" customHeight="1">
      <c r="A1158" s="10" t="s">
        <v>2433</v>
      </c>
      <c r="B1158" s="10" t="s">
        <v>2434</v>
      </c>
      <c r="C1158" s="11">
        <v>0.0</v>
      </c>
      <c r="D1158" s="11">
        <v>0.0</v>
      </c>
      <c r="E1158" s="11">
        <v>0.0</v>
      </c>
      <c r="F1158" s="11">
        <v>0.0</v>
      </c>
      <c r="G1158" s="11">
        <v>0.0</v>
      </c>
      <c r="H1158" s="11">
        <v>30.0</v>
      </c>
      <c r="I1158" s="11">
        <v>10.0</v>
      </c>
      <c r="J1158" s="11">
        <v>20.0</v>
      </c>
      <c r="K1158" s="11">
        <f t="shared" si="1"/>
        <v>60</v>
      </c>
      <c r="L1158" s="11">
        <f t="shared" si="2"/>
        <v>15</v>
      </c>
    </row>
    <row r="1159" ht="15.75" customHeight="1">
      <c r="A1159" s="10" t="s">
        <v>2435</v>
      </c>
      <c r="B1159" s="10" t="s">
        <v>2436</v>
      </c>
      <c r="C1159" s="11">
        <v>0.0</v>
      </c>
      <c r="D1159" s="11">
        <v>0.0</v>
      </c>
      <c r="E1159" s="11">
        <v>0.0</v>
      </c>
      <c r="F1159" s="11">
        <v>0.0</v>
      </c>
      <c r="G1159" s="11">
        <v>0.0</v>
      </c>
      <c r="H1159" s="11">
        <v>40.0</v>
      </c>
      <c r="I1159" s="11">
        <v>40.0</v>
      </c>
      <c r="J1159" s="11">
        <v>0.0</v>
      </c>
      <c r="K1159" s="11">
        <f t="shared" si="1"/>
        <v>80</v>
      </c>
      <c r="L1159" s="11">
        <f t="shared" si="2"/>
        <v>20</v>
      </c>
    </row>
    <row r="1160" ht="15.75" customHeight="1">
      <c r="A1160" s="10" t="s">
        <v>2437</v>
      </c>
      <c r="B1160" s="10" t="s">
        <v>2438</v>
      </c>
      <c r="C1160" s="11">
        <v>0.0</v>
      </c>
      <c r="D1160" s="11">
        <v>0.0</v>
      </c>
      <c r="E1160" s="11">
        <v>0.0</v>
      </c>
      <c r="F1160" s="11">
        <v>0.0</v>
      </c>
      <c r="G1160" s="11">
        <v>0.0</v>
      </c>
      <c r="H1160" s="11">
        <v>10.0</v>
      </c>
      <c r="I1160" s="11">
        <v>10.0</v>
      </c>
      <c r="J1160" s="11">
        <v>0.0</v>
      </c>
      <c r="K1160" s="11">
        <f t="shared" si="1"/>
        <v>20</v>
      </c>
      <c r="L1160" s="11">
        <f t="shared" si="2"/>
        <v>5</v>
      </c>
    </row>
    <row r="1161" ht="15.75" customHeight="1">
      <c r="A1161" s="10" t="s">
        <v>2439</v>
      </c>
      <c r="B1161" s="10" t="s">
        <v>2440</v>
      </c>
      <c r="C1161" s="11">
        <v>0.0</v>
      </c>
      <c r="D1161" s="11">
        <v>0.0</v>
      </c>
      <c r="E1161" s="11">
        <v>0.0</v>
      </c>
      <c r="F1161" s="11">
        <v>0.0</v>
      </c>
      <c r="G1161" s="11">
        <v>0.0</v>
      </c>
      <c r="H1161" s="11">
        <v>60.0</v>
      </c>
      <c r="I1161" s="11">
        <v>40.0</v>
      </c>
      <c r="J1161" s="11">
        <v>0.0</v>
      </c>
      <c r="K1161" s="11">
        <f t="shared" si="1"/>
        <v>100</v>
      </c>
      <c r="L1161" s="11">
        <f t="shared" si="2"/>
        <v>25</v>
      </c>
    </row>
    <row r="1162" ht="15.75" customHeight="1">
      <c r="A1162" s="10" t="s">
        <v>2441</v>
      </c>
      <c r="B1162" s="10" t="s">
        <v>2442</v>
      </c>
      <c r="C1162" s="11">
        <v>0.0</v>
      </c>
      <c r="D1162" s="11">
        <v>0.0</v>
      </c>
      <c r="E1162" s="11">
        <v>0.0</v>
      </c>
      <c r="F1162" s="11">
        <v>0.0</v>
      </c>
      <c r="G1162" s="11">
        <v>0.0</v>
      </c>
      <c r="H1162" s="11">
        <v>30.0</v>
      </c>
      <c r="I1162" s="11">
        <v>10.0</v>
      </c>
      <c r="J1162" s="11">
        <v>0.0</v>
      </c>
      <c r="K1162" s="11">
        <f t="shared" si="1"/>
        <v>40</v>
      </c>
      <c r="L1162" s="11">
        <f t="shared" si="2"/>
        <v>10</v>
      </c>
    </row>
    <row r="1163" ht="15.75" customHeight="1">
      <c r="A1163" s="10" t="s">
        <v>2443</v>
      </c>
      <c r="B1163" s="10" t="s">
        <v>2444</v>
      </c>
      <c r="C1163" s="11">
        <v>0.0</v>
      </c>
      <c r="D1163" s="11">
        <v>0.0</v>
      </c>
      <c r="E1163" s="11">
        <v>0.0</v>
      </c>
      <c r="F1163" s="11">
        <v>0.0</v>
      </c>
      <c r="G1163" s="11">
        <v>0.0</v>
      </c>
      <c r="H1163" s="11">
        <v>30.0</v>
      </c>
      <c r="I1163" s="11">
        <v>30.0</v>
      </c>
      <c r="J1163" s="11">
        <v>5.0</v>
      </c>
      <c r="K1163" s="11">
        <f t="shared" si="1"/>
        <v>65</v>
      </c>
      <c r="L1163" s="11">
        <f t="shared" si="2"/>
        <v>16.25</v>
      </c>
    </row>
    <row r="1164" ht="15.75" customHeight="1">
      <c r="A1164" s="10" t="s">
        <v>2446</v>
      </c>
      <c r="B1164" s="10" t="s">
        <v>2447</v>
      </c>
      <c r="C1164" s="11">
        <v>0.0</v>
      </c>
      <c r="D1164" s="11">
        <v>0.0</v>
      </c>
      <c r="E1164" s="11">
        <v>0.0</v>
      </c>
      <c r="F1164" s="11">
        <v>0.0</v>
      </c>
      <c r="G1164" s="11">
        <v>0.0</v>
      </c>
      <c r="H1164" s="11">
        <v>20.0</v>
      </c>
      <c r="I1164" s="11">
        <v>10.0</v>
      </c>
      <c r="J1164" s="11">
        <v>0.0</v>
      </c>
      <c r="K1164" s="11">
        <f t="shared" si="1"/>
        <v>30</v>
      </c>
      <c r="L1164" s="11">
        <f t="shared" si="2"/>
        <v>7.5</v>
      </c>
    </row>
    <row r="1165" ht="15.75" customHeight="1">
      <c r="A1165" s="10" t="s">
        <v>2448</v>
      </c>
      <c r="B1165" s="10" t="s">
        <v>2449</v>
      </c>
      <c r="C1165" s="11">
        <v>0.0</v>
      </c>
      <c r="D1165" s="11">
        <v>0.0</v>
      </c>
      <c r="E1165" s="11">
        <v>0.0</v>
      </c>
      <c r="F1165" s="11">
        <v>0.0</v>
      </c>
      <c r="G1165" s="11">
        <v>0.0</v>
      </c>
      <c r="H1165" s="11">
        <v>50.0</v>
      </c>
      <c r="I1165" s="11">
        <v>30.0</v>
      </c>
      <c r="J1165" s="11">
        <v>5.0</v>
      </c>
      <c r="K1165" s="11">
        <f t="shared" si="1"/>
        <v>85</v>
      </c>
      <c r="L1165" s="11">
        <f t="shared" si="2"/>
        <v>21.25</v>
      </c>
    </row>
    <row r="1166" ht="15.75" customHeight="1">
      <c r="A1166" s="10" t="s">
        <v>2450</v>
      </c>
      <c r="B1166" s="10" t="s">
        <v>2451</v>
      </c>
      <c r="C1166" s="11">
        <v>0.0</v>
      </c>
      <c r="D1166" s="11">
        <v>0.0</v>
      </c>
      <c r="E1166" s="11">
        <v>0.0</v>
      </c>
      <c r="F1166" s="11">
        <v>0.0</v>
      </c>
      <c r="G1166" s="11">
        <v>0.0</v>
      </c>
      <c r="H1166" s="11">
        <v>20.0</v>
      </c>
      <c r="I1166" s="11">
        <v>10.0</v>
      </c>
      <c r="J1166" s="11">
        <v>10.0</v>
      </c>
      <c r="K1166" s="11">
        <f t="shared" si="1"/>
        <v>40</v>
      </c>
      <c r="L1166" s="11">
        <f t="shared" si="2"/>
        <v>10</v>
      </c>
    </row>
    <row r="1167" ht="15.75" customHeight="1">
      <c r="A1167" s="10" t="s">
        <v>2452</v>
      </c>
      <c r="B1167" s="10" t="s">
        <v>2453</v>
      </c>
      <c r="C1167" s="11">
        <v>0.0</v>
      </c>
      <c r="D1167" s="11">
        <v>0.0</v>
      </c>
      <c r="E1167" s="11">
        <v>0.0</v>
      </c>
      <c r="F1167" s="11">
        <v>0.0</v>
      </c>
      <c r="G1167" s="11">
        <v>0.0</v>
      </c>
      <c r="H1167" s="11">
        <v>20.0</v>
      </c>
      <c r="I1167" s="11">
        <v>20.0</v>
      </c>
      <c r="J1167" s="11">
        <v>0.0</v>
      </c>
      <c r="K1167" s="11">
        <f t="shared" si="1"/>
        <v>40</v>
      </c>
      <c r="L1167" s="11">
        <f t="shared" si="2"/>
        <v>10</v>
      </c>
    </row>
    <row r="1168" ht="15.75" customHeight="1">
      <c r="A1168" s="10" t="s">
        <v>2454</v>
      </c>
      <c r="B1168" s="10" t="s">
        <v>2455</v>
      </c>
      <c r="C1168" s="11">
        <v>0.0</v>
      </c>
      <c r="D1168" s="11">
        <v>0.0</v>
      </c>
      <c r="E1168" s="11">
        <v>0.0</v>
      </c>
      <c r="F1168" s="11">
        <v>0.0</v>
      </c>
      <c r="G1168" s="11">
        <v>0.0</v>
      </c>
      <c r="H1168" s="11">
        <v>20.0</v>
      </c>
      <c r="I1168" s="11">
        <v>40.0</v>
      </c>
      <c r="J1168" s="11">
        <v>0.0</v>
      </c>
      <c r="K1168" s="11">
        <f t="shared" si="1"/>
        <v>60</v>
      </c>
      <c r="L1168" s="11">
        <f t="shared" si="2"/>
        <v>15</v>
      </c>
    </row>
    <row r="1169" ht="15.75" customHeight="1">
      <c r="A1169" s="10" t="s">
        <v>2456</v>
      </c>
      <c r="B1169" s="10" t="s">
        <v>2457</v>
      </c>
      <c r="C1169" s="11">
        <v>0.0</v>
      </c>
      <c r="D1169" s="11">
        <v>0.0</v>
      </c>
      <c r="E1169" s="11">
        <v>0.0</v>
      </c>
      <c r="F1169" s="11">
        <v>0.0</v>
      </c>
      <c r="G1169" s="11">
        <v>0.0</v>
      </c>
      <c r="H1169" s="11">
        <v>20.0</v>
      </c>
      <c r="I1169" s="11">
        <v>10.0</v>
      </c>
      <c r="J1169" s="11">
        <v>0.0</v>
      </c>
      <c r="K1169" s="11">
        <f t="shared" si="1"/>
        <v>30</v>
      </c>
      <c r="L1169" s="11">
        <f t="shared" si="2"/>
        <v>7.5</v>
      </c>
    </row>
    <row r="1170" ht="15.75" customHeight="1">
      <c r="A1170" s="10" t="s">
        <v>2458</v>
      </c>
      <c r="B1170" s="10" t="s">
        <v>2459</v>
      </c>
      <c r="C1170" s="11">
        <v>0.0</v>
      </c>
      <c r="D1170" s="11">
        <v>0.0</v>
      </c>
      <c r="E1170" s="11">
        <v>0.0</v>
      </c>
      <c r="F1170" s="11">
        <v>0.0</v>
      </c>
      <c r="G1170" s="11">
        <v>0.0</v>
      </c>
      <c r="H1170" s="11">
        <v>20.0</v>
      </c>
      <c r="I1170" s="11">
        <v>20.0</v>
      </c>
      <c r="J1170" s="11">
        <v>0.0</v>
      </c>
      <c r="K1170" s="11">
        <f t="shared" si="1"/>
        <v>40</v>
      </c>
      <c r="L1170" s="11">
        <f t="shared" si="2"/>
        <v>10</v>
      </c>
    </row>
    <row r="1171" ht="15.75" customHeight="1">
      <c r="A1171" s="10" t="s">
        <v>2460</v>
      </c>
      <c r="B1171" s="10" t="s">
        <v>2461</v>
      </c>
      <c r="C1171" s="11">
        <v>0.0</v>
      </c>
      <c r="D1171" s="11">
        <v>0.0</v>
      </c>
      <c r="E1171" s="11">
        <v>0.0</v>
      </c>
      <c r="F1171" s="11">
        <v>0.0</v>
      </c>
      <c r="G1171" s="11">
        <v>0.0</v>
      </c>
      <c r="H1171" s="11">
        <v>30.0</v>
      </c>
      <c r="I1171" s="11">
        <v>30.0</v>
      </c>
      <c r="J1171" s="11">
        <v>10.0</v>
      </c>
      <c r="K1171" s="11">
        <f t="shared" si="1"/>
        <v>70</v>
      </c>
      <c r="L1171" s="11">
        <f t="shared" si="2"/>
        <v>17.5</v>
      </c>
    </row>
    <row r="1172" ht="15.75" customHeight="1">
      <c r="A1172" s="10" t="s">
        <v>2462</v>
      </c>
      <c r="B1172" s="10" t="s">
        <v>2463</v>
      </c>
      <c r="C1172" s="11">
        <v>0.0</v>
      </c>
      <c r="D1172" s="11">
        <v>0.0</v>
      </c>
      <c r="E1172" s="11">
        <v>0.0</v>
      </c>
      <c r="F1172" s="11">
        <v>0.0</v>
      </c>
      <c r="G1172" s="11">
        <v>0.0</v>
      </c>
      <c r="H1172" s="11">
        <v>10.0</v>
      </c>
      <c r="I1172" s="11">
        <v>10.0</v>
      </c>
      <c r="J1172" s="11">
        <v>0.0</v>
      </c>
      <c r="K1172" s="11">
        <f t="shared" si="1"/>
        <v>20</v>
      </c>
      <c r="L1172" s="11">
        <f t="shared" si="2"/>
        <v>5</v>
      </c>
    </row>
    <row r="1173" ht="15.75" customHeight="1">
      <c r="A1173" s="10" t="s">
        <v>2464</v>
      </c>
      <c r="B1173" s="10" t="s">
        <v>2465</v>
      </c>
      <c r="C1173" s="11">
        <v>0.0</v>
      </c>
      <c r="D1173" s="11">
        <v>0.0</v>
      </c>
      <c r="E1173" s="11">
        <v>0.0</v>
      </c>
      <c r="F1173" s="11">
        <v>0.0</v>
      </c>
      <c r="G1173" s="11">
        <v>0.0</v>
      </c>
      <c r="H1173" s="11">
        <v>0.0</v>
      </c>
      <c r="I1173" s="11">
        <v>20.0</v>
      </c>
      <c r="J1173" s="11">
        <v>0.0</v>
      </c>
      <c r="K1173" s="11">
        <f t="shared" si="1"/>
        <v>20</v>
      </c>
      <c r="L1173" s="11">
        <f t="shared" si="2"/>
        <v>5</v>
      </c>
    </row>
    <row r="1174" ht="15.75" customHeight="1">
      <c r="A1174" s="10" t="s">
        <v>2466</v>
      </c>
      <c r="B1174" s="10" t="s">
        <v>2467</v>
      </c>
      <c r="C1174" s="11">
        <v>0.0</v>
      </c>
      <c r="D1174" s="11">
        <v>0.0</v>
      </c>
      <c r="E1174" s="11">
        <v>0.0</v>
      </c>
      <c r="F1174" s="11">
        <v>0.0</v>
      </c>
      <c r="G1174" s="11">
        <v>0.0</v>
      </c>
      <c r="H1174" s="11">
        <v>40.0</v>
      </c>
      <c r="I1174" s="11">
        <v>40.0</v>
      </c>
      <c r="J1174" s="11">
        <v>0.0</v>
      </c>
      <c r="K1174" s="11">
        <f t="shared" si="1"/>
        <v>80</v>
      </c>
      <c r="L1174" s="11">
        <f t="shared" si="2"/>
        <v>20</v>
      </c>
    </row>
    <row r="1175" ht="15.75" customHeight="1">
      <c r="A1175" s="10" t="s">
        <v>2468</v>
      </c>
      <c r="B1175" s="10" t="s">
        <v>2469</v>
      </c>
      <c r="C1175" s="11">
        <v>0.0</v>
      </c>
      <c r="D1175" s="11">
        <v>0.0</v>
      </c>
      <c r="E1175" s="11">
        <v>0.0</v>
      </c>
      <c r="F1175" s="11">
        <v>0.0</v>
      </c>
      <c r="G1175" s="11">
        <v>0.0</v>
      </c>
      <c r="H1175" s="11">
        <v>0.0</v>
      </c>
      <c r="I1175" s="11">
        <v>0.0</v>
      </c>
      <c r="J1175" s="11">
        <v>0.0</v>
      </c>
      <c r="K1175" s="11">
        <f t="shared" si="1"/>
        <v>0</v>
      </c>
      <c r="L1175" s="11">
        <f t="shared" si="2"/>
        <v>0</v>
      </c>
    </row>
    <row r="1176" ht="15.75" customHeight="1">
      <c r="A1176" s="10" t="s">
        <v>2470</v>
      </c>
      <c r="B1176" s="10" t="s">
        <v>2471</v>
      </c>
      <c r="C1176" s="11">
        <v>0.0</v>
      </c>
      <c r="D1176" s="11">
        <v>800.0</v>
      </c>
      <c r="E1176" s="11">
        <v>0.0</v>
      </c>
      <c r="F1176" s="11">
        <v>0.0</v>
      </c>
      <c r="G1176" s="11">
        <v>0.0</v>
      </c>
      <c r="H1176" s="11">
        <v>0.0</v>
      </c>
      <c r="I1176" s="11">
        <v>0.0</v>
      </c>
      <c r="J1176" s="11">
        <v>0.0</v>
      </c>
      <c r="K1176" s="11">
        <f t="shared" si="1"/>
        <v>800</v>
      </c>
      <c r="L1176" s="11">
        <f t="shared" si="2"/>
        <v>0</v>
      </c>
    </row>
    <row r="1177" ht="15.75" customHeight="1">
      <c r="A1177" s="10" t="s">
        <v>2472</v>
      </c>
      <c r="B1177" s="10" t="s">
        <v>2473</v>
      </c>
      <c r="C1177" s="11">
        <v>0.0</v>
      </c>
      <c r="D1177" s="11">
        <v>800.0</v>
      </c>
      <c r="E1177" s="11">
        <v>0.0</v>
      </c>
      <c r="F1177" s="11">
        <v>845.0</v>
      </c>
      <c r="G1177" s="11">
        <v>0.0</v>
      </c>
      <c r="H1177" s="11">
        <v>0.0</v>
      </c>
      <c r="I1177" s="11">
        <v>870.0</v>
      </c>
      <c r="J1177" s="11">
        <v>0.0</v>
      </c>
      <c r="K1177" s="11">
        <f t="shared" si="1"/>
        <v>2515</v>
      </c>
      <c r="L1177" s="11">
        <f t="shared" si="2"/>
        <v>217.5</v>
      </c>
    </row>
    <row r="1178" ht="15.75" customHeight="1">
      <c r="A1178" s="10" t="s">
        <v>2474</v>
      </c>
      <c r="B1178" s="10" t="s">
        <v>2475</v>
      </c>
      <c r="C1178" s="11">
        <v>0.0</v>
      </c>
      <c r="D1178" s="11">
        <v>0.0</v>
      </c>
      <c r="E1178" s="11">
        <v>0.0</v>
      </c>
      <c r="F1178" s="11">
        <v>0.0</v>
      </c>
      <c r="G1178" s="11">
        <v>0.0</v>
      </c>
      <c r="H1178" s="11">
        <v>0.0</v>
      </c>
      <c r="I1178" s="11">
        <v>0.0</v>
      </c>
      <c r="J1178" s="11">
        <v>0.0</v>
      </c>
      <c r="K1178" s="11">
        <f t="shared" si="1"/>
        <v>0</v>
      </c>
      <c r="L1178" s="11">
        <f t="shared" si="2"/>
        <v>0</v>
      </c>
    </row>
    <row r="1179" ht="15.75" customHeight="1">
      <c r="A1179" s="10" t="s">
        <v>2476</v>
      </c>
      <c r="B1179" s="10" t="s">
        <v>2477</v>
      </c>
      <c r="C1179" s="11">
        <v>0.0</v>
      </c>
      <c r="D1179" s="11">
        <v>0.0</v>
      </c>
      <c r="E1179" s="11">
        <v>0.0</v>
      </c>
      <c r="F1179" s="11">
        <v>0.0</v>
      </c>
      <c r="G1179" s="11">
        <v>0.0</v>
      </c>
      <c r="H1179" s="11">
        <v>0.0</v>
      </c>
      <c r="I1179" s="11">
        <v>0.0</v>
      </c>
      <c r="J1179" s="11">
        <v>0.0</v>
      </c>
      <c r="K1179" s="11">
        <f t="shared" si="1"/>
        <v>0</v>
      </c>
      <c r="L1179" s="11">
        <f t="shared" si="2"/>
        <v>0</v>
      </c>
    </row>
    <row r="1180" ht="15.75" customHeight="1">
      <c r="A1180" s="10" t="s">
        <v>2478</v>
      </c>
      <c r="B1180" s="10" t="s">
        <v>2479</v>
      </c>
      <c r="C1180" s="11">
        <v>0.0</v>
      </c>
      <c r="D1180" s="11">
        <v>0.0</v>
      </c>
      <c r="E1180" s="11">
        <v>100.0</v>
      </c>
      <c r="F1180" s="11">
        <v>0.0</v>
      </c>
      <c r="G1180" s="11">
        <v>0.0</v>
      </c>
      <c r="H1180" s="11">
        <v>50.0</v>
      </c>
      <c r="I1180" s="11">
        <v>0.0</v>
      </c>
      <c r="J1180" s="11">
        <v>50.0</v>
      </c>
      <c r="K1180" s="11">
        <f t="shared" si="1"/>
        <v>200</v>
      </c>
      <c r="L1180" s="11">
        <f t="shared" si="2"/>
        <v>25</v>
      </c>
    </row>
    <row r="1181" ht="15.75" customHeight="1">
      <c r="A1181" s="10" t="s">
        <v>2480</v>
      </c>
      <c r="B1181" s="10" t="s">
        <v>2481</v>
      </c>
      <c r="C1181" s="11">
        <v>0.0</v>
      </c>
      <c r="D1181" s="11">
        <v>0.0</v>
      </c>
      <c r="E1181" s="11">
        <v>50.0</v>
      </c>
      <c r="F1181" s="11">
        <v>0.0</v>
      </c>
      <c r="G1181" s="11">
        <v>0.0</v>
      </c>
      <c r="H1181" s="11">
        <v>0.0</v>
      </c>
      <c r="I1181" s="11">
        <v>50.0</v>
      </c>
      <c r="J1181" s="11">
        <v>0.0</v>
      </c>
      <c r="K1181" s="11">
        <f t="shared" si="1"/>
        <v>100</v>
      </c>
      <c r="L1181" s="11">
        <f t="shared" si="2"/>
        <v>12.5</v>
      </c>
    </row>
    <row r="1182" ht="15.75" customHeight="1">
      <c r="A1182" s="10" t="s">
        <v>2482</v>
      </c>
      <c r="B1182" s="10" t="s">
        <v>2483</v>
      </c>
      <c r="C1182" s="11">
        <v>0.0</v>
      </c>
      <c r="D1182" s="11">
        <v>0.0</v>
      </c>
      <c r="E1182" s="11">
        <v>0.0</v>
      </c>
      <c r="F1182" s="11">
        <v>0.0</v>
      </c>
      <c r="G1182" s="11">
        <v>0.0</v>
      </c>
      <c r="H1182" s="11">
        <v>0.0</v>
      </c>
      <c r="I1182" s="11">
        <v>0.0</v>
      </c>
      <c r="J1182" s="11">
        <v>0.0</v>
      </c>
      <c r="K1182" s="11">
        <f t="shared" si="1"/>
        <v>0</v>
      </c>
      <c r="L1182" s="11">
        <f t="shared" si="2"/>
        <v>0</v>
      </c>
    </row>
    <row r="1183" ht="15.75" customHeight="1">
      <c r="A1183" s="10" t="s">
        <v>2484</v>
      </c>
      <c r="B1183" s="10" t="s">
        <v>2485</v>
      </c>
      <c r="C1183" s="11">
        <v>0.0</v>
      </c>
      <c r="D1183" s="11">
        <v>0.0</v>
      </c>
      <c r="E1183" s="11">
        <v>0.0</v>
      </c>
      <c r="F1183" s="11">
        <v>0.0</v>
      </c>
      <c r="G1183" s="11">
        <v>0.0</v>
      </c>
      <c r="H1183" s="11">
        <v>0.0</v>
      </c>
      <c r="I1183" s="11">
        <v>0.0</v>
      </c>
      <c r="J1183" s="11">
        <v>0.0</v>
      </c>
      <c r="K1183" s="11">
        <f t="shared" si="1"/>
        <v>0</v>
      </c>
      <c r="L1183" s="11">
        <f t="shared" si="2"/>
        <v>0</v>
      </c>
    </row>
    <row r="1184" ht="15.75" customHeight="1">
      <c r="A1184" s="10" t="s">
        <v>2486</v>
      </c>
      <c r="B1184" s="10" t="s">
        <v>2487</v>
      </c>
      <c r="C1184" s="11">
        <v>0.0</v>
      </c>
      <c r="D1184" s="11">
        <v>0.0</v>
      </c>
      <c r="E1184" s="11">
        <v>0.0</v>
      </c>
      <c r="F1184" s="11">
        <v>0.0</v>
      </c>
      <c r="G1184" s="11">
        <v>0.0</v>
      </c>
      <c r="H1184" s="11">
        <v>0.0</v>
      </c>
      <c r="I1184" s="11">
        <v>0.0</v>
      </c>
      <c r="J1184" s="11">
        <v>0.0</v>
      </c>
      <c r="K1184" s="11">
        <f t="shared" si="1"/>
        <v>0</v>
      </c>
      <c r="L1184" s="11">
        <f t="shared" si="2"/>
        <v>0</v>
      </c>
    </row>
    <row r="1185" ht="15.75" customHeight="1">
      <c r="A1185" s="10" t="s">
        <v>2488</v>
      </c>
      <c r="B1185" s="10" t="s">
        <v>2489</v>
      </c>
      <c r="C1185" s="11">
        <v>0.0</v>
      </c>
      <c r="D1185" s="11">
        <v>0.0</v>
      </c>
      <c r="E1185" s="11">
        <v>0.0</v>
      </c>
      <c r="F1185" s="11">
        <v>0.0</v>
      </c>
      <c r="G1185" s="11">
        <v>0.0</v>
      </c>
      <c r="H1185" s="11">
        <v>0.0</v>
      </c>
      <c r="I1185" s="11">
        <v>0.0</v>
      </c>
      <c r="J1185" s="11">
        <v>0.0</v>
      </c>
      <c r="K1185" s="11">
        <f t="shared" si="1"/>
        <v>0</v>
      </c>
      <c r="L1185" s="11">
        <f t="shared" si="2"/>
        <v>0</v>
      </c>
    </row>
    <row r="1186" ht="15.75" customHeight="1">
      <c r="A1186" s="10" t="s">
        <v>2490</v>
      </c>
      <c r="B1186" s="10" t="s">
        <v>2491</v>
      </c>
      <c r="C1186" s="11">
        <v>0.0</v>
      </c>
      <c r="D1186" s="11">
        <v>0.0</v>
      </c>
      <c r="E1186" s="11">
        <v>0.0</v>
      </c>
      <c r="F1186" s="11">
        <v>0.0</v>
      </c>
      <c r="G1186" s="11">
        <v>0.0</v>
      </c>
      <c r="H1186" s="11">
        <v>0.0</v>
      </c>
      <c r="I1186" s="11">
        <v>0.0</v>
      </c>
      <c r="J1186" s="11">
        <v>0.0</v>
      </c>
      <c r="K1186" s="11">
        <f t="shared" si="1"/>
        <v>0</v>
      </c>
      <c r="L1186" s="11">
        <f t="shared" si="2"/>
        <v>0</v>
      </c>
    </row>
    <row r="1187" ht="15.75" customHeight="1">
      <c r="A1187" s="10" t="s">
        <v>2492</v>
      </c>
      <c r="B1187" s="10" t="s">
        <v>2493</v>
      </c>
      <c r="C1187" s="11">
        <v>0.0</v>
      </c>
      <c r="D1187" s="11">
        <v>0.0</v>
      </c>
      <c r="E1187" s="11">
        <v>0.0</v>
      </c>
      <c r="F1187" s="11">
        <v>0.0</v>
      </c>
      <c r="G1187" s="11">
        <v>0.0</v>
      </c>
      <c r="H1187" s="11">
        <v>0.0</v>
      </c>
      <c r="I1187" s="11">
        <v>0.0</v>
      </c>
      <c r="J1187" s="11">
        <v>0.0</v>
      </c>
      <c r="K1187" s="11">
        <f t="shared" si="1"/>
        <v>0</v>
      </c>
      <c r="L1187" s="11">
        <f t="shared" si="2"/>
        <v>0</v>
      </c>
    </row>
    <row r="1188" ht="15.75" customHeight="1">
      <c r="A1188" s="10" t="s">
        <v>2494</v>
      </c>
      <c r="B1188" s="10" t="s">
        <v>2495</v>
      </c>
      <c r="C1188" s="11">
        <v>0.0</v>
      </c>
      <c r="D1188" s="11">
        <v>0.0</v>
      </c>
      <c r="E1188" s="11">
        <v>0.0</v>
      </c>
      <c r="F1188" s="11">
        <v>0.0</v>
      </c>
      <c r="G1188" s="11">
        <v>0.0</v>
      </c>
      <c r="H1188" s="11">
        <v>0.0</v>
      </c>
      <c r="I1188" s="11">
        <v>0.0</v>
      </c>
      <c r="J1188" s="11">
        <v>0.0</v>
      </c>
      <c r="K1188" s="11">
        <f t="shared" si="1"/>
        <v>0</v>
      </c>
      <c r="L1188" s="11">
        <f t="shared" si="2"/>
        <v>0</v>
      </c>
    </row>
    <row r="1189" ht="15.75" customHeight="1">
      <c r="A1189" s="10" t="s">
        <v>2496</v>
      </c>
      <c r="B1189" s="10" t="s">
        <v>2497</v>
      </c>
      <c r="C1189" s="11">
        <v>0.0</v>
      </c>
      <c r="D1189" s="11">
        <v>0.0</v>
      </c>
      <c r="E1189" s="11">
        <v>0.0</v>
      </c>
      <c r="F1189" s="11">
        <v>0.0</v>
      </c>
      <c r="G1189" s="11">
        <v>0.0</v>
      </c>
      <c r="H1189" s="11">
        <v>0.0</v>
      </c>
      <c r="I1189" s="11">
        <v>0.0</v>
      </c>
      <c r="J1189" s="11">
        <v>0.0</v>
      </c>
      <c r="K1189" s="11">
        <f t="shared" si="1"/>
        <v>0</v>
      </c>
      <c r="L1189" s="11">
        <f t="shared" si="2"/>
        <v>0</v>
      </c>
    </row>
    <row r="1190" ht="15.75" customHeight="1">
      <c r="A1190" s="10" t="s">
        <v>2498</v>
      </c>
      <c r="B1190" s="10" t="s">
        <v>2499</v>
      </c>
      <c r="C1190" s="11">
        <v>0.0</v>
      </c>
      <c r="D1190" s="11">
        <v>0.0</v>
      </c>
      <c r="E1190" s="11">
        <v>0.0</v>
      </c>
      <c r="F1190" s="11">
        <v>0.0</v>
      </c>
      <c r="G1190" s="11">
        <v>0.0</v>
      </c>
      <c r="H1190" s="11">
        <v>0.0</v>
      </c>
      <c r="I1190" s="11">
        <v>0.0</v>
      </c>
      <c r="J1190" s="11">
        <v>0.0</v>
      </c>
      <c r="K1190" s="11">
        <f t="shared" si="1"/>
        <v>0</v>
      </c>
      <c r="L1190" s="11">
        <f t="shared" si="2"/>
        <v>0</v>
      </c>
    </row>
    <row r="1191" ht="15.75" customHeight="1">
      <c r="A1191" s="10" t="s">
        <v>2500</v>
      </c>
      <c r="B1191" s="10" t="s">
        <v>2501</v>
      </c>
      <c r="C1191" s="11">
        <v>0.0</v>
      </c>
      <c r="D1191" s="11">
        <v>0.0</v>
      </c>
      <c r="E1191" s="11">
        <v>0.0</v>
      </c>
      <c r="F1191" s="11">
        <v>0.0</v>
      </c>
      <c r="G1191" s="11">
        <v>0.0</v>
      </c>
      <c r="H1191" s="11">
        <v>0.0</v>
      </c>
      <c r="I1191" s="11">
        <v>0.0</v>
      </c>
      <c r="J1191" s="11">
        <v>0.0</v>
      </c>
      <c r="K1191" s="11">
        <f t="shared" si="1"/>
        <v>0</v>
      </c>
      <c r="L1191" s="11">
        <f t="shared" si="2"/>
        <v>0</v>
      </c>
    </row>
    <row r="1192" ht="15.75" customHeight="1">
      <c r="A1192" s="10" t="s">
        <v>2502</v>
      </c>
      <c r="B1192" s="10" t="s">
        <v>2503</v>
      </c>
      <c r="C1192" s="11">
        <v>0.0</v>
      </c>
      <c r="D1192" s="11">
        <v>0.0</v>
      </c>
      <c r="E1192" s="11">
        <v>0.0</v>
      </c>
      <c r="F1192" s="11">
        <v>0.0</v>
      </c>
      <c r="G1192" s="11">
        <v>0.0</v>
      </c>
      <c r="H1192" s="11">
        <v>0.0</v>
      </c>
      <c r="I1192" s="11">
        <v>0.0</v>
      </c>
      <c r="J1192" s="11">
        <v>0.0</v>
      </c>
      <c r="K1192" s="11">
        <f t="shared" si="1"/>
        <v>0</v>
      </c>
      <c r="L1192" s="11">
        <f t="shared" si="2"/>
        <v>0</v>
      </c>
    </row>
    <row r="1193" ht="15.75" customHeight="1">
      <c r="A1193" s="10" t="s">
        <v>2504</v>
      </c>
      <c r="B1193" s="10" t="s">
        <v>2505</v>
      </c>
      <c r="C1193" s="11">
        <v>0.0</v>
      </c>
      <c r="D1193" s="11">
        <v>0.0</v>
      </c>
      <c r="E1193" s="11">
        <v>0.0</v>
      </c>
      <c r="F1193" s="11">
        <v>0.0</v>
      </c>
      <c r="G1193" s="11">
        <v>0.0</v>
      </c>
      <c r="H1193" s="11">
        <v>0.0</v>
      </c>
      <c r="I1193" s="11">
        <v>0.0</v>
      </c>
      <c r="J1193" s="11">
        <v>0.0</v>
      </c>
      <c r="K1193" s="11">
        <f t="shared" si="1"/>
        <v>0</v>
      </c>
      <c r="L1193" s="11">
        <f t="shared" si="2"/>
        <v>0</v>
      </c>
    </row>
    <row r="1194" ht="15.75" customHeight="1">
      <c r="A1194" s="10" t="s">
        <v>2506</v>
      </c>
      <c r="B1194" s="10" t="s">
        <v>2507</v>
      </c>
      <c r="C1194" s="11">
        <v>0.0</v>
      </c>
      <c r="D1194" s="11">
        <v>0.0</v>
      </c>
      <c r="E1194" s="11">
        <v>0.0</v>
      </c>
      <c r="F1194" s="11">
        <v>0.0</v>
      </c>
      <c r="G1194" s="11">
        <v>0.0</v>
      </c>
      <c r="H1194" s="11">
        <v>0.0</v>
      </c>
      <c r="I1194" s="11">
        <v>0.0</v>
      </c>
      <c r="J1194" s="11">
        <v>0.0</v>
      </c>
      <c r="K1194" s="11">
        <f t="shared" si="1"/>
        <v>0</v>
      </c>
      <c r="L1194" s="11">
        <f t="shared" si="2"/>
        <v>0</v>
      </c>
    </row>
    <row r="1195" ht="15.75" customHeight="1">
      <c r="A1195" s="10" t="s">
        <v>2508</v>
      </c>
      <c r="B1195" s="10" t="s">
        <v>2509</v>
      </c>
      <c r="C1195" s="11">
        <v>0.0</v>
      </c>
      <c r="D1195" s="11">
        <v>0.0</v>
      </c>
      <c r="E1195" s="11">
        <v>0.0</v>
      </c>
      <c r="F1195" s="11">
        <v>0.0</v>
      </c>
      <c r="G1195" s="11">
        <v>0.0</v>
      </c>
      <c r="H1195" s="11">
        <v>0.0</v>
      </c>
      <c r="I1195" s="11">
        <v>0.0</v>
      </c>
      <c r="J1195" s="11">
        <v>0.0</v>
      </c>
      <c r="K1195" s="11">
        <f t="shared" si="1"/>
        <v>0</v>
      </c>
      <c r="L1195" s="11">
        <f t="shared" si="2"/>
        <v>0</v>
      </c>
    </row>
    <row r="1196" ht="15.75" customHeight="1">
      <c r="A1196" s="10" t="s">
        <v>2511</v>
      </c>
      <c r="B1196" s="10" t="s">
        <v>2512</v>
      </c>
      <c r="C1196" s="11">
        <v>0.0</v>
      </c>
      <c r="D1196" s="11">
        <v>0.0</v>
      </c>
      <c r="E1196" s="11">
        <v>0.0</v>
      </c>
      <c r="F1196" s="11">
        <v>0.0</v>
      </c>
      <c r="G1196" s="11">
        <v>0.0</v>
      </c>
      <c r="H1196" s="11">
        <v>0.0</v>
      </c>
      <c r="I1196" s="11">
        <v>20.0</v>
      </c>
      <c r="J1196" s="11">
        <v>10.0</v>
      </c>
      <c r="K1196" s="11">
        <f t="shared" si="1"/>
        <v>30</v>
      </c>
      <c r="L1196" s="11">
        <f t="shared" si="2"/>
        <v>7.5</v>
      </c>
    </row>
    <row r="1197" ht="15.75" customHeight="1">
      <c r="A1197" s="10" t="s">
        <v>2513</v>
      </c>
      <c r="B1197" s="10" t="s">
        <v>2514</v>
      </c>
      <c r="C1197" s="11">
        <v>0.0</v>
      </c>
      <c r="D1197" s="11">
        <v>0.0</v>
      </c>
      <c r="E1197" s="11">
        <v>0.0</v>
      </c>
      <c r="F1197" s="11">
        <v>0.0</v>
      </c>
      <c r="G1197" s="11">
        <v>0.0</v>
      </c>
      <c r="H1197" s="11">
        <v>40.0</v>
      </c>
      <c r="I1197" s="11">
        <v>20.0</v>
      </c>
      <c r="J1197" s="11">
        <v>50.0</v>
      </c>
      <c r="K1197" s="11">
        <f t="shared" si="1"/>
        <v>110</v>
      </c>
      <c r="L1197" s="11">
        <f t="shared" si="2"/>
        <v>27.5</v>
      </c>
    </row>
    <row r="1198" ht="15.75" customHeight="1">
      <c r="A1198" s="10" t="s">
        <v>2515</v>
      </c>
      <c r="B1198" s="10" t="s">
        <v>2516</v>
      </c>
      <c r="C1198" s="11">
        <v>0.0</v>
      </c>
      <c r="D1198" s="11">
        <v>0.0</v>
      </c>
      <c r="E1198" s="11">
        <v>0.0</v>
      </c>
      <c r="F1198" s="11">
        <v>0.0</v>
      </c>
      <c r="G1198" s="11">
        <v>0.0</v>
      </c>
      <c r="H1198" s="11">
        <v>0.0</v>
      </c>
      <c r="I1198" s="11">
        <v>20.0</v>
      </c>
      <c r="J1198" s="11">
        <v>10.0</v>
      </c>
      <c r="K1198" s="11">
        <f t="shared" si="1"/>
        <v>30</v>
      </c>
      <c r="L1198" s="11">
        <f t="shared" si="2"/>
        <v>7.5</v>
      </c>
    </row>
    <row r="1199" ht="15.75" customHeight="1">
      <c r="A1199" s="10" t="s">
        <v>2517</v>
      </c>
      <c r="B1199" s="10" t="s">
        <v>2518</v>
      </c>
      <c r="C1199" s="11">
        <v>0.0</v>
      </c>
      <c r="D1199" s="11">
        <v>0.0</v>
      </c>
      <c r="E1199" s="11">
        <v>0.0</v>
      </c>
      <c r="F1199" s="11">
        <v>0.0</v>
      </c>
      <c r="G1199" s="11">
        <v>0.0</v>
      </c>
      <c r="H1199" s="11">
        <v>30.0</v>
      </c>
      <c r="I1199" s="11">
        <v>10.0</v>
      </c>
      <c r="J1199" s="11">
        <v>10.0</v>
      </c>
      <c r="K1199" s="11">
        <f t="shared" si="1"/>
        <v>50</v>
      </c>
      <c r="L1199" s="11">
        <f t="shared" si="2"/>
        <v>12.5</v>
      </c>
    </row>
    <row r="1200" ht="15.75" customHeight="1">
      <c r="A1200" s="10" t="s">
        <v>2519</v>
      </c>
      <c r="B1200" s="10" t="s">
        <v>2520</v>
      </c>
      <c r="C1200" s="11">
        <v>0.0</v>
      </c>
      <c r="D1200" s="11">
        <v>0.0</v>
      </c>
      <c r="E1200" s="11">
        <v>0.0</v>
      </c>
      <c r="F1200" s="11">
        <v>0.0</v>
      </c>
      <c r="G1200" s="11">
        <v>0.0</v>
      </c>
      <c r="H1200" s="11">
        <v>10.0</v>
      </c>
      <c r="I1200" s="11">
        <v>30.0</v>
      </c>
      <c r="J1200" s="11">
        <v>0.0</v>
      </c>
      <c r="K1200" s="11">
        <f t="shared" si="1"/>
        <v>40</v>
      </c>
      <c r="L1200" s="11">
        <f t="shared" si="2"/>
        <v>10</v>
      </c>
    </row>
    <row r="1201" ht="15.75" customHeight="1">
      <c r="A1201" s="10" t="s">
        <v>2521</v>
      </c>
      <c r="B1201" s="10" t="s">
        <v>2522</v>
      </c>
      <c r="C1201" s="11">
        <v>0.0</v>
      </c>
      <c r="D1201" s="11">
        <v>0.0</v>
      </c>
      <c r="E1201" s="11">
        <v>0.0</v>
      </c>
      <c r="F1201" s="11">
        <v>0.0</v>
      </c>
      <c r="G1201" s="11">
        <v>0.0</v>
      </c>
      <c r="H1201" s="11">
        <v>70.0</v>
      </c>
      <c r="I1201" s="11">
        <v>20.0</v>
      </c>
      <c r="J1201" s="11">
        <v>60.0</v>
      </c>
      <c r="K1201" s="11">
        <f t="shared" si="1"/>
        <v>150</v>
      </c>
      <c r="L1201" s="11">
        <f t="shared" si="2"/>
        <v>37.5</v>
      </c>
    </row>
    <row r="1202" ht="15.75" customHeight="1">
      <c r="A1202" s="10" t="s">
        <v>2523</v>
      </c>
      <c r="B1202" s="10" t="s">
        <v>2524</v>
      </c>
      <c r="C1202" s="11">
        <v>0.0</v>
      </c>
      <c r="D1202" s="11">
        <v>0.0</v>
      </c>
      <c r="E1202" s="11">
        <v>0.0</v>
      </c>
      <c r="F1202" s="11">
        <v>0.0</v>
      </c>
      <c r="G1202" s="11">
        <v>0.0</v>
      </c>
      <c r="H1202" s="11">
        <v>20.0</v>
      </c>
      <c r="I1202" s="11">
        <v>20.0</v>
      </c>
      <c r="J1202" s="11">
        <v>0.0</v>
      </c>
      <c r="K1202" s="11">
        <f t="shared" si="1"/>
        <v>40</v>
      </c>
      <c r="L1202" s="11">
        <f t="shared" si="2"/>
        <v>10</v>
      </c>
    </row>
    <row r="1203" ht="15.75" customHeight="1">
      <c r="A1203" s="10" t="s">
        <v>2525</v>
      </c>
      <c r="B1203" s="10" t="s">
        <v>2526</v>
      </c>
      <c r="C1203" s="11">
        <v>0.0</v>
      </c>
      <c r="D1203" s="11">
        <v>0.0</v>
      </c>
      <c r="E1203" s="11">
        <v>0.0</v>
      </c>
      <c r="F1203" s="11">
        <v>0.0</v>
      </c>
      <c r="G1203" s="11">
        <v>0.0</v>
      </c>
      <c r="H1203" s="11">
        <v>10.0</v>
      </c>
      <c r="I1203" s="11">
        <v>0.0</v>
      </c>
      <c r="J1203" s="11">
        <v>30.0</v>
      </c>
      <c r="K1203" s="11">
        <f t="shared" si="1"/>
        <v>40</v>
      </c>
      <c r="L1203" s="11">
        <f t="shared" si="2"/>
        <v>10</v>
      </c>
    </row>
    <row r="1204" ht="15.75" customHeight="1">
      <c r="A1204" s="10" t="s">
        <v>2527</v>
      </c>
      <c r="B1204" s="10" t="s">
        <v>2528</v>
      </c>
      <c r="C1204" s="11">
        <v>0.0</v>
      </c>
      <c r="D1204" s="11">
        <v>0.0</v>
      </c>
      <c r="E1204" s="11">
        <v>0.0</v>
      </c>
      <c r="F1204" s="11">
        <v>0.0</v>
      </c>
      <c r="G1204" s="11">
        <v>0.0</v>
      </c>
      <c r="H1204" s="11">
        <v>70.0</v>
      </c>
      <c r="I1204" s="11">
        <v>30.0</v>
      </c>
      <c r="J1204" s="11">
        <v>0.0</v>
      </c>
      <c r="K1204" s="11">
        <f t="shared" si="1"/>
        <v>100</v>
      </c>
      <c r="L1204" s="11">
        <f t="shared" si="2"/>
        <v>25</v>
      </c>
    </row>
    <row r="1205" ht="15.75" customHeight="1">
      <c r="A1205" s="10" t="s">
        <v>2529</v>
      </c>
      <c r="B1205" s="10" t="s">
        <v>2530</v>
      </c>
      <c r="C1205" s="11">
        <v>0.0</v>
      </c>
      <c r="D1205" s="11">
        <v>0.0</v>
      </c>
      <c r="E1205" s="11">
        <v>0.0</v>
      </c>
      <c r="F1205" s="11">
        <v>0.0</v>
      </c>
      <c r="G1205" s="11">
        <v>0.0</v>
      </c>
      <c r="H1205" s="11">
        <v>0.0</v>
      </c>
      <c r="I1205" s="11">
        <v>0.0</v>
      </c>
      <c r="J1205" s="11">
        <v>0.0</v>
      </c>
      <c r="K1205" s="11">
        <f t="shared" si="1"/>
        <v>0</v>
      </c>
      <c r="L1205" s="11">
        <f t="shared" si="2"/>
        <v>0</v>
      </c>
    </row>
    <row r="1206" ht="15.75" customHeight="1">
      <c r="A1206" s="10" t="s">
        <v>2531</v>
      </c>
      <c r="B1206" s="10" t="s">
        <v>2532</v>
      </c>
      <c r="C1206" s="11">
        <v>0.0</v>
      </c>
      <c r="D1206" s="11">
        <v>0.0</v>
      </c>
      <c r="E1206" s="11">
        <v>0.0</v>
      </c>
      <c r="F1206" s="11">
        <v>0.0</v>
      </c>
      <c r="G1206" s="11">
        <v>0.0</v>
      </c>
      <c r="H1206" s="11">
        <v>30.0</v>
      </c>
      <c r="I1206" s="11">
        <v>10.0</v>
      </c>
      <c r="J1206" s="11">
        <v>0.0</v>
      </c>
      <c r="K1206" s="11">
        <f t="shared" si="1"/>
        <v>40</v>
      </c>
      <c r="L1206" s="11">
        <f t="shared" si="2"/>
        <v>10</v>
      </c>
    </row>
    <row r="1207" ht="15.75" customHeight="1">
      <c r="A1207" s="10" t="s">
        <v>2533</v>
      </c>
      <c r="B1207" s="10" t="s">
        <v>2534</v>
      </c>
      <c r="C1207" s="11">
        <v>0.0</v>
      </c>
      <c r="D1207" s="11">
        <v>0.0</v>
      </c>
      <c r="E1207" s="11">
        <v>0.0</v>
      </c>
      <c r="F1207" s="11">
        <v>0.0</v>
      </c>
      <c r="G1207" s="11">
        <v>0.0</v>
      </c>
      <c r="H1207" s="11">
        <v>40.0</v>
      </c>
      <c r="I1207" s="11">
        <v>10.0</v>
      </c>
      <c r="J1207" s="11">
        <v>0.0</v>
      </c>
      <c r="K1207" s="11">
        <f t="shared" si="1"/>
        <v>50</v>
      </c>
      <c r="L1207" s="11">
        <f t="shared" si="2"/>
        <v>12.5</v>
      </c>
    </row>
    <row r="1208" ht="15.75" customHeight="1">
      <c r="A1208" s="10" t="s">
        <v>2535</v>
      </c>
      <c r="B1208" s="10" t="s">
        <v>2536</v>
      </c>
      <c r="C1208" s="11">
        <v>0.0</v>
      </c>
      <c r="D1208" s="11">
        <v>0.0</v>
      </c>
      <c r="E1208" s="11">
        <v>0.0</v>
      </c>
      <c r="F1208" s="11">
        <v>0.0</v>
      </c>
      <c r="G1208" s="11">
        <v>0.0</v>
      </c>
      <c r="H1208" s="11">
        <v>20.0</v>
      </c>
      <c r="I1208" s="11">
        <v>10.0</v>
      </c>
      <c r="J1208" s="11">
        <v>0.0</v>
      </c>
      <c r="K1208" s="11">
        <f t="shared" si="1"/>
        <v>30</v>
      </c>
      <c r="L1208" s="11">
        <f t="shared" si="2"/>
        <v>7.5</v>
      </c>
    </row>
    <row r="1209" ht="15.75" customHeight="1">
      <c r="A1209" s="10" t="s">
        <v>2537</v>
      </c>
      <c r="B1209" s="10" t="s">
        <v>2538</v>
      </c>
      <c r="C1209" s="11">
        <v>0.0</v>
      </c>
      <c r="D1209" s="11">
        <v>0.0</v>
      </c>
      <c r="E1209" s="11">
        <v>0.0</v>
      </c>
      <c r="F1209" s="11">
        <v>0.0</v>
      </c>
      <c r="G1209" s="11">
        <v>0.0</v>
      </c>
      <c r="H1209" s="11">
        <v>0.0</v>
      </c>
      <c r="I1209" s="11">
        <v>50.0</v>
      </c>
      <c r="J1209" s="11">
        <v>20.0</v>
      </c>
      <c r="K1209" s="11">
        <f t="shared" si="1"/>
        <v>70</v>
      </c>
      <c r="L1209" s="11">
        <f t="shared" si="2"/>
        <v>17.5</v>
      </c>
    </row>
    <row r="1210" ht="15.75" customHeight="1">
      <c r="A1210" s="10" t="s">
        <v>2539</v>
      </c>
      <c r="B1210" s="10" t="s">
        <v>2540</v>
      </c>
      <c r="C1210" s="11">
        <v>0.0</v>
      </c>
      <c r="D1210" s="11">
        <v>0.0</v>
      </c>
      <c r="E1210" s="11">
        <v>0.0</v>
      </c>
      <c r="F1210" s="11">
        <v>0.0</v>
      </c>
      <c r="G1210" s="11">
        <v>0.0</v>
      </c>
      <c r="H1210" s="11">
        <v>100.0</v>
      </c>
      <c r="I1210" s="11">
        <v>0.0</v>
      </c>
      <c r="J1210" s="11">
        <v>0.0</v>
      </c>
      <c r="K1210" s="11">
        <f t="shared" si="1"/>
        <v>100</v>
      </c>
      <c r="L1210" s="11">
        <f t="shared" si="2"/>
        <v>25</v>
      </c>
    </row>
    <row r="1211" ht="15.75" customHeight="1">
      <c r="A1211" s="10" t="s">
        <v>2541</v>
      </c>
      <c r="B1211" s="10" t="s">
        <v>2542</v>
      </c>
      <c r="C1211" s="11">
        <v>0.0</v>
      </c>
      <c r="D1211" s="11">
        <v>0.0</v>
      </c>
      <c r="E1211" s="11">
        <v>0.0</v>
      </c>
      <c r="F1211" s="11">
        <v>0.0</v>
      </c>
      <c r="G1211" s="11">
        <v>0.0</v>
      </c>
      <c r="H1211" s="11">
        <v>0.0</v>
      </c>
      <c r="I1211" s="11">
        <v>0.0</v>
      </c>
      <c r="J1211" s="11">
        <v>0.0</v>
      </c>
      <c r="K1211" s="11">
        <f t="shared" si="1"/>
        <v>0</v>
      </c>
      <c r="L1211" s="11">
        <f t="shared" si="2"/>
        <v>0</v>
      </c>
    </row>
    <row r="1212" ht="15.75" customHeight="1">
      <c r="A1212" s="10" t="s">
        <v>2543</v>
      </c>
      <c r="B1212" s="10" t="s">
        <v>2544</v>
      </c>
      <c r="C1212" s="11">
        <v>0.0</v>
      </c>
      <c r="D1212" s="11">
        <v>0.0</v>
      </c>
      <c r="E1212" s="11">
        <v>0.0</v>
      </c>
      <c r="F1212" s="11">
        <v>0.0</v>
      </c>
      <c r="G1212" s="11">
        <v>0.0</v>
      </c>
      <c r="H1212" s="11">
        <v>0.0</v>
      </c>
      <c r="I1212" s="11">
        <v>10.0</v>
      </c>
      <c r="J1212" s="11">
        <v>0.0</v>
      </c>
      <c r="K1212" s="11">
        <f t="shared" si="1"/>
        <v>10</v>
      </c>
      <c r="L1212" s="11">
        <f t="shared" si="2"/>
        <v>2.5</v>
      </c>
    </row>
    <row r="1213" ht="15.75" customHeight="1">
      <c r="A1213" s="10" t="s">
        <v>2545</v>
      </c>
      <c r="B1213" s="10" t="s">
        <v>2546</v>
      </c>
      <c r="C1213" s="11">
        <v>0.0</v>
      </c>
      <c r="D1213" s="11">
        <v>0.0</v>
      </c>
      <c r="E1213" s="11">
        <v>0.0</v>
      </c>
      <c r="F1213" s="11">
        <v>0.0</v>
      </c>
      <c r="G1213" s="11">
        <v>0.0</v>
      </c>
      <c r="H1213" s="11">
        <v>60.0</v>
      </c>
      <c r="I1213" s="11">
        <v>0.0</v>
      </c>
      <c r="J1213" s="11">
        <v>0.0</v>
      </c>
      <c r="K1213" s="11">
        <f t="shared" si="1"/>
        <v>60</v>
      </c>
      <c r="L1213" s="11">
        <f t="shared" si="2"/>
        <v>15</v>
      </c>
    </row>
    <row r="1214" ht="15.75" customHeight="1">
      <c r="A1214" s="10" t="s">
        <v>2547</v>
      </c>
      <c r="B1214" s="10" t="s">
        <v>2548</v>
      </c>
      <c r="C1214" s="11">
        <v>0.0</v>
      </c>
      <c r="D1214" s="11">
        <v>0.0</v>
      </c>
      <c r="E1214" s="11">
        <v>0.0</v>
      </c>
      <c r="F1214" s="11">
        <v>0.0</v>
      </c>
      <c r="G1214" s="11">
        <v>0.0</v>
      </c>
      <c r="H1214" s="11">
        <v>10.0</v>
      </c>
      <c r="I1214" s="11">
        <v>0.0</v>
      </c>
      <c r="J1214" s="11">
        <v>0.0</v>
      </c>
      <c r="K1214" s="11">
        <f t="shared" si="1"/>
        <v>10</v>
      </c>
      <c r="L1214" s="11">
        <f t="shared" si="2"/>
        <v>2.5</v>
      </c>
    </row>
    <row r="1215" ht="15.75" customHeight="1">
      <c r="A1215" s="10" t="s">
        <v>2549</v>
      </c>
      <c r="B1215" s="10" t="s">
        <v>2550</v>
      </c>
      <c r="C1215" s="11">
        <v>0.0</v>
      </c>
      <c r="D1215" s="11">
        <v>0.0</v>
      </c>
      <c r="E1215" s="11">
        <v>0.0</v>
      </c>
      <c r="F1215" s="11">
        <v>0.0</v>
      </c>
      <c r="G1215" s="11">
        <v>0.0</v>
      </c>
      <c r="H1215" s="11">
        <v>0.0</v>
      </c>
      <c r="I1215" s="11">
        <v>0.0</v>
      </c>
      <c r="J1215" s="11">
        <v>0.0</v>
      </c>
      <c r="K1215" s="11">
        <f t="shared" si="1"/>
        <v>0</v>
      </c>
      <c r="L1215" s="11">
        <f t="shared" si="2"/>
        <v>0</v>
      </c>
    </row>
    <row r="1216" ht="15.75" customHeight="1">
      <c r="A1216" s="10" t="s">
        <v>2551</v>
      </c>
      <c r="B1216" s="10" t="s">
        <v>2552</v>
      </c>
      <c r="C1216" s="11">
        <v>10.0</v>
      </c>
      <c r="D1216" s="11">
        <v>10.0</v>
      </c>
      <c r="E1216" s="11">
        <v>0.0</v>
      </c>
      <c r="F1216" s="11">
        <v>10.0</v>
      </c>
      <c r="G1216" s="11">
        <v>10.0</v>
      </c>
      <c r="H1216" s="11">
        <v>40.0</v>
      </c>
      <c r="I1216" s="11">
        <v>0.0</v>
      </c>
      <c r="J1216" s="11">
        <v>0.0</v>
      </c>
      <c r="K1216" s="11">
        <f t="shared" si="1"/>
        <v>80</v>
      </c>
      <c r="L1216" s="11">
        <f t="shared" si="2"/>
        <v>12.5</v>
      </c>
    </row>
    <row r="1217" ht="15.75" customHeight="1">
      <c r="A1217" s="10" t="s">
        <v>2553</v>
      </c>
      <c r="B1217" s="10" t="s">
        <v>2554</v>
      </c>
      <c r="C1217" s="11">
        <v>0.0</v>
      </c>
      <c r="D1217" s="11">
        <v>0.0</v>
      </c>
      <c r="E1217" s="11">
        <v>0.0</v>
      </c>
      <c r="F1217" s="11">
        <v>0.0</v>
      </c>
      <c r="G1217" s="11">
        <v>0.0</v>
      </c>
      <c r="H1217" s="11">
        <v>0.0</v>
      </c>
      <c r="I1217" s="11">
        <v>0.0</v>
      </c>
      <c r="J1217" s="11">
        <v>0.0</v>
      </c>
      <c r="K1217" s="11">
        <f t="shared" si="1"/>
        <v>0</v>
      </c>
      <c r="L1217" s="11">
        <f t="shared" si="2"/>
        <v>0</v>
      </c>
    </row>
    <row r="1218" ht="15.75" customHeight="1">
      <c r="A1218" s="10" t="s">
        <v>2555</v>
      </c>
      <c r="B1218" s="10" t="s">
        <v>2556</v>
      </c>
      <c r="C1218" s="11">
        <v>144.0</v>
      </c>
      <c r="D1218" s="11">
        <v>162.0</v>
      </c>
      <c r="E1218" s="11">
        <v>50.0</v>
      </c>
      <c r="F1218" s="11">
        <v>0.0</v>
      </c>
      <c r="G1218" s="11">
        <v>25.0</v>
      </c>
      <c r="H1218" s="11">
        <v>0.0</v>
      </c>
      <c r="I1218" s="11">
        <v>0.0</v>
      </c>
      <c r="J1218" s="11">
        <v>50.0</v>
      </c>
      <c r="K1218" s="11">
        <f t="shared" si="1"/>
        <v>431</v>
      </c>
      <c r="L1218" s="11">
        <f t="shared" si="2"/>
        <v>18.75</v>
      </c>
    </row>
    <row r="1219" ht="15.75" customHeight="1">
      <c r="A1219" s="10" t="s">
        <v>2557</v>
      </c>
      <c r="B1219" s="10" t="s">
        <v>2558</v>
      </c>
      <c r="C1219" s="11">
        <v>553.0</v>
      </c>
      <c r="D1219" s="11">
        <v>58.0</v>
      </c>
      <c r="E1219" s="11">
        <v>0.0</v>
      </c>
      <c r="F1219" s="11">
        <v>0.0</v>
      </c>
      <c r="G1219" s="11">
        <v>0.0</v>
      </c>
      <c r="H1219" s="11">
        <v>0.0</v>
      </c>
      <c r="I1219" s="11">
        <v>0.0</v>
      </c>
      <c r="J1219" s="11">
        <v>0.0</v>
      </c>
      <c r="K1219" s="11">
        <f t="shared" si="1"/>
        <v>611</v>
      </c>
      <c r="L1219" s="11">
        <f t="shared" si="2"/>
        <v>0</v>
      </c>
    </row>
    <row r="1220" ht="15.75" customHeight="1">
      <c r="A1220" s="10" t="s">
        <v>2559</v>
      </c>
      <c r="B1220" s="10" t="s">
        <v>2560</v>
      </c>
      <c r="C1220" s="11">
        <v>0.0</v>
      </c>
      <c r="D1220" s="11">
        <v>0.0</v>
      </c>
      <c r="E1220" s="11">
        <v>0.0</v>
      </c>
      <c r="F1220" s="11">
        <v>0.0</v>
      </c>
      <c r="G1220" s="11">
        <v>0.0</v>
      </c>
      <c r="H1220" s="11">
        <v>0.0</v>
      </c>
      <c r="I1220" s="11">
        <v>0.0</v>
      </c>
      <c r="J1220" s="11">
        <v>0.0</v>
      </c>
      <c r="K1220" s="11">
        <f t="shared" si="1"/>
        <v>0</v>
      </c>
      <c r="L1220" s="11">
        <f t="shared" si="2"/>
        <v>0</v>
      </c>
    </row>
    <row r="1221" ht="15.75" customHeight="1">
      <c r="A1221" s="10" t="s">
        <v>2561</v>
      </c>
      <c r="B1221" s="10" t="s">
        <v>2562</v>
      </c>
      <c r="C1221" s="11">
        <v>0.0</v>
      </c>
      <c r="D1221" s="11">
        <v>0.0</v>
      </c>
      <c r="E1221" s="11">
        <v>0.0</v>
      </c>
      <c r="F1221" s="11">
        <v>0.0</v>
      </c>
      <c r="G1221" s="11">
        <v>0.0</v>
      </c>
      <c r="H1221" s="11">
        <v>0.0</v>
      </c>
      <c r="I1221" s="11">
        <v>0.0</v>
      </c>
      <c r="J1221" s="11">
        <v>0.0</v>
      </c>
      <c r="K1221" s="11">
        <f t="shared" si="1"/>
        <v>0</v>
      </c>
      <c r="L1221" s="11">
        <f t="shared" si="2"/>
        <v>0</v>
      </c>
    </row>
    <row r="1222" ht="15.75" customHeight="1">
      <c r="A1222" s="10" t="s">
        <v>2563</v>
      </c>
      <c r="B1222" s="10" t="s">
        <v>2564</v>
      </c>
      <c r="C1222" s="11">
        <v>0.0</v>
      </c>
      <c r="D1222" s="11">
        <v>0.0</v>
      </c>
      <c r="E1222" s="11">
        <v>0.0</v>
      </c>
      <c r="F1222" s="11">
        <v>0.0</v>
      </c>
      <c r="G1222" s="11">
        <v>0.0</v>
      </c>
      <c r="H1222" s="11">
        <v>0.0</v>
      </c>
      <c r="I1222" s="11">
        <v>0.0</v>
      </c>
      <c r="J1222" s="11">
        <v>0.0</v>
      </c>
      <c r="K1222" s="11">
        <f t="shared" si="1"/>
        <v>0</v>
      </c>
      <c r="L1222" s="11">
        <f t="shared" si="2"/>
        <v>0</v>
      </c>
    </row>
    <row r="1223" ht="15.75" customHeight="1">
      <c r="A1223" s="10" t="s">
        <v>2565</v>
      </c>
      <c r="B1223" s="10" t="s">
        <v>2566</v>
      </c>
      <c r="C1223" s="11">
        <v>0.0</v>
      </c>
      <c r="D1223" s="11">
        <v>0.0</v>
      </c>
      <c r="E1223" s="11">
        <v>0.0</v>
      </c>
      <c r="F1223" s="11">
        <v>0.0</v>
      </c>
      <c r="G1223" s="11">
        <v>0.0</v>
      </c>
      <c r="H1223" s="11">
        <v>0.0</v>
      </c>
      <c r="I1223" s="11">
        <v>0.0</v>
      </c>
      <c r="J1223" s="11">
        <v>0.0</v>
      </c>
      <c r="K1223" s="11">
        <f t="shared" si="1"/>
        <v>0</v>
      </c>
      <c r="L1223" s="11">
        <f t="shared" si="2"/>
        <v>0</v>
      </c>
    </row>
    <row r="1224" ht="15.75" customHeight="1">
      <c r="A1224" s="10" t="s">
        <v>2567</v>
      </c>
      <c r="B1224" s="10" t="s">
        <v>2568</v>
      </c>
      <c r="C1224" s="11">
        <v>0.0</v>
      </c>
      <c r="D1224" s="11">
        <v>0.0</v>
      </c>
      <c r="E1224" s="11">
        <v>0.0</v>
      </c>
      <c r="F1224" s="11">
        <v>0.0</v>
      </c>
      <c r="G1224" s="11">
        <v>0.0</v>
      </c>
      <c r="H1224" s="11">
        <v>0.0</v>
      </c>
      <c r="I1224" s="11">
        <v>0.0</v>
      </c>
      <c r="J1224" s="11">
        <v>0.0</v>
      </c>
      <c r="K1224" s="11">
        <f t="shared" si="1"/>
        <v>0</v>
      </c>
      <c r="L1224" s="11">
        <f t="shared" si="2"/>
        <v>0</v>
      </c>
    </row>
    <row r="1225" ht="15.75" customHeight="1">
      <c r="A1225" s="10" t="s">
        <v>2569</v>
      </c>
      <c r="B1225" s="10" t="s">
        <v>2570</v>
      </c>
      <c r="C1225" s="11">
        <v>0.0</v>
      </c>
      <c r="D1225" s="11">
        <v>0.0</v>
      </c>
      <c r="E1225" s="11">
        <v>0.0</v>
      </c>
      <c r="F1225" s="11">
        <v>0.0</v>
      </c>
      <c r="G1225" s="11">
        <v>0.0</v>
      </c>
      <c r="H1225" s="11">
        <v>0.0</v>
      </c>
      <c r="I1225" s="11">
        <v>0.0</v>
      </c>
      <c r="J1225" s="11">
        <v>0.0</v>
      </c>
      <c r="K1225" s="11">
        <f t="shared" si="1"/>
        <v>0</v>
      </c>
      <c r="L1225" s="11">
        <f t="shared" si="2"/>
        <v>0</v>
      </c>
    </row>
    <row r="1226" ht="15.75" customHeight="1">
      <c r="A1226" s="10" t="s">
        <v>2573</v>
      </c>
      <c r="B1226" s="10" t="s">
        <v>2574</v>
      </c>
      <c r="C1226" s="11">
        <v>0.0</v>
      </c>
      <c r="D1226" s="11">
        <v>0.0</v>
      </c>
      <c r="E1226" s="11">
        <v>0.0</v>
      </c>
      <c r="F1226" s="11">
        <v>0.0</v>
      </c>
      <c r="G1226" s="11">
        <v>0.0</v>
      </c>
      <c r="H1226" s="11">
        <v>0.0</v>
      </c>
      <c r="I1226" s="11">
        <v>0.0</v>
      </c>
      <c r="J1226" s="11">
        <v>0.0</v>
      </c>
      <c r="K1226" s="11">
        <f t="shared" si="1"/>
        <v>0</v>
      </c>
      <c r="L1226" s="11">
        <f t="shared" si="2"/>
        <v>0</v>
      </c>
    </row>
    <row r="1227" ht="15.75" customHeight="1">
      <c r="A1227" s="10" t="s">
        <v>2575</v>
      </c>
      <c r="B1227" s="10" t="s">
        <v>2576</v>
      </c>
      <c r="C1227" s="11">
        <v>0.0</v>
      </c>
      <c r="D1227" s="11">
        <v>0.0</v>
      </c>
      <c r="E1227" s="11">
        <v>0.0</v>
      </c>
      <c r="F1227" s="11">
        <v>0.0</v>
      </c>
      <c r="G1227" s="11">
        <v>0.0</v>
      </c>
      <c r="H1227" s="11">
        <v>0.0</v>
      </c>
      <c r="I1227" s="11">
        <v>0.0</v>
      </c>
      <c r="J1227" s="11">
        <v>0.0</v>
      </c>
      <c r="K1227" s="11">
        <f t="shared" si="1"/>
        <v>0</v>
      </c>
      <c r="L1227" s="11">
        <f t="shared" si="2"/>
        <v>0</v>
      </c>
    </row>
    <row r="1228" ht="15.75" customHeight="1">
      <c r="A1228" s="10" t="s">
        <v>2577</v>
      </c>
      <c r="B1228" s="10" t="s">
        <v>2578</v>
      </c>
      <c r="C1228" s="11">
        <v>0.0</v>
      </c>
      <c r="D1228" s="11">
        <v>0.0</v>
      </c>
      <c r="E1228" s="11">
        <v>0.0</v>
      </c>
      <c r="F1228" s="11">
        <v>0.0</v>
      </c>
      <c r="G1228" s="11">
        <v>0.0</v>
      </c>
      <c r="H1228" s="11">
        <v>0.0</v>
      </c>
      <c r="I1228" s="11">
        <v>0.0</v>
      </c>
      <c r="J1228" s="11">
        <v>0.0</v>
      </c>
      <c r="K1228" s="11">
        <f t="shared" si="1"/>
        <v>0</v>
      </c>
      <c r="L1228" s="11">
        <f t="shared" si="2"/>
        <v>0</v>
      </c>
    </row>
    <row r="1229" ht="15.75" customHeight="1">
      <c r="A1229" s="10" t="s">
        <v>2579</v>
      </c>
      <c r="B1229" s="10" t="s">
        <v>2580</v>
      </c>
      <c r="C1229" s="11">
        <v>0.0</v>
      </c>
      <c r="D1229" s="11">
        <v>0.0</v>
      </c>
      <c r="E1229" s="11">
        <v>0.0</v>
      </c>
      <c r="F1229" s="11">
        <v>0.0</v>
      </c>
      <c r="G1229" s="11">
        <v>0.0</v>
      </c>
      <c r="H1229" s="11">
        <v>0.0</v>
      </c>
      <c r="I1229" s="11">
        <v>0.0</v>
      </c>
      <c r="J1229" s="11">
        <v>0.0</v>
      </c>
      <c r="K1229" s="11">
        <f t="shared" si="1"/>
        <v>0</v>
      </c>
      <c r="L1229" s="11">
        <f t="shared" si="2"/>
        <v>0</v>
      </c>
    </row>
    <row r="1230" ht="15.75" customHeight="1">
      <c r="A1230" s="10" t="s">
        <v>2581</v>
      </c>
      <c r="B1230" s="10" t="s">
        <v>2582</v>
      </c>
      <c r="C1230" s="11">
        <v>0.0</v>
      </c>
      <c r="D1230" s="11">
        <v>0.0</v>
      </c>
      <c r="E1230" s="11">
        <v>0.0</v>
      </c>
      <c r="F1230" s="11">
        <v>0.0</v>
      </c>
      <c r="G1230" s="11">
        <v>0.0</v>
      </c>
      <c r="H1230" s="11">
        <v>0.0</v>
      </c>
      <c r="I1230" s="11">
        <v>0.0</v>
      </c>
      <c r="J1230" s="11">
        <v>0.0</v>
      </c>
      <c r="K1230" s="11">
        <f t="shared" si="1"/>
        <v>0</v>
      </c>
      <c r="L1230" s="11">
        <f t="shared" si="2"/>
        <v>0</v>
      </c>
    </row>
    <row r="1231" ht="15.75" customHeight="1">
      <c r="A1231" s="10" t="s">
        <v>2583</v>
      </c>
      <c r="B1231" s="10" t="s">
        <v>2584</v>
      </c>
      <c r="C1231" s="11">
        <v>0.0</v>
      </c>
      <c r="D1231" s="11">
        <v>0.0</v>
      </c>
      <c r="E1231" s="11">
        <v>0.0</v>
      </c>
      <c r="F1231" s="11">
        <v>0.0</v>
      </c>
      <c r="G1231" s="11">
        <v>0.0</v>
      </c>
      <c r="H1231" s="11">
        <v>0.0</v>
      </c>
      <c r="I1231" s="11">
        <v>0.0</v>
      </c>
      <c r="J1231" s="11">
        <v>0.0</v>
      </c>
      <c r="K1231" s="11">
        <f t="shared" si="1"/>
        <v>0</v>
      </c>
      <c r="L1231" s="11">
        <f t="shared" si="2"/>
        <v>0</v>
      </c>
    </row>
    <row r="1232" ht="15.75" customHeight="1">
      <c r="A1232" s="10" t="s">
        <v>2585</v>
      </c>
      <c r="B1232" s="10" t="s">
        <v>2586</v>
      </c>
      <c r="C1232" s="11">
        <v>0.0</v>
      </c>
      <c r="D1232" s="11">
        <v>0.0</v>
      </c>
      <c r="E1232" s="11">
        <v>0.0</v>
      </c>
      <c r="F1232" s="11">
        <v>0.0</v>
      </c>
      <c r="G1232" s="11">
        <v>0.0</v>
      </c>
      <c r="H1232" s="11">
        <v>0.0</v>
      </c>
      <c r="I1232" s="11">
        <v>0.0</v>
      </c>
      <c r="J1232" s="11">
        <v>0.0</v>
      </c>
      <c r="K1232" s="11">
        <f t="shared" si="1"/>
        <v>0</v>
      </c>
      <c r="L1232" s="11">
        <f t="shared" si="2"/>
        <v>0</v>
      </c>
    </row>
    <row r="1233" ht="15.75" customHeight="1">
      <c r="A1233" s="10" t="s">
        <v>2587</v>
      </c>
      <c r="B1233" s="10" t="s">
        <v>2588</v>
      </c>
      <c r="C1233" s="11">
        <v>0.0</v>
      </c>
      <c r="D1233" s="11">
        <v>0.0</v>
      </c>
      <c r="E1233" s="11">
        <v>0.0</v>
      </c>
      <c r="F1233" s="11">
        <v>0.0</v>
      </c>
      <c r="G1233" s="11">
        <v>0.0</v>
      </c>
      <c r="H1233" s="11">
        <v>0.0</v>
      </c>
      <c r="I1233" s="11">
        <v>0.0</v>
      </c>
      <c r="J1233" s="11">
        <v>0.0</v>
      </c>
      <c r="K1233" s="11">
        <f t="shared" si="1"/>
        <v>0</v>
      </c>
      <c r="L1233" s="11">
        <f t="shared" si="2"/>
        <v>0</v>
      </c>
    </row>
    <row r="1234" ht="15.75" customHeight="1">
      <c r="A1234" s="10" t="s">
        <v>2589</v>
      </c>
      <c r="B1234" s="10" t="s">
        <v>2590</v>
      </c>
      <c r="C1234" s="11">
        <v>0.0</v>
      </c>
      <c r="D1234" s="11">
        <v>0.0</v>
      </c>
      <c r="E1234" s="11">
        <v>0.0</v>
      </c>
      <c r="F1234" s="11">
        <v>0.0</v>
      </c>
      <c r="G1234" s="11">
        <v>0.0</v>
      </c>
      <c r="H1234" s="11">
        <v>0.0</v>
      </c>
      <c r="I1234" s="11">
        <v>0.0</v>
      </c>
      <c r="J1234" s="11">
        <v>0.0</v>
      </c>
      <c r="K1234" s="11">
        <f t="shared" si="1"/>
        <v>0</v>
      </c>
      <c r="L1234" s="11">
        <f t="shared" si="2"/>
        <v>0</v>
      </c>
    </row>
    <row r="1235" ht="15.75" customHeight="1">
      <c r="A1235" s="10" t="s">
        <v>2591</v>
      </c>
      <c r="B1235" s="10" t="s">
        <v>2592</v>
      </c>
      <c r="C1235" s="11">
        <v>0.0</v>
      </c>
      <c r="D1235" s="11">
        <v>0.0</v>
      </c>
      <c r="E1235" s="11">
        <v>0.0</v>
      </c>
      <c r="F1235" s="11">
        <v>0.0</v>
      </c>
      <c r="G1235" s="11">
        <v>0.0</v>
      </c>
      <c r="H1235" s="11">
        <v>0.0</v>
      </c>
      <c r="I1235" s="11">
        <v>0.0</v>
      </c>
      <c r="J1235" s="11">
        <v>0.0</v>
      </c>
      <c r="K1235" s="11">
        <f t="shared" si="1"/>
        <v>0</v>
      </c>
      <c r="L1235" s="11">
        <f t="shared" si="2"/>
        <v>0</v>
      </c>
    </row>
    <row r="1236" ht="15.75" customHeight="1">
      <c r="A1236" s="10" t="s">
        <v>2593</v>
      </c>
      <c r="B1236" s="10" t="s">
        <v>2594</v>
      </c>
      <c r="C1236" s="11">
        <v>700.0</v>
      </c>
      <c r="D1236" s="11">
        <v>948.0</v>
      </c>
      <c r="E1236" s="11">
        <v>600.0</v>
      </c>
      <c r="F1236" s="11">
        <v>1206.0</v>
      </c>
      <c r="G1236" s="11">
        <v>598.0</v>
      </c>
      <c r="H1236" s="11">
        <v>1666.0</v>
      </c>
      <c r="I1236" s="11">
        <v>0.0</v>
      </c>
      <c r="J1236" s="11">
        <v>0.0</v>
      </c>
      <c r="K1236" s="11">
        <f t="shared" si="1"/>
        <v>5718</v>
      </c>
      <c r="L1236" s="11">
        <f t="shared" si="2"/>
        <v>566</v>
      </c>
    </row>
    <row r="1237" ht="15.75" customHeight="1">
      <c r="A1237" s="10" t="s">
        <v>2595</v>
      </c>
      <c r="B1237" s="10" t="s">
        <v>2596</v>
      </c>
      <c r="C1237" s="11">
        <v>0.0</v>
      </c>
      <c r="D1237" s="11">
        <v>200.0</v>
      </c>
      <c r="E1237" s="11">
        <v>100.0</v>
      </c>
      <c r="F1237" s="11">
        <v>50.0</v>
      </c>
      <c r="G1237" s="11">
        <v>100.0</v>
      </c>
      <c r="H1237" s="11">
        <v>350.0</v>
      </c>
      <c r="I1237" s="11">
        <v>400.0</v>
      </c>
      <c r="J1237" s="11">
        <v>657.0</v>
      </c>
      <c r="K1237" s="11">
        <f t="shared" si="1"/>
        <v>1857</v>
      </c>
      <c r="L1237" s="11">
        <f t="shared" si="2"/>
        <v>376.75</v>
      </c>
    </row>
    <row r="1238" ht="15.75" customHeight="1">
      <c r="A1238" s="10" t="s">
        <v>2597</v>
      </c>
      <c r="B1238" s="10" t="s">
        <v>2598</v>
      </c>
      <c r="C1238" s="11">
        <v>1350.0</v>
      </c>
      <c r="D1238" s="11">
        <v>1250.0</v>
      </c>
      <c r="E1238" s="11">
        <v>1300.0</v>
      </c>
      <c r="F1238" s="11">
        <v>1200.0</v>
      </c>
      <c r="G1238" s="11">
        <v>1059.0</v>
      </c>
      <c r="H1238" s="11">
        <v>2025.0</v>
      </c>
      <c r="I1238" s="11">
        <v>200.0</v>
      </c>
      <c r="J1238" s="11">
        <v>50.0</v>
      </c>
      <c r="K1238" s="11">
        <f t="shared" si="1"/>
        <v>8434</v>
      </c>
      <c r="L1238" s="11">
        <f t="shared" si="2"/>
        <v>833.5</v>
      </c>
    </row>
    <row r="1239" ht="15.75" customHeight="1">
      <c r="A1239" s="10" t="s">
        <v>2599</v>
      </c>
      <c r="B1239" s="10" t="s">
        <v>2600</v>
      </c>
      <c r="C1239" s="11">
        <v>4936.0</v>
      </c>
      <c r="D1239" s="11">
        <v>4748.0</v>
      </c>
      <c r="E1239" s="11">
        <v>3517.0</v>
      </c>
      <c r="F1239" s="11">
        <v>0.0</v>
      </c>
      <c r="G1239" s="11">
        <v>3039.0</v>
      </c>
      <c r="H1239" s="11">
        <v>4950.0</v>
      </c>
      <c r="I1239" s="11">
        <v>3400.0</v>
      </c>
      <c r="J1239" s="11">
        <v>350.0</v>
      </c>
      <c r="K1239" s="11">
        <f t="shared" si="1"/>
        <v>24940</v>
      </c>
      <c r="L1239" s="11">
        <f t="shared" si="2"/>
        <v>2934.75</v>
      </c>
    </row>
    <row r="1240" ht="15.75" customHeight="1">
      <c r="A1240" s="10" t="s">
        <v>2601</v>
      </c>
      <c r="B1240" s="10" t="s">
        <v>2602</v>
      </c>
      <c r="C1240" s="11">
        <v>250.0</v>
      </c>
      <c r="D1240" s="11">
        <v>50.0</v>
      </c>
      <c r="E1240" s="11">
        <v>200.0</v>
      </c>
      <c r="F1240" s="11">
        <v>250.0</v>
      </c>
      <c r="G1240" s="11">
        <v>350.0</v>
      </c>
      <c r="H1240" s="11">
        <v>350.0</v>
      </c>
      <c r="I1240" s="11">
        <v>1848.0</v>
      </c>
      <c r="J1240" s="11">
        <v>855.0</v>
      </c>
      <c r="K1240" s="11">
        <f t="shared" si="1"/>
        <v>4153</v>
      </c>
      <c r="L1240" s="11">
        <f t="shared" si="2"/>
        <v>850.75</v>
      </c>
    </row>
    <row r="1241" ht="15.75" customHeight="1">
      <c r="A1241" s="10" t="s">
        <v>2603</v>
      </c>
      <c r="B1241" s="10" t="s">
        <v>2604</v>
      </c>
      <c r="C1241" s="11">
        <v>550.0</v>
      </c>
      <c r="D1241" s="11">
        <v>300.0</v>
      </c>
      <c r="E1241" s="11">
        <v>250.0</v>
      </c>
      <c r="F1241" s="11">
        <v>200.0</v>
      </c>
      <c r="G1241" s="11">
        <v>50.0</v>
      </c>
      <c r="H1241" s="11">
        <v>500.0</v>
      </c>
      <c r="I1241" s="11">
        <v>544.0</v>
      </c>
      <c r="J1241" s="11">
        <v>638.0</v>
      </c>
      <c r="K1241" s="11">
        <f t="shared" si="1"/>
        <v>3032</v>
      </c>
      <c r="L1241" s="11">
        <f t="shared" si="2"/>
        <v>433</v>
      </c>
    </row>
    <row r="1242" ht="15.75" customHeight="1">
      <c r="A1242" s="10" t="s">
        <v>2605</v>
      </c>
      <c r="B1242" s="10" t="s">
        <v>2606</v>
      </c>
      <c r="C1242" s="11">
        <v>140.0</v>
      </c>
      <c r="D1242" s="11">
        <v>0.0</v>
      </c>
      <c r="E1242" s="11">
        <v>423.0</v>
      </c>
      <c r="F1242" s="11">
        <v>100.0</v>
      </c>
      <c r="G1242" s="11">
        <v>50.0</v>
      </c>
      <c r="H1242" s="11">
        <v>100.0</v>
      </c>
      <c r="I1242" s="11">
        <v>0.0</v>
      </c>
      <c r="J1242" s="11">
        <v>0.0</v>
      </c>
      <c r="K1242" s="11">
        <f t="shared" si="1"/>
        <v>813</v>
      </c>
      <c r="L1242" s="11">
        <f t="shared" si="2"/>
        <v>37.5</v>
      </c>
    </row>
    <row r="1243" ht="15.75" customHeight="1">
      <c r="A1243" s="10" t="s">
        <v>2607</v>
      </c>
      <c r="B1243" s="10" t="s">
        <v>2608</v>
      </c>
      <c r="C1243" s="11">
        <v>512.0</v>
      </c>
      <c r="D1243" s="11">
        <v>260.0</v>
      </c>
      <c r="E1243" s="11">
        <v>198.5</v>
      </c>
      <c r="F1243" s="11">
        <v>200.0</v>
      </c>
      <c r="G1243" s="11">
        <v>150.0</v>
      </c>
      <c r="H1243" s="11">
        <v>0.0</v>
      </c>
      <c r="I1243" s="11">
        <v>50.0</v>
      </c>
      <c r="J1243" s="11">
        <v>50.0</v>
      </c>
      <c r="K1243" s="11">
        <f t="shared" si="1"/>
        <v>1420.5</v>
      </c>
      <c r="L1243" s="11">
        <f t="shared" si="2"/>
        <v>62.5</v>
      </c>
    </row>
    <row r="1244" ht="15.75" customHeight="1">
      <c r="A1244" s="10" t="s">
        <v>2609</v>
      </c>
      <c r="B1244" s="10" t="s">
        <v>2610</v>
      </c>
      <c r="C1244" s="11">
        <v>0.0</v>
      </c>
      <c r="D1244" s="11">
        <v>0.0</v>
      </c>
      <c r="E1244" s="11">
        <v>0.0</v>
      </c>
      <c r="F1244" s="11">
        <v>0.0</v>
      </c>
      <c r="G1244" s="11">
        <v>0.0</v>
      </c>
      <c r="H1244" s="11">
        <v>0.0</v>
      </c>
      <c r="I1244" s="11">
        <v>0.0</v>
      </c>
      <c r="J1244" s="11">
        <v>0.0</v>
      </c>
      <c r="K1244" s="11">
        <f t="shared" si="1"/>
        <v>0</v>
      </c>
      <c r="L1244" s="11">
        <f t="shared" si="2"/>
        <v>0</v>
      </c>
    </row>
    <row r="1245" ht="15.75" customHeight="1">
      <c r="A1245" s="10" t="s">
        <v>2611</v>
      </c>
      <c r="B1245" s="10" t="s">
        <v>2612</v>
      </c>
      <c r="C1245" s="11">
        <v>0.0</v>
      </c>
      <c r="D1245" s="11">
        <v>50.0</v>
      </c>
      <c r="E1245" s="11">
        <v>50.0</v>
      </c>
      <c r="F1245" s="11">
        <v>0.0</v>
      </c>
      <c r="G1245" s="11">
        <v>0.0</v>
      </c>
      <c r="H1245" s="11">
        <v>50.0</v>
      </c>
      <c r="I1245" s="11">
        <v>50.0</v>
      </c>
      <c r="J1245" s="11">
        <v>149.0</v>
      </c>
      <c r="K1245" s="11">
        <f t="shared" si="1"/>
        <v>349</v>
      </c>
      <c r="L1245" s="11">
        <f t="shared" si="2"/>
        <v>62.25</v>
      </c>
    </row>
    <row r="1246" ht="15.75" customHeight="1">
      <c r="A1246" s="10" t="s">
        <v>2613</v>
      </c>
      <c r="B1246" s="10" t="s">
        <v>2614</v>
      </c>
      <c r="C1246" s="11">
        <v>100.0</v>
      </c>
      <c r="D1246" s="11">
        <v>100.0</v>
      </c>
      <c r="E1246" s="11">
        <v>150.0</v>
      </c>
      <c r="F1246" s="11">
        <v>87.5</v>
      </c>
      <c r="G1246" s="11">
        <v>150.0</v>
      </c>
      <c r="H1246" s="11">
        <v>200.0</v>
      </c>
      <c r="I1246" s="11">
        <v>0.0</v>
      </c>
      <c r="J1246" s="11">
        <v>0.0</v>
      </c>
      <c r="K1246" s="11">
        <f t="shared" si="1"/>
        <v>787.5</v>
      </c>
      <c r="L1246" s="11">
        <f t="shared" si="2"/>
        <v>87.5</v>
      </c>
    </row>
    <row r="1247" ht="15.75" customHeight="1">
      <c r="A1247" s="10" t="s">
        <v>2615</v>
      </c>
      <c r="B1247" s="10" t="s">
        <v>2616</v>
      </c>
      <c r="C1247" s="11">
        <v>0.0</v>
      </c>
      <c r="D1247" s="11">
        <v>0.0</v>
      </c>
      <c r="E1247" s="11">
        <v>0.0</v>
      </c>
      <c r="F1247" s="11">
        <v>0.0</v>
      </c>
      <c r="G1247" s="11">
        <v>0.0</v>
      </c>
      <c r="H1247" s="11">
        <v>0.0</v>
      </c>
      <c r="I1247" s="11">
        <v>0.0</v>
      </c>
      <c r="J1247" s="11">
        <v>0.0</v>
      </c>
      <c r="K1247" s="11">
        <f t="shared" si="1"/>
        <v>0</v>
      </c>
      <c r="L1247" s="11">
        <f t="shared" si="2"/>
        <v>0</v>
      </c>
    </row>
    <row r="1248" ht="15.75" customHeight="1">
      <c r="A1248" s="10" t="s">
        <v>2617</v>
      </c>
      <c r="B1248" s="10" t="s">
        <v>2618</v>
      </c>
      <c r="C1248" s="11">
        <v>50.0</v>
      </c>
      <c r="D1248" s="11">
        <v>50.0</v>
      </c>
      <c r="E1248" s="11">
        <v>50.0</v>
      </c>
      <c r="F1248" s="11">
        <v>0.0</v>
      </c>
      <c r="G1248" s="11">
        <v>25.0</v>
      </c>
      <c r="H1248" s="11">
        <v>50.0</v>
      </c>
      <c r="I1248" s="11">
        <v>0.0</v>
      </c>
      <c r="J1248" s="11">
        <v>100.0</v>
      </c>
      <c r="K1248" s="11">
        <f t="shared" si="1"/>
        <v>325</v>
      </c>
      <c r="L1248" s="11">
        <f t="shared" si="2"/>
        <v>43.75</v>
      </c>
    </row>
    <row r="1249" ht="15.75" customHeight="1">
      <c r="A1249" s="10" t="s">
        <v>2619</v>
      </c>
      <c r="B1249" s="10" t="s">
        <v>2620</v>
      </c>
      <c r="C1249" s="11">
        <v>0.0</v>
      </c>
      <c r="D1249" s="11">
        <v>50.0</v>
      </c>
      <c r="E1249" s="11">
        <v>100.0</v>
      </c>
      <c r="F1249" s="11">
        <v>0.0</v>
      </c>
      <c r="G1249" s="11">
        <v>0.0</v>
      </c>
      <c r="H1249" s="11">
        <v>0.0</v>
      </c>
      <c r="I1249" s="11">
        <v>26.0</v>
      </c>
      <c r="J1249" s="11">
        <v>50.0</v>
      </c>
      <c r="K1249" s="11">
        <f t="shared" si="1"/>
        <v>226</v>
      </c>
      <c r="L1249" s="11">
        <f t="shared" si="2"/>
        <v>19</v>
      </c>
    </row>
    <row r="1250" ht="15.75" customHeight="1">
      <c r="A1250" s="10" t="s">
        <v>2621</v>
      </c>
      <c r="B1250" s="10" t="s">
        <v>2622</v>
      </c>
      <c r="C1250" s="11">
        <v>118.2</v>
      </c>
      <c r="D1250" s="11">
        <v>55.8</v>
      </c>
      <c r="E1250" s="11">
        <v>122.3</v>
      </c>
      <c r="F1250" s="11">
        <v>215.8</v>
      </c>
      <c r="G1250" s="11">
        <v>33.0</v>
      </c>
      <c r="H1250" s="11">
        <v>0.0</v>
      </c>
      <c r="I1250" s="11">
        <v>0.0</v>
      </c>
      <c r="J1250" s="11">
        <v>0.0</v>
      </c>
      <c r="K1250" s="11">
        <f t="shared" si="1"/>
        <v>545.1</v>
      </c>
      <c r="L1250" s="11">
        <f t="shared" si="2"/>
        <v>8.25</v>
      </c>
    </row>
    <row r="1251" ht="15.75" customHeight="1">
      <c r="A1251" s="10" t="s">
        <v>2623</v>
      </c>
      <c r="B1251" s="10" t="s">
        <v>2624</v>
      </c>
      <c r="C1251" s="11">
        <v>54.2</v>
      </c>
      <c r="D1251" s="11">
        <v>134.3</v>
      </c>
      <c r="E1251" s="11">
        <v>112.5</v>
      </c>
      <c r="F1251" s="11">
        <v>577.8</v>
      </c>
      <c r="G1251" s="11">
        <v>0.0</v>
      </c>
      <c r="H1251" s="11">
        <v>0.0</v>
      </c>
      <c r="I1251" s="11">
        <v>0.0</v>
      </c>
      <c r="J1251" s="11">
        <v>0.0</v>
      </c>
      <c r="K1251" s="11">
        <f t="shared" si="1"/>
        <v>878.8</v>
      </c>
      <c r="L1251" s="11">
        <f t="shared" si="2"/>
        <v>0</v>
      </c>
    </row>
    <row r="1252" ht="15.75" customHeight="1">
      <c r="A1252" s="10" t="s">
        <v>2625</v>
      </c>
      <c r="B1252" s="10" t="s">
        <v>2626</v>
      </c>
      <c r="C1252" s="11">
        <v>0.0</v>
      </c>
      <c r="D1252" s="11">
        <v>20.0</v>
      </c>
      <c r="E1252" s="11">
        <v>208.0</v>
      </c>
      <c r="F1252" s="11">
        <v>0.0</v>
      </c>
      <c r="G1252" s="11">
        <v>0.0</v>
      </c>
      <c r="H1252" s="11">
        <v>0.0</v>
      </c>
      <c r="I1252" s="11">
        <v>85.3</v>
      </c>
      <c r="J1252" s="11">
        <v>52.0</v>
      </c>
      <c r="K1252" s="11">
        <f t="shared" si="1"/>
        <v>365.3</v>
      </c>
      <c r="L1252" s="11">
        <f t="shared" si="2"/>
        <v>34.325</v>
      </c>
    </row>
    <row r="1253" ht="15.75" customHeight="1">
      <c r="A1253" s="10" t="s">
        <v>2629</v>
      </c>
      <c r="B1253" s="10" t="s">
        <v>2630</v>
      </c>
      <c r="C1253" s="11">
        <v>443.4</v>
      </c>
      <c r="D1253" s="11">
        <v>400.9</v>
      </c>
      <c r="E1253" s="11">
        <v>135.6</v>
      </c>
      <c r="F1253" s="11">
        <v>495.0</v>
      </c>
      <c r="G1253" s="11">
        <v>0.0</v>
      </c>
      <c r="H1253" s="11">
        <v>0.0</v>
      </c>
      <c r="I1253" s="11">
        <v>79.7</v>
      </c>
      <c r="J1253" s="11">
        <v>0.0</v>
      </c>
      <c r="K1253" s="11">
        <f t="shared" si="1"/>
        <v>1554.6</v>
      </c>
      <c r="L1253" s="11">
        <f t="shared" si="2"/>
        <v>19.925</v>
      </c>
    </row>
    <row r="1254" ht="15.75" customHeight="1">
      <c r="A1254" s="10" t="s">
        <v>2631</v>
      </c>
      <c r="B1254" s="10" t="s">
        <v>2632</v>
      </c>
      <c r="C1254" s="11">
        <v>20.0</v>
      </c>
      <c r="D1254" s="11">
        <v>0.0</v>
      </c>
      <c r="E1254" s="11">
        <v>20.0</v>
      </c>
      <c r="F1254" s="11">
        <v>19.0</v>
      </c>
      <c r="G1254" s="11">
        <v>60.6</v>
      </c>
      <c r="H1254" s="11">
        <v>0.0</v>
      </c>
      <c r="I1254" s="11">
        <v>0.0</v>
      </c>
      <c r="J1254" s="11">
        <v>0.0</v>
      </c>
      <c r="K1254" s="11">
        <f t="shared" si="1"/>
        <v>119.6</v>
      </c>
      <c r="L1254" s="11">
        <f t="shared" si="2"/>
        <v>15.15</v>
      </c>
    </row>
    <row r="1255" ht="15.75" customHeight="1">
      <c r="A1255" s="10" t="s">
        <v>2633</v>
      </c>
      <c r="B1255" s="10" t="s">
        <v>2634</v>
      </c>
      <c r="C1255" s="11">
        <v>2000.0</v>
      </c>
      <c r="D1255" s="11">
        <v>4000.0</v>
      </c>
      <c r="E1255" s="11">
        <v>0.0</v>
      </c>
      <c r="F1255" s="11">
        <v>0.0</v>
      </c>
      <c r="G1255" s="11">
        <v>0.0</v>
      </c>
      <c r="H1255" s="11">
        <v>0.0</v>
      </c>
      <c r="I1255" s="11">
        <v>0.0</v>
      </c>
      <c r="J1255" s="11">
        <v>0.0</v>
      </c>
      <c r="K1255" s="11">
        <f t="shared" si="1"/>
        <v>6000</v>
      </c>
      <c r="L1255" s="11">
        <f t="shared" si="2"/>
        <v>0</v>
      </c>
    </row>
    <row r="1256" ht="15.75" customHeight="1">
      <c r="A1256" s="10" t="s">
        <v>2635</v>
      </c>
      <c r="B1256" s="10" t="s">
        <v>2636</v>
      </c>
      <c r="C1256" s="11">
        <v>40.0</v>
      </c>
      <c r="D1256" s="11">
        <v>0.0</v>
      </c>
      <c r="E1256" s="11">
        <v>40.0</v>
      </c>
      <c r="F1256" s="11">
        <v>0.0</v>
      </c>
      <c r="G1256" s="11">
        <v>0.0</v>
      </c>
      <c r="H1256" s="11">
        <v>0.0</v>
      </c>
      <c r="I1256" s="11">
        <v>115.0</v>
      </c>
      <c r="J1256" s="11">
        <v>73.0</v>
      </c>
      <c r="K1256" s="11">
        <f t="shared" si="1"/>
        <v>268</v>
      </c>
      <c r="L1256" s="11">
        <f t="shared" si="2"/>
        <v>47</v>
      </c>
    </row>
    <row r="1257" ht="15.75" customHeight="1">
      <c r="A1257" s="10" t="s">
        <v>2637</v>
      </c>
      <c r="B1257" s="10" t="s">
        <v>2638</v>
      </c>
      <c r="C1257" s="11">
        <v>40.0</v>
      </c>
      <c r="D1257" s="11">
        <v>0.0</v>
      </c>
      <c r="E1257" s="11">
        <v>0.0</v>
      </c>
      <c r="F1257" s="11">
        <v>40.0</v>
      </c>
      <c r="G1257" s="11">
        <v>0.0</v>
      </c>
      <c r="H1257" s="11">
        <v>30.0</v>
      </c>
      <c r="I1257" s="11">
        <v>80.0</v>
      </c>
      <c r="J1257" s="11">
        <v>120.0</v>
      </c>
      <c r="K1257" s="11">
        <f t="shared" si="1"/>
        <v>310</v>
      </c>
      <c r="L1257" s="11">
        <f t="shared" si="2"/>
        <v>57.5</v>
      </c>
    </row>
    <row r="1258" ht="15.75" customHeight="1">
      <c r="A1258" s="10" t="s">
        <v>2639</v>
      </c>
      <c r="B1258" s="10" t="s">
        <v>2640</v>
      </c>
      <c r="C1258" s="11">
        <v>0.0</v>
      </c>
      <c r="D1258" s="11">
        <v>0.0</v>
      </c>
      <c r="E1258" s="11">
        <v>0.0</v>
      </c>
      <c r="F1258" s="11">
        <v>0.0</v>
      </c>
      <c r="G1258" s="11">
        <v>0.0</v>
      </c>
      <c r="H1258" s="11">
        <v>0.0</v>
      </c>
      <c r="I1258" s="11">
        <v>0.0</v>
      </c>
      <c r="J1258" s="11">
        <v>0.0</v>
      </c>
      <c r="K1258" s="11">
        <f t="shared" si="1"/>
        <v>0</v>
      </c>
      <c r="L1258" s="11">
        <f t="shared" si="2"/>
        <v>0</v>
      </c>
    </row>
    <row r="1259" ht="15.75" customHeight="1">
      <c r="A1259" s="10" t="s">
        <v>2641</v>
      </c>
      <c r="B1259" s="10" t="s">
        <v>2642</v>
      </c>
      <c r="C1259" s="11">
        <v>450.0</v>
      </c>
      <c r="D1259" s="11">
        <v>250.0</v>
      </c>
      <c r="E1259" s="11">
        <v>50.0</v>
      </c>
      <c r="F1259" s="11">
        <v>671.0</v>
      </c>
      <c r="G1259" s="11">
        <v>150.0</v>
      </c>
      <c r="H1259" s="11">
        <v>150.0</v>
      </c>
      <c r="I1259" s="11">
        <v>0.0</v>
      </c>
      <c r="J1259" s="11">
        <v>0.0</v>
      </c>
      <c r="K1259" s="11">
        <f t="shared" si="1"/>
        <v>1721</v>
      </c>
      <c r="L1259" s="11">
        <f t="shared" si="2"/>
        <v>75</v>
      </c>
    </row>
    <row r="1260" ht="15.75" customHeight="1">
      <c r="A1260" s="10" t="s">
        <v>2643</v>
      </c>
      <c r="B1260" s="10" t="s">
        <v>2644</v>
      </c>
      <c r="C1260" s="11">
        <v>804.0</v>
      </c>
      <c r="D1260" s="11">
        <v>0.0</v>
      </c>
      <c r="E1260" s="11">
        <v>1500.0</v>
      </c>
      <c r="F1260" s="11">
        <v>2950.0</v>
      </c>
      <c r="G1260" s="11">
        <v>1408.0</v>
      </c>
      <c r="H1260" s="11">
        <v>3400.0</v>
      </c>
      <c r="I1260" s="11">
        <v>4900.0</v>
      </c>
      <c r="J1260" s="11">
        <v>2200.0</v>
      </c>
      <c r="K1260" s="11">
        <f t="shared" si="1"/>
        <v>17162</v>
      </c>
      <c r="L1260" s="11">
        <f t="shared" si="2"/>
        <v>2977</v>
      </c>
    </row>
    <row r="1261" ht="15.75" customHeight="1">
      <c r="A1261" s="10" t="s">
        <v>2645</v>
      </c>
      <c r="B1261" s="10" t="s">
        <v>2646</v>
      </c>
      <c r="C1261" s="11">
        <v>0.0</v>
      </c>
      <c r="D1261" s="11">
        <v>0.0</v>
      </c>
      <c r="E1261" s="11">
        <v>0.0</v>
      </c>
      <c r="F1261" s="11">
        <v>0.0</v>
      </c>
      <c r="G1261" s="11">
        <v>0.0</v>
      </c>
      <c r="H1261" s="11">
        <v>0.0</v>
      </c>
      <c r="I1261" s="11">
        <v>0.0</v>
      </c>
      <c r="J1261" s="11">
        <v>0.0</v>
      </c>
      <c r="K1261" s="11">
        <f t="shared" si="1"/>
        <v>0</v>
      </c>
      <c r="L1261" s="11">
        <f t="shared" si="2"/>
        <v>0</v>
      </c>
    </row>
    <row r="1262" ht="15.75" customHeight="1">
      <c r="A1262" s="10" t="s">
        <v>2647</v>
      </c>
      <c r="B1262" s="10" t="s">
        <v>2648</v>
      </c>
      <c r="C1262" s="11">
        <v>0.0</v>
      </c>
      <c r="D1262" s="11">
        <v>0.0</v>
      </c>
      <c r="E1262" s="11">
        <v>0.0</v>
      </c>
      <c r="F1262" s="11">
        <v>0.0</v>
      </c>
      <c r="G1262" s="11">
        <v>0.0</v>
      </c>
      <c r="H1262" s="11">
        <v>0.0</v>
      </c>
      <c r="I1262" s="11">
        <v>0.0</v>
      </c>
      <c r="J1262" s="11">
        <v>0.0</v>
      </c>
      <c r="K1262" s="11">
        <f t="shared" si="1"/>
        <v>0</v>
      </c>
      <c r="L1262" s="11">
        <f t="shared" si="2"/>
        <v>0</v>
      </c>
    </row>
    <row r="1263" ht="15.75" customHeight="1">
      <c r="A1263" s="10" t="s">
        <v>2649</v>
      </c>
      <c r="B1263" s="10" t="s">
        <v>2650</v>
      </c>
      <c r="C1263" s="11">
        <v>0.0</v>
      </c>
      <c r="D1263" s="11">
        <v>0.0</v>
      </c>
      <c r="E1263" s="11">
        <v>355.0</v>
      </c>
      <c r="F1263" s="11">
        <v>0.0</v>
      </c>
      <c r="G1263" s="11">
        <v>0.0</v>
      </c>
      <c r="H1263" s="11">
        <v>0.0</v>
      </c>
      <c r="I1263" s="11">
        <v>0.0</v>
      </c>
      <c r="J1263" s="11">
        <v>0.0</v>
      </c>
      <c r="K1263" s="11">
        <f t="shared" si="1"/>
        <v>355</v>
      </c>
      <c r="L1263" s="11">
        <f t="shared" si="2"/>
        <v>0</v>
      </c>
    </row>
    <row r="1264" ht="15.75" customHeight="1">
      <c r="A1264" s="10" t="s">
        <v>2651</v>
      </c>
      <c r="B1264" s="10" t="s">
        <v>2652</v>
      </c>
      <c r="C1264" s="11">
        <v>0.0</v>
      </c>
      <c r="D1264" s="11">
        <v>0.0</v>
      </c>
      <c r="E1264" s="11">
        <v>0.0</v>
      </c>
      <c r="F1264" s="11">
        <v>0.0</v>
      </c>
      <c r="G1264" s="11">
        <v>0.0</v>
      </c>
      <c r="H1264" s="11">
        <v>0.0</v>
      </c>
      <c r="I1264" s="11">
        <v>0.0</v>
      </c>
      <c r="J1264" s="11">
        <v>0.0</v>
      </c>
      <c r="K1264" s="11">
        <f t="shared" si="1"/>
        <v>0</v>
      </c>
      <c r="L1264" s="11">
        <f t="shared" si="2"/>
        <v>0</v>
      </c>
    </row>
    <row r="1265" ht="15.75" customHeight="1">
      <c r="A1265" s="10" t="s">
        <v>2653</v>
      </c>
      <c r="B1265" s="10" t="s">
        <v>2654</v>
      </c>
      <c r="C1265" s="11">
        <v>0.0</v>
      </c>
      <c r="D1265" s="11">
        <v>0.0</v>
      </c>
      <c r="E1265" s="11">
        <v>0.0</v>
      </c>
      <c r="F1265" s="11">
        <v>0.0</v>
      </c>
      <c r="G1265" s="11">
        <v>0.0</v>
      </c>
      <c r="H1265" s="11">
        <v>0.0</v>
      </c>
      <c r="I1265" s="11">
        <v>0.0</v>
      </c>
      <c r="J1265" s="11">
        <v>0.0</v>
      </c>
      <c r="K1265" s="11">
        <f t="shared" si="1"/>
        <v>0</v>
      </c>
      <c r="L1265" s="11">
        <f t="shared" si="2"/>
        <v>0</v>
      </c>
    </row>
    <row r="1266" ht="15.75" customHeight="1">
      <c r="A1266" s="10" t="s">
        <v>2655</v>
      </c>
      <c r="B1266" s="10" t="s">
        <v>2656</v>
      </c>
      <c r="C1266" s="11">
        <v>0.0</v>
      </c>
      <c r="D1266" s="11">
        <v>0.0</v>
      </c>
      <c r="E1266" s="11">
        <v>0.0</v>
      </c>
      <c r="F1266" s="11">
        <v>0.0</v>
      </c>
      <c r="G1266" s="11">
        <v>0.0</v>
      </c>
      <c r="H1266" s="11">
        <v>0.0</v>
      </c>
      <c r="I1266" s="11">
        <v>1.0</v>
      </c>
      <c r="J1266" s="11">
        <v>0.0</v>
      </c>
      <c r="K1266" s="11">
        <f t="shared" si="1"/>
        <v>1</v>
      </c>
      <c r="L1266" s="11">
        <f t="shared" si="2"/>
        <v>0.25</v>
      </c>
    </row>
    <row r="1267" ht="15.75" customHeight="1">
      <c r="A1267" s="10" t="s">
        <v>2657</v>
      </c>
      <c r="B1267" s="10" t="s">
        <v>2658</v>
      </c>
      <c r="C1267" s="11">
        <v>0.0</v>
      </c>
      <c r="D1267" s="11">
        <v>0.0</v>
      </c>
      <c r="E1267" s="11">
        <v>0.0</v>
      </c>
      <c r="F1267" s="11">
        <v>0.0</v>
      </c>
      <c r="G1267" s="11">
        <v>0.0</v>
      </c>
      <c r="H1267" s="11">
        <v>0.0</v>
      </c>
      <c r="I1267" s="11">
        <v>0.0</v>
      </c>
      <c r="J1267" s="11">
        <v>0.0</v>
      </c>
      <c r="K1267" s="11">
        <f t="shared" si="1"/>
        <v>0</v>
      </c>
      <c r="L1267" s="11">
        <f t="shared" si="2"/>
        <v>0</v>
      </c>
    </row>
    <row r="1268" ht="15.75" customHeight="1">
      <c r="A1268" s="10" t="s">
        <v>2659</v>
      </c>
      <c r="B1268" s="10" t="s">
        <v>2660</v>
      </c>
      <c r="C1268" s="11">
        <v>0.0</v>
      </c>
      <c r="D1268" s="11">
        <v>0.0</v>
      </c>
      <c r="E1268" s="11">
        <v>0.0</v>
      </c>
      <c r="F1268" s="11">
        <v>0.0</v>
      </c>
      <c r="G1268" s="11">
        <v>0.0</v>
      </c>
      <c r="H1268" s="11">
        <v>0.0</v>
      </c>
      <c r="I1268" s="11">
        <v>0.0</v>
      </c>
      <c r="J1268" s="11">
        <v>0.0</v>
      </c>
      <c r="K1268" s="11">
        <f t="shared" si="1"/>
        <v>0</v>
      </c>
      <c r="L1268" s="11">
        <f t="shared" si="2"/>
        <v>0</v>
      </c>
    </row>
    <row r="1269" ht="15.75" customHeight="1">
      <c r="A1269" s="10" t="s">
        <v>2661</v>
      </c>
      <c r="B1269" s="10" t="s">
        <v>2662</v>
      </c>
      <c r="C1269" s="11">
        <v>0.0</v>
      </c>
      <c r="D1269" s="11">
        <v>0.0</v>
      </c>
      <c r="E1269" s="11">
        <v>0.0</v>
      </c>
      <c r="F1269" s="11">
        <v>0.0</v>
      </c>
      <c r="G1269" s="11">
        <v>0.0</v>
      </c>
      <c r="H1269" s="11">
        <v>0.0</v>
      </c>
      <c r="I1269" s="11">
        <v>0.0</v>
      </c>
      <c r="J1269" s="11">
        <v>0.0</v>
      </c>
      <c r="K1269" s="11">
        <f t="shared" si="1"/>
        <v>0</v>
      </c>
      <c r="L1269" s="11">
        <f t="shared" si="2"/>
        <v>0</v>
      </c>
    </row>
    <row r="1270" ht="15.75" customHeight="1">
      <c r="A1270" s="10" t="s">
        <v>2663</v>
      </c>
      <c r="B1270" s="10" t="s">
        <v>2664</v>
      </c>
      <c r="C1270" s="11">
        <v>0.0</v>
      </c>
      <c r="D1270" s="11">
        <v>0.0</v>
      </c>
      <c r="E1270" s="11">
        <v>0.0</v>
      </c>
      <c r="F1270" s="11">
        <v>0.0</v>
      </c>
      <c r="G1270" s="11">
        <v>0.0</v>
      </c>
      <c r="H1270" s="11">
        <v>0.0</v>
      </c>
      <c r="I1270" s="11">
        <v>0.0</v>
      </c>
      <c r="J1270" s="11">
        <v>0.0</v>
      </c>
      <c r="K1270" s="11">
        <f t="shared" si="1"/>
        <v>0</v>
      </c>
      <c r="L1270" s="11">
        <f t="shared" si="2"/>
        <v>0</v>
      </c>
    </row>
    <row r="1271" ht="15.75" customHeight="1">
      <c r="A1271" s="10" t="s">
        <v>2665</v>
      </c>
      <c r="B1271" s="10" t="s">
        <v>2666</v>
      </c>
      <c r="C1271" s="11">
        <v>0.0</v>
      </c>
      <c r="D1271" s="11">
        <v>0.0</v>
      </c>
      <c r="E1271" s="11">
        <v>0.0</v>
      </c>
      <c r="F1271" s="11">
        <v>0.0</v>
      </c>
      <c r="G1271" s="11">
        <v>0.0</v>
      </c>
      <c r="H1271" s="11">
        <v>0.0</v>
      </c>
      <c r="I1271" s="11">
        <v>0.0</v>
      </c>
      <c r="J1271" s="11">
        <v>0.0</v>
      </c>
      <c r="K1271" s="11">
        <f t="shared" si="1"/>
        <v>0</v>
      </c>
      <c r="L1271" s="11">
        <f t="shared" si="2"/>
        <v>0</v>
      </c>
    </row>
    <row r="1272" ht="15.75" customHeight="1">
      <c r="A1272" s="10" t="s">
        <v>2667</v>
      </c>
      <c r="B1272" s="10" t="s">
        <v>2668</v>
      </c>
      <c r="C1272" s="11">
        <v>0.0</v>
      </c>
      <c r="D1272" s="11">
        <v>0.0</v>
      </c>
      <c r="E1272" s="11">
        <v>0.0</v>
      </c>
      <c r="F1272" s="11">
        <v>0.0</v>
      </c>
      <c r="G1272" s="11">
        <v>0.0</v>
      </c>
      <c r="H1272" s="11">
        <v>0.0</v>
      </c>
      <c r="I1272" s="11">
        <v>0.0</v>
      </c>
      <c r="J1272" s="11">
        <v>0.0</v>
      </c>
      <c r="K1272" s="11">
        <f t="shared" si="1"/>
        <v>0</v>
      </c>
      <c r="L1272" s="11">
        <f t="shared" si="2"/>
        <v>0</v>
      </c>
    </row>
    <row r="1273" ht="15.75" customHeight="1">
      <c r="A1273" s="10" t="s">
        <v>2669</v>
      </c>
      <c r="B1273" s="10" t="s">
        <v>2670</v>
      </c>
      <c r="C1273" s="11">
        <v>0.0</v>
      </c>
      <c r="D1273" s="11">
        <v>0.0</v>
      </c>
      <c r="E1273" s="11">
        <v>0.0</v>
      </c>
      <c r="F1273" s="11">
        <v>0.0</v>
      </c>
      <c r="G1273" s="11">
        <v>0.0</v>
      </c>
      <c r="H1273" s="11">
        <v>0.0</v>
      </c>
      <c r="I1273" s="11">
        <v>0.0</v>
      </c>
      <c r="J1273" s="11">
        <v>0.0</v>
      </c>
      <c r="K1273" s="11">
        <f t="shared" si="1"/>
        <v>0</v>
      </c>
      <c r="L1273" s="11">
        <f t="shared" si="2"/>
        <v>0</v>
      </c>
    </row>
    <row r="1274" ht="15.75" customHeight="1">
      <c r="A1274" s="10" t="s">
        <v>2671</v>
      </c>
      <c r="B1274" s="10" t="s">
        <v>2672</v>
      </c>
      <c r="C1274" s="11">
        <v>0.0</v>
      </c>
      <c r="D1274" s="11">
        <v>0.0</v>
      </c>
      <c r="E1274" s="11">
        <v>0.0</v>
      </c>
      <c r="F1274" s="11">
        <v>0.0</v>
      </c>
      <c r="G1274" s="11">
        <v>0.0</v>
      </c>
      <c r="H1274" s="11">
        <v>0.0</v>
      </c>
      <c r="I1274" s="11">
        <v>0.0</v>
      </c>
      <c r="J1274" s="11">
        <v>0.0</v>
      </c>
      <c r="K1274" s="11">
        <f t="shared" si="1"/>
        <v>0</v>
      </c>
      <c r="L1274" s="11">
        <f t="shared" si="2"/>
        <v>0</v>
      </c>
    </row>
    <row r="1275" ht="15.75" customHeight="1">
      <c r="A1275" s="10" t="s">
        <v>2673</v>
      </c>
      <c r="B1275" s="10" t="s">
        <v>2674</v>
      </c>
      <c r="C1275" s="11">
        <v>0.0</v>
      </c>
      <c r="D1275" s="11">
        <v>0.0</v>
      </c>
      <c r="E1275" s="11">
        <v>0.0</v>
      </c>
      <c r="F1275" s="11">
        <v>0.0</v>
      </c>
      <c r="G1275" s="11">
        <v>0.0</v>
      </c>
      <c r="H1275" s="11">
        <v>0.0</v>
      </c>
      <c r="I1275" s="11">
        <v>0.0</v>
      </c>
      <c r="J1275" s="11">
        <v>0.0</v>
      </c>
      <c r="K1275" s="11">
        <f t="shared" si="1"/>
        <v>0</v>
      </c>
      <c r="L1275" s="11">
        <f t="shared" si="2"/>
        <v>0</v>
      </c>
    </row>
    <row r="1276" ht="15.75" customHeight="1">
      <c r="A1276" s="10" t="s">
        <v>2675</v>
      </c>
      <c r="B1276" s="10" t="s">
        <v>2676</v>
      </c>
      <c r="C1276" s="11">
        <v>0.0</v>
      </c>
      <c r="D1276" s="11">
        <v>0.0</v>
      </c>
      <c r="E1276" s="11">
        <v>0.0</v>
      </c>
      <c r="F1276" s="11">
        <v>0.0</v>
      </c>
      <c r="G1276" s="11">
        <v>0.0</v>
      </c>
      <c r="H1276" s="11">
        <v>0.0</v>
      </c>
      <c r="I1276" s="11">
        <v>0.0</v>
      </c>
      <c r="J1276" s="11">
        <v>0.0</v>
      </c>
      <c r="K1276" s="11">
        <f t="shared" si="1"/>
        <v>0</v>
      </c>
      <c r="L1276" s="11">
        <f t="shared" si="2"/>
        <v>0</v>
      </c>
    </row>
    <row r="1277" ht="15.75" customHeight="1">
      <c r="A1277" s="10" t="s">
        <v>2677</v>
      </c>
      <c r="B1277" s="10" t="s">
        <v>2678</v>
      </c>
      <c r="C1277" s="11">
        <v>0.0</v>
      </c>
      <c r="D1277" s="11">
        <v>0.0</v>
      </c>
      <c r="E1277" s="11">
        <v>0.0</v>
      </c>
      <c r="F1277" s="11">
        <v>0.0</v>
      </c>
      <c r="G1277" s="11">
        <v>0.0</v>
      </c>
      <c r="H1277" s="11">
        <v>0.0</v>
      </c>
      <c r="I1277" s="11">
        <v>0.0</v>
      </c>
      <c r="J1277" s="11">
        <v>0.0</v>
      </c>
      <c r="K1277" s="11">
        <f t="shared" si="1"/>
        <v>0</v>
      </c>
      <c r="L1277" s="11">
        <f t="shared" si="2"/>
        <v>0</v>
      </c>
    </row>
    <row r="1278" ht="15.75" customHeight="1">
      <c r="A1278" s="10" t="s">
        <v>2679</v>
      </c>
      <c r="B1278" s="10" t="s">
        <v>2680</v>
      </c>
      <c r="C1278" s="11">
        <v>0.0</v>
      </c>
      <c r="D1278" s="11">
        <v>0.0</v>
      </c>
      <c r="E1278" s="11">
        <v>0.0</v>
      </c>
      <c r="F1278" s="11">
        <v>0.0</v>
      </c>
      <c r="G1278" s="11">
        <v>0.0</v>
      </c>
      <c r="H1278" s="11">
        <v>0.0</v>
      </c>
      <c r="I1278" s="11">
        <v>0.0</v>
      </c>
      <c r="J1278" s="11">
        <v>0.0</v>
      </c>
      <c r="K1278" s="11">
        <f t="shared" si="1"/>
        <v>0</v>
      </c>
      <c r="L1278" s="11">
        <f t="shared" si="2"/>
        <v>0</v>
      </c>
    </row>
    <row r="1279" ht="15.75" customHeight="1">
      <c r="A1279" s="10" t="s">
        <v>2681</v>
      </c>
      <c r="B1279" s="10" t="s">
        <v>2682</v>
      </c>
      <c r="C1279" s="11">
        <v>0.0</v>
      </c>
      <c r="D1279" s="11">
        <v>0.0</v>
      </c>
      <c r="E1279" s="11">
        <v>0.0</v>
      </c>
      <c r="F1279" s="11">
        <v>0.0</v>
      </c>
      <c r="G1279" s="11">
        <v>0.0</v>
      </c>
      <c r="H1279" s="11">
        <v>0.0</v>
      </c>
      <c r="I1279" s="11">
        <v>39.5</v>
      </c>
      <c r="J1279" s="11">
        <v>464.5</v>
      </c>
      <c r="K1279" s="11">
        <f t="shared" si="1"/>
        <v>504</v>
      </c>
      <c r="L1279" s="11">
        <f t="shared" si="2"/>
        <v>126</v>
      </c>
    </row>
    <row r="1280" ht="15.75" customHeight="1">
      <c r="A1280" s="10" t="s">
        <v>2683</v>
      </c>
      <c r="B1280" s="10" t="s">
        <v>2684</v>
      </c>
      <c r="C1280" s="11">
        <v>0.0</v>
      </c>
      <c r="D1280" s="11">
        <v>0.0</v>
      </c>
      <c r="E1280" s="11">
        <v>0.0</v>
      </c>
      <c r="F1280" s="11">
        <v>0.0</v>
      </c>
      <c r="G1280" s="11">
        <v>0.0</v>
      </c>
      <c r="H1280" s="11">
        <v>0.0</v>
      </c>
      <c r="I1280" s="11">
        <v>0.0</v>
      </c>
      <c r="J1280" s="11">
        <v>0.0</v>
      </c>
      <c r="K1280" s="11">
        <f t="shared" si="1"/>
        <v>0</v>
      </c>
      <c r="L1280" s="11">
        <f t="shared" si="2"/>
        <v>0</v>
      </c>
    </row>
    <row r="1281" ht="15.75" customHeight="1">
      <c r="A1281" s="10" t="s">
        <v>2685</v>
      </c>
      <c r="B1281" s="10" t="s">
        <v>2686</v>
      </c>
      <c r="C1281" s="11">
        <v>0.0</v>
      </c>
      <c r="D1281" s="11">
        <v>0.0</v>
      </c>
      <c r="E1281" s="11">
        <v>0.0</v>
      </c>
      <c r="F1281" s="11">
        <v>0.0</v>
      </c>
      <c r="G1281" s="11">
        <v>0.0</v>
      </c>
      <c r="H1281" s="11">
        <v>0.0</v>
      </c>
      <c r="I1281" s="11">
        <v>0.0</v>
      </c>
      <c r="J1281" s="11">
        <v>0.0</v>
      </c>
      <c r="K1281" s="11">
        <f t="shared" si="1"/>
        <v>0</v>
      </c>
      <c r="L1281" s="11">
        <f t="shared" si="2"/>
        <v>0</v>
      </c>
    </row>
    <row r="1282" ht="15.75" customHeight="1">
      <c r="A1282" s="10" t="s">
        <v>2687</v>
      </c>
      <c r="B1282" s="10" t="s">
        <v>2688</v>
      </c>
      <c r="C1282" s="11">
        <v>0.0</v>
      </c>
      <c r="D1282" s="11">
        <v>0.0</v>
      </c>
      <c r="E1282" s="11">
        <v>0.0</v>
      </c>
      <c r="F1282" s="11">
        <v>0.0</v>
      </c>
      <c r="G1282" s="11">
        <v>0.0</v>
      </c>
      <c r="H1282" s="11">
        <v>0.0</v>
      </c>
      <c r="I1282" s="11">
        <v>0.0</v>
      </c>
      <c r="J1282" s="11">
        <v>0.0</v>
      </c>
      <c r="K1282" s="11">
        <f t="shared" si="1"/>
        <v>0</v>
      </c>
      <c r="L1282" s="11">
        <f t="shared" si="2"/>
        <v>0</v>
      </c>
    </row>
    <row r="1283" ht="15.75" customHeight="1">
      <c r="A1283" s="10" t="s">
        <v>2690</v>
      </c>
      <c r="B1283" s="10" t="s">
        <v>2691</v>
      </c>
      <c r="C1283" s="11">
        <v>0.0</v>
      </c>
      <c r="D1283" s="11">
        <v>0.0</v>
      </c>
      <c r="E1283" s="11">
        <v>0.0</v>
      </c>
      <c r="F1283" s="11">
        <v>0.0</v>
      </c>
      <c r="G1283" s="11">
        <v>0.0</v>
      </c>
      <c r="H1283" s="11">
        <v>0.0</v>
      </c>
      <c r="I1283" s="11">
        <v>0.0</v>
      </c>
      <c r="J1283" s="11">
        <v>0.0</v>
      </c>
      <c r="K1283" s="11">
        <f t="shared" si="1"/>
        <v>0</v>
      </c>
      <c r="L1283" s="11">
        <f t="shared" si="2"/>
        <v>0</v>
      </c>
    </row>
    <row r="1284" ht="15.75" customHeight="1">
      <c r="A1284" s="10" t="s">
        <v>2693</v>
      </c>
      <c r="B1284" s="10" t="s">
        <v>2694</v>
      </c>
      <c r="C1284" s="11">
        <v>0.0</v>
      </c>
      <c r="D1284" s="11">
        <v>0.0</v>
      </c>
      <c r="E1284" s="11">
        <v>0.0</v>
      </c>
      <c r="F1284" s="11">
        <v>0.0</v>
      </c>
      <c r="G1284" s="11">
        <v>0.0</v>
      </c>
      <c r="H1284" s="11">
        <v>0.0</v>
      </c>
      <c r="I1284" s="11">
        <v>0.0</v>
      </c>
      <c r="J1284" s="11">
        <v>0.0</v>
      </c>
      <c r="K1284" s="11">
        <f t="shared" si="1"/>
        <v>0</v>
      </c>
      <c r="L1284" s="11">
        <f t="shared" si="2"/>
        <v>0</v>
      </c>
    </row>
    <row r="1285" ht="15.75" customHeight="1">
      <c r="A1285" s="10" t="s">
        <v>2695</v>
      </c>
      <c r="B1285" s="10" t="s">
        <v>2696</v>
      </c>
      <c r="C1285" s="11">
        <v>0.0</v>
      </c>
      <c r="D1285" s="11">
        <v>0.0</v>
      </c>
      <c r="E1285" s="11">
        <v>0.0</v>
      </c>
      <c r="F1285" s="11">
        <v>0.0</v>
      </c>
      <c r="G1285" s="11">
        <v>0.0</v>
      </c>
      <c r="H1285" s="11">
        <v>0.0</v>
      </c>
      <c r="I1285" s="11">
        <v>0.0</v>
      </c>
      <c r="J1285" s="11">
        <v>0.0</v>
      </c>
      <c r="K1285" s="11">
        <f t="shared" si="1"/>
        <v>0</v>
      </c>
      <c r="L1285" s="11">
        <f t="shared" si="2"/>
        <v>0</v>
      </c>
    </row>
    <row r="1286" ht="15.75" customHeight="1">
      <c r="A1286" s="10" t="s">
        <v>2697</v>
      </c>
      <c r="B1286" s="10" t="s">
        <v>2698</v>
      </c>
      <c r="C1286" s="11">
        <v>0.0</v>
      </c>
      <c r="D1286" s="11">
        <v>0.0</v>
      </c>
      <c r="E1286" s="11">
        <v>0.0</v>
      </c>
      <c r="F1286" s="11">
        <v>0.0</v>
      </c>
      <c r="G1286" s="11">
        <v>0.0</v>
      </c>
      <c r="H1286" s="11">
        <v>0.0</v>
      </c>
      <c r="I1286" s="11">
        <v>0.0</v>
      </c>
      <c r="J1286" s="11">
        <v>0.0</v>
      </c>
      <c r="K1286" s="11">
        <f t="shared" si="1"/>
        <v>0</v>
      </c>
      <c r="L1286" s="11">
        <f t="shared" si="2"/>
        <v>0</v>
      </c>
    </row>
    <row r="1287" ht="15.75" customHeight="1">
      <c r="A1287" s="10" t="s">
        <v>2699</v>
      </c>
      <c r="B1287" s="10" t="s">
        <v>2700</v>
      </c>
      <c r="C1287" s="11">
        <v>0.0</v>
      </c>
      <c r="D1287" s="11">
        <v>0.0</v>
      </c>
      <c r="E1287" s="11">
        <v>0.0</v>
      </c>
      <c r="F1287" s="11">
        <v>0.0</v>
      </c>
      <c r="G1287" s="11">
        <v>0.0</v>
      </c>
      <c r="H1287" s="11">
        <v>0.0</v>
      </c>
      <c r="I1287" s="11">
        <v>0.0</v>
      </c>
      <c r="J1287" s="11">
        <v>0.0</v>
      </c>
      <c r="K1287" s="11">
        <f t="shared" si="1"/>
        <v>0</v>
      </c>
      <c r="L1287" s="11">
        <f t="shared" si="2"/>
        <v>0</v>
      </c>
    </row>
    <row r="1288" ht="15.75" customHeight="1">
      <c r="A1288" s="10" t="s">
        <v>2701</v>
      </c>
      <c r="B1288" s="10" t="s">
        <v>2702</v>
      </c>
      <c r="C1288" s="11">
        <v>0.0</v>
      </c>
      <c r="D1288" s="11">
        <v>0.0</v>
      </c>
      <c r="E1288" s="11">
        <v>0.0</v>
      </c>
      <c r="F1288" s="11">
        <v>0.0</v>
      </c>
      <c r="G1288" s="11">
        <v>0.0</v>
      </c>
      <c r="H1288" s="11">
        <v>0.0</v>
      </c>
      <c r="I1288" s="11">
        <v>0.0</v>
      </c>
      <c r="J1288" s="11">
        <v>0.0</v>
      </c>
      <c r="K1288" s="11">
        <f t="shared" si="1"/>
        <v>0</v>
      </c>
      <c r="L1288" s="11">
        <f t="shared" si="2"/>
        <v>0</v>
      </c>
    </row>
    <row r="1289" ht="15.75" customHeight="1">
      <c r="A1289" s="10" t="s">
        <v>2703</v>
      </c>
      <c r="B1289" s="10" t="s">
        <v>2704</v>
      </c>
      <c r="C1289" s="11">
        <v>0.0</v>
      </c>
      <c r="D1289" s="11">
        <v>0.0</v>
      </c>
      <c r="E1289" s="11">
        <v>0.0</v>
      </c>
      <c r="F1289" s="11">
        <v>0.0</v>
      </c>
      <c r="G1289" s="11">
        <v>0.0</v>
      </c>
      <c r="H1289" s="11">
        <v>0.0</v>
      </c>
      <c r="I1289" s="11">
        <v>0.0</v>
      </c>
      <c r="J1289" s="11">
        <v>0.0</v>
      </c>
      <c r="K1289" s="11">
        <f t="shared" si="1"/>
        <v>0</v>
      </c>
      <c r="L1289" s="11">
        <f t="shared" si="2"/>
        <v>0</v>
      </c>
    </row>
    <row r="1290" ht="15.75" customHeight="1">
      <c r="A1290" s="10" t="s">
        <v>2705</v>
      </c>
      <c r="B1290" s="10" t="s">
        <v>2706</v>
      </c>
      <c r="C1290" s="11">
        <v>0.0</v>
      </c>
      <c r="D1290" s="11">
        <v>0.0</v>
      </c>
      <c r="E1290" s="11">
        <v>0.0</v>
      </c>
      <c r="F1290" s="11">
        <v>0.0</v>
      </c>
      <c r="G1290" s="11">
        <v>0.0</v>
      </c>
      <c r="H1290" s="11">
        <v>0.0</v>
      </c>
      <c r="I1290" s="11">
        <v>0.0</v>
      </c>
      <c r="J1290" s="11">
        <v>0.0</v>
      </c>
      <c r="K1290" s="11">
        <f t="shared" si="1"/>
        <v>0</v>
      </c>
      <c r="L1290" s="11">
        <f t="shared" si="2"/>
        <v>0</v>
      </c>
    </row>
    <row r="1291" ht="15.75" customHeight="1">
      <c r="A1291" s="10" t="s">
        <v>2707</v>
      </c>
      <c r="B1291" s="10" t="s">
        <v>2708</v>
      </c>
      <c r="C1291" s="11">
        <v>0.0</v>
      </c>
      <c r="D1291" s="11">
        <v>0.0</v>
      </c>
      <c r="E1291" s="11">
        <v>0.0</v>
      </c>
      <c r="F1291" s="11">
        <v>0.0</v>
      </c>
      <c r="G1291" s="11">
        <v>0.0</v>
      </c>
      <c r="H1291" s="11">
        <v>0.0</v>
      </c>
      <c r="I1291" s="11">
        <v>0.0</v>
      </c>
      <c r="J1291" s="11">
        <v>0.0</v>
      </c>
      <c r="K1291" s="11">
        <f t="shared" si="1"/>
        <v>0</v>
      </c>
      <c r="L1291" s="11">
        <f t="shared" si="2"/>
        <v>0</v>
      </c>
    </row>
    <row r="1292" ht="15.75" customHeight="1">
      <c r="A1292" s="10" t="s">
        <v>2709</v>
      </c>
      <c r="B1292" s="10" t="s">
        <v>2710</v>
      </c>
      <c r="C1292" s="11">
        <v>0.0</v>
      </c>
      <c r="D1292" s="11">
        <v>0.0</v>
      </c>
      <c r="E1292" s="11">
        <v>0.0</v>
      </c>
      <c r="F1292" s="11">
        <v>0.0</v>
      </c>
      <c r="G1292" s="11">
        <v>0.0</v>
      </c>
      <c r="H1292" s="11">
        <v>0.0</v>
      </c>
      <c r="I1292" s="11">
        <v>0.0</v>
      </c>
      <c r="J1292" s="11">
        <v>0.0</v>
      </c>
      <c r="K1292" s="11">
        <f t="shared" si="1"/>
        <v>0</v>
      </c>
      <c r="L1292" s="11">
        <f t="shared" si="2"/>
        <v>0</v>
      </c>
    </row>
    <row r="1293" ht="15.75" customHeight="1">
      <c r="A1293" s="10" t="s">
        <v>2711</v>
      </c>
      <c r="B1293" s="10" t="s">
        <v>2712</v>
      </c>
      <c r="C1293" s="11">
        <v>743.5</v>
      </c>
      <c r="D1293" s="11">
        <v>746.0</v>
      </c>
      <c r="E1293" s="11">
        <v>571.0</v>
      </c>
      <c r="F1293" s="11">
        <v>52.0</v>
      </c>
      <c r="G1293" s="11">
        <v>0.0</v>
      </c>
      <c r="H1293" s="11">
        <v>25.0</v>
      </c>
      <c r="I1293" s="11">
        <v>0.0</v>
      </c>
      <c r="J1293" s="11">
        <v>0.0</v>
      </c>
      <c r="K1293" s="11">
        <f t="shared" si="1"/>
        <v>2137.5</v>
      </c>
      <c r="L1293" s="11">
        <f t="shared" si="2"/>
        <v>6.25</v>
      </c>
    </row>
    <row r="1294" ht="15.75" customHeight="1">
      <c r="A1294" s="10" t="s">
        <v>2713</v>
      </c>
      <c r="B1294" s="10" t="s">
        <v>2714</v>
      </c>
      <c r="C1294" s="11">
        <v>50.0</v>
      </c>
      <c r="D1294" s="11">
        <v>54.0</v>
      </c>
      <c r="E1294" s="11">
        <v>54.0</v>
      </c>
      <c r="F1294" s="11">
        <v>211.0</v>
      </c>
      <c r="G1294" s="11">
        <v>25.0</v>
      </c>
      <c r="H1294" s="11">
        <v>63.0</v>
      </c>
      <c r="I1294" s="11">
        <v>52.0</v>
      </c>
      <c r="J1294" s="11">
        <v>0.0</v>
      </c>
      <c r="K1294" s="11">
        <f t="shared" si="1"/>
        <v>509</v>
      </c>
      <c r="L1294" s="11">
        <f t="shared" si="2"/>
        <v>35</v>
      </c>
    </row>
    <row r="1295" ht="15.75" customHeight="1">
      <c r="A1295" s="10" t="s">
        <v>2715</v>
      </c>
      <c r="B1295" s="10" t="s">
        <v>2716</v>
      </c>
      <c r="C1295" s="11">
        <v>0.0</v>
      </c>
      <c r="D1295" s="11">
        <v>0.0</v>
      </c>
      <c r="E1295" s="11">
        <v>0.0</v>
      </c>
      <c r="F1295" s="11">
        <v>0.0</v>
      </c>
      <c r="G1295" s="11">
        <v>0.0</v>
      </c>
      <c r="H1295" s="11">
        <v>0.0</v>
      </c>
      <c r="I1295" s="11">
        <v>0.0</v>
      </c>
      <c r="J1295" s="11">
        <v>0.0</v>
      </c>
      <c r="K1295" s="11">
        <f t="shared" si="1"/>
        <v>0</v>
      </c>
      <c r="L1295" s="11">
        <f t="shared" si="2"/>
        <v>0</v>
      </c>
    </row>
    <row r="1296" ht="15.75" customHeight="1">
      <c r="A1296" s="10" t="s">
        <v>2717</v>
      </c>
      <c r="B1296" s="10" t="s">
        <v>2718</v>
      </c>
      <c r="C1296" s="11">
        <v>0.0</v>
      </c>
      <c r="D1296" s="11">
        <v>201.0</v>
      </c>
      <c r="E1296" s="11">
        <v>0.0</v>
      </c>
      <c r="F1296" s="11">
        <v>0.0</v>
      </c>
      <c r="G1296" s="11">
        <v>0.0</v>
      </c>
      <c r="H1296" s="11">
        <v>0.0</v>
      </c>
      <c r="I1296" s="11">
        <v>0.0</v>
      </c>
      <c r="J1296" s="11">
        <v>0.0</v>
      </c>
      <c r="K1296" s="11">
        <f t="shared" si="1"/>
        <v>201</v>
      </c>
      <c r="L1296" s="11">
        <f t="shared" si="2"/>
        <v>0</v>
      </c>
    </row>
    <row r="1297" ht="15.75" customHeight="1">
      <c r="A1297" s="10" t="s">
        <v>2719</v>
      </c>
      <c r="B1297" s="10" t="s">
        <v>2720</v>
      </c>
      <c r="C1297" s="11">
        <v>78.0</v>
      </c>
      <c r="D1297" s="11">
        <v>0.0</v>
      </c>
      <c r="E1297" s="11">
        <v>0.0</v>
      </c>
      <c r="F1297" s="11">
        <v>0.0</v>
      </c>
      <c r="G1297" s="11">
        <v>0.0</v>
      </c>
      <c r="H1297" s="11">
        <v>0.0</v>
      </c>
      <c r="I1297" s="11">
        <v>0.0</v>
      </c>
      <c r="J1297" s="11">
        <v>0.0</v>
      </c>
      <c r="K1297" s="11">
        <f t="shared" si="1"/>
        <v>78</v>
      </c>
      <c r="L1297" s="11">
        <f t="shared" si="2"/>
        <v>0</v>
      </c>
    </row>
    <row r="1298" ht="15.75" customHeight="1">
      <c r="A1298" s="10" t="s">
        <v>2721</v>
      </c>
      <c r="B1298" s="10" t="s">
        <v>2722</v>
      </c>
      <c r="C1298" s="11">
        <v>0.0</v>
      </c>
      <c r="D1298" s="11">
        <v>0.0</v>
      </c>
      <c r="E1298" s="11">
        <v>0.0</v>
      </c>
      <c r="F1298" s="11">
        <v>0.0</v>
      </c>
      <c r="G1298" s="11">
        <v>0.0</v>
      </c>
      <c r="H1298" s="11">
        <v>0.0</v>
      </c>
      <c r="I1298" s="11">
        <v>0.0</v>
      </c>
      <c r="J1298" s="11">
        <v>0.0</v>
      </c>
      <c r="K1298" s="11">
        <f t="shared" si="1"/>
        <v>0</v>
      </c>
      <c r="L1298" s="11">
        <f t="shared" si="2"/>
        <v>0</v>
      </c>
    </row>
    <row r="1299" ht="15.75" customHeight="1">
      <c r="A1299" s="10" t="s">
        <v>2723</v>
      </c>
      <c r="B1299" s="10" t="s">
        <v>2724</v>
      </c>
      <c r="C1299" s="11">
        <v>0.0</v>
      </c>
      <c r="D1299" s="11">
        <v>0.0</v>
      </c>
      <c r="E1299" s="11">
        <v>0.0</v>
      </c>
      <c r="F1299" s="11">
        <v>0.0</v>
      </c>
      <c r="G1299" s="11">
        <v>0.0</v>
      </c>
      <c r="H1299" s="11">
        <v>0.0</v>
      </c>
      <c r="I1299" s="11">
        <v>0.0</v>
      </c>
      <c r="J1299" s="11">
        <v>0.0</v>
      </c>
      <c r="K1299" s="11">
        <f t="shared" si="1"/>
        <v>0</v>
      </c>
      <c r="L1299" s="11">
        <f t="shared" si="2"/>
        <v>0</v>
      </c>
    </row>
    <row r="1300" ht="15.75" customHeight="1">
      <c r="A1300" s="10" t="s">
        <v>2725</v>
      </c>
      <c r="B1300" s="10" t="s">
        <v>2726</v>
      </c>
      <c r="C1300" s="11">
        <v>0.0</v>
      </c>
      <c r="D1300" s="11">
        <v>0.0</v>
      </c>
      <c r="E1300" s="11">
        <v>0.0</v>
      </c>
      <c r="F1300" s="11">
        <v>0.0</v>
      </c>
      <c r="G1300" s="11">
        <v>0.0</v>
      </c>
      <c r="H1300" s="11">
        <v>0.0</v>
      </c>
      <c r="I1300" s="11">
        <v>0.0</v>
      </c>
      <c r="J1300" s="11">
        <v>0.0</v>
      </c>
      <c r="K1300" s="11">
        <f t="shared" si="1"/>
        <v>0</v>
      </c>
      <c r="L1300" s="11">
        <f t="shared" si="2"/>
        <v>0</v>
      </c>
    </row>
    <row r="1301" ht="15.75" customHeight="1">
      <c r="A1301" s="10" t="s">
        <v>2727</v>
      </c>
      <c r="B1301" s="10" t="s">
        <v>2728</v>
      </c>
      <c r="C1301" s="11">
        <v>25.0</v>
      </c>
      <c r="D1301" s="11">
        <v>0.0</v>
      </c>
      <c r="E1301" s="11">
        <v>0.0</v>
      </c>
      <c r="F1301" s="11">
        <v>27.0</v>
      </c>
      <c r="G1301" s="11">
        <v>0.0</v>
      </c>
      <c r="H1301" s="11">
        <v>0.0</v>
      </c>
      <c r="I1301" s="11">
        <v>50.0</v>
      </c>
      <c r="J1301" s="11">
        <v>0.0</v>
      </c>
      <c r="K1301" s="11">
        <f t="shared" si="1"/>
        <v>102</v>
      </c>
      <c r="L1301" s="11">
        <f t="shared" si="2"/>
        <v>12.5</v>
      </c>
    </row>
    <row r="1302" ht="15.75" customHeight="1">
      <c r="A1302" s="10" t="s">
        <v>2729</v>
      </c>
      <c r="B1302" s="10" t="s">
        <v>2730</v>
      </c>
      <c r="C1302" s="11">
        <v>25.0</v>
      </c>
      <c r="D1302" s="11">
        <v>0.0</v>
      </c>
      <c r="E1302" s="11">
        <v>39.0</v>
      </c>
      <c r="F1302" s="11">
        <v>0.0</v>
      </c>
      <c r="G1302" s="11">
        <v>0.0</v>
      </c>
      <c r="H1302" s="11">
        <v>0.0</v>
      </c>
      <c r="I1302" s="11">
        <v>0.0</v>
      </c>
      <c r="J1302" s="11">
        <v>0.0</v>
      </c>
      <c r="K1302" s="11">
        <f t="shared" si="1"/>
        <v>64</v>
      </c>
      <c r="L1302" s="11">
        <f t="shared" si="2"/>
        <v>0</v>
      </c>
    </row>
    <row r="1303" ht="15.75" customHeight="1">
      <c r="A1303" s="10" t="s">
        <v>2731</v>
      </c>
      <c r="B1303" s="10" t="s">
        <v>2732</v>
      </c>
      <c r="C1303" s="11">
        <v>0.0</v>
      </c>
      <c r="D1303" s="11">
        <v>0.0</v>
      </c>
      <c r="E1303" s="11">
        <v>0.0</v>
      </c>
      <c r="F1303" s="11">
        <v>0.0</v>
      </c>
      <c r="G1303" s="11">
        <v>0.0</v>
      </c>
      <c r="H1303" s="11">
        <v>0.0</v>
      </c>
      <c r="I1303" s="11">
        <v>0.0</v>
      </c>
      <c r="J1303" s="11">
        <v>0.0</v>
      </c>
      <c r="K1303" s="11">
        <f t="shared" si="1"/>
        <v>0</v>
      </c>
      <c r="L1303" s="11">
        <f t="shared" si="2"/>
        <v>0</v>
      </c>
    </row>
    <row r="1304" ht="15.75" customHeight="1">
      <c r="A1304" s="10" t="s">
        <v>2733</v>
      </c>
      <c r="B1304" s="10" t="s">
        <v>2734</v>
      </c>
      <c r="C1304" s="11">
        <v>0.0</v>
      </c>
      <c r="D1304" s="11">
        <v>0.0</v>
      </c>
      <c r="E1304" s="11">
        <v>0.0</v>
      </c>
      <c r="F1304" s="11">
        <v>0.0</v>
      </c>
      <c r="G1304" s="11">
        <v>0.0</v>
      </c>
      <c r="H1304" s="11">
        <v>0.0</v>
      </c>
      <c r="I1304" s="11">
        <v>100.0</v>
      </c>
      <c r="J1304" s="11">
        <v>0.0</v>
      </c>
      <c r="K1304" s="11">
        <f t="shared" si="1"/>
        <v>100</v>
      </c>
      <c r="L1304" s="11">
        <f t="shared" si="2"/>
        <v>25</v>
      </c>
    </row>
    <row r="1305" ht="15.75" customHeight="1">
      <c r="A1305" s="10" t="s">
        <v>2735</v>
      </c>
      <c r="B1305" s="10" t="s">
        <v>2736</v>
      </c>
      <c r="C1305" s="11">
        <v>0.0</v>
      </c>
      <c r="D1305" s="11">
        <v>0.0</v>
      </c>
      <c r="E1305" s="11">
        <v>0.0</v>
      </c>
      <c r="F1305" s="11">
        <v>0.0</v>
      </c>
      <c r="G1305" s="11">
        <v>0.0</v>
      </c>
      <c r="H1305" s="11">
        <v>0.0</v>
      </c>
      <c r="I1305" s="11">
        <v>0.0</v>
      </c>
      <c r="J1305" s="11">
        <v>0.0</v>
      </c>
      <c r="K1305" s="11">
        <f t="shared" si="1"/>
        <v>0</v>
      </c>
      <c r="L1305" s="11">
        <f t="shared" si="2"/>
        <v>0</v>
      </c>
    </row>
    <row r="1306" ht="15.75" customHeight="1">
      <c r="A1306" s="10" t="s">
        <v>2737</v>
      </c>
      <c r="B1306" s="10" t="s">
        <v>2738</v>
      </c>
      <c r="C1306" s="11">
        <v>0.0</v>
      </c>
      <c r="D1306" s="11">
        <v>0.0</v>
      </c>
      <c r="E1306" s="11">
        <v>25.0</v>
      </c>
      <c r="F1306" s="11">
        <v>0.0</v>
      </c>
      <c r="G1306" s="11">
        <v>0.0</v>
      </c>
      <c r="H1306" s="11">
        <v>0.0</v>
      </c>
      <c r="I1306" s="11">
        <v>75.0</v>
      </c>
      <c r="J1306" s="11">
        <v>0.0</v>
      </c>
      <c r="K1306" s="11">
        <f t="shared" si="1"/>
        <v>100</v>
      </c>
      <c r="L1306" s="11">
        <f t="shared" si="2"/>
        <v>18.75</v>
      </c>
    </row>
    <row r="1307" ht="15.75" customHeight="1">
      <c r="A1307" s="10" t="s">
        <v>2739</v>
      </c>
      <c r="B1307" s="10" t="s">
        <v>2740</v>
      </c>
      <c r="C1307" s="11">
        <v>0.0</v>
      </c>
      <c r="D1307" s="11">
        <v>0.0</v>
      </c>
      <c r="E1307" s="11">
        <v>0.0</v>
      </c>
      <c r="F1307" s="11">
        <v>0.0</v>
      </c>
      <c r="G1307" s="11">
        <v>0.0</v>
      </c>
      <c r="H1307" s="11">
        <v>0.0</v>
      </c>
      <c r="I1307" s="11">
        <v>0.0</v>
      </c>
      <c r="J1307" s="11">
        <v>0.0</v>
      </c>
      <c r="K1307" s="11">
        <f t="shared" si="1"/>
        <v>0</v>
      </c>
      <c r="L1307" s="11">
        <f t="shared" si="2"/>
        <v>0</v>
      </c>
    </row>
    <row r="1308" ht="15.75" customHeight="1">
      <c r="A1308" s="10" t="s">
        <v>2741</v>
      </c>
      <c r="B1308" s="10" t="s">
        <v>2742</v>
      </c>
      <c r="C1308" s="11">
        <v>25.0</v>
      </c>
      <c r="D1308" s="11">
        <v>86.0</v>
      </c>
      <c r="E1308" s="11">
        <v>96.0</v>
      </c>
      <c r="F1308" s="11">
        <v>0.0</v>
      </c>
      <c r="G1308" s="11">
        <v>0.0</v>
      </c>
      <c r="H1308" s="11">
        <v>0.0</v>
      </c>
      <c r="I1308" s="11">
        <v>0.0</v>
      </c>
      <c r="J1308" s="11">
        <v>0.0</v>
      </c>
      <c r="K1308" s="11">
        <f t="shared" si="1"/>
        <v>207</v>
      </c>
      <c r="L1308" s="11">
        <f t="shared" si="2"/>
        <v>0</v>
      </c>
    </row>
    <row r="1309" ht="15.75" customHeight="1">
      <c r="A1309" s="10" t="s">
        <v>2743</v>
      </c>
      <c r="B1309" s="10" t="s">
        <v>2744</v>
      </c>
      <c r="C1309" s="11">
        <v>0.0</v>
      </c>
      <c r="D1309" s="11">
        <v>0.0</v>
      </c>
      <c r="E1309" s="11">
        <v>0.0</v>
      </c>
      <c r="F1309" s="11">
        <v>0.0</v>
      </c>
      <c r="G1309" s="11">
        <v>0.0</v>
      </c>
      <c r="H1309" s="11">
        <v>0.0</v>
      </c>
      <c r="I1309" s="11">
        <v>0.0</v>
      </c>
      <c r="J1309" s="11">
        <v>0.0</v>
      </c>
      <c r="K1309" s="11">
        <f t="shared" si="1"/>
        <v>0</v>
      </c>
      <c r="L1309" s="11">
        <f t="shared" si="2"/>
        <v>0</v>
      </c>
    </row>
    <row r="1310" ht="15.75" customHeight="1">
      <c r="A1310" s="10" t="s">
        <v>2745</v>
      </c>
      <c r="B1310" s="10" t="s">
        <v>2746</v>
      </c>
      <c r="C1310" s="11">
        <v>0.0</v>
      </c>
      <c r="D1310" s="11">
        <v>0.0</v>
      </c>
      <c r="E1310" s="11">
        <v>0.0</v>
      </c>
      <c r="F1310" s="11">
        <v>0.0</v>
      </c>
      <c r="G1310" s="11">
        <v>0.0</v>
      </c>
      <c r="H1310" s="11">
        <v>0.0</v>
      </c>
      <c r="I1310" s="11">
        <v>0.0</v>
      </c>
      <c r="J1310" s="11">
        <v>0.0</v>
      </c>
      <c r="K1310" s="11">
        <f t="shared" si="1"/>
        <v>0</v>
      </c>
      <c r="L1310" s="11">
        <f t="shared" si="2"/>
        <v>0</v>
      </c>
    </row>
    <row r="1311" ht="15.75" customHeight="1">
      <c r="A1311" s="10" t="s">
        <v>2747</v>
      </c>
      <c r="B1311" s="10" t="s">
        <v>2748</v>
      </c>
      <c r="C1311" s="11">
        <v>0.0</v>
      </c>
      <c r="D1311" s="11">
        <v>0.0</v>
      </c>
      <c r="E1311" s="11">
        <v>0.0</v>
      </c>
      <c r="F1311" s="11">
        <v>0.0</v>
      </c>
      <c r="G1311" s="11">
        <v>0.0</v>
      </c>
      <c r="H1311" s="11">
        <v>0.0</v>
      </c>
      <c r="I1311" s="11">
        <v>0.0</v>
      </c>
      <c r="J1311" s="11">
        <v>0.0</v>
      </c>
      <c r="K1311" s="11">
        <f t="shared" si="1"/>
        <v>0</v>
      </c>
      <c r="L1311" s="11">
        <f t="shared" si="2"/>
        <v>0</v>
      </c>
    </row>
    <row r="1312" ht="15.75" customHeight="1">
      <c r="A1312" s="10" t="s">
        <v>2749</v>
      </c>
      <c r="B1312" s="10" t="s">
        <v>2750</v>
      </c>
      <c r="C1312" s="11">
        <v>0.0</v>
      </c>
      <c r="D1312" s="11">
        <v>0.0</v>
      </c>
      <c r="E1312" s="11">
        <v>0.0</v>
      </c>
      <c r="F1312" s="11">
        <v>0.0</v>
      </c>
      <c r="G1312" s="11">
        <v>0.0</v>
      </c>
      <c r="H1312" s="11">
        <v>0.0</v>
      </c>
      <c r="I1312" s="11">
        <v>0.0</v>
      </c>
      <c r="J1312" s="11">
        <v>0.0</v>
      </c>
      <c r="K1312" s="11">
        <f t="shared" si="1"/>
        <v>0</v>
      </c>
      <c r="L1312" s="11">
        <f t="shared" si="2"/>
        <v>0</v>
      </c>
    </row>
    <row r="1313" ht="15.75" customHeight="1">
      <c r="A1313" s="10" t="s">
        <v>2751</v>
      </c>
      <c r="B1313" s="10" t="s">
        <v>2752</v>
      </c>
      <c r="C1313" s="11">
        <v>72.2</v>
      </c>
      <c r="D1313" s="11">
        <v>0.0</v>
      </c>
      <c r="E1313" s="11">
        <v>0.0</v>
      </c>
      <c r="F1313" s="11">
        <v>0.0</v>
      </c>
      <c r="G1313" s="11">
        <v>0.0</v>
      </c>
      <c r="H1313" s="11">
        <v>0.0</v>
      </c>
      <c r="I1313" s="11">
        <v>0.0</v>
      </c>
      <c r="J1313" s="11">
        <v>0.0</v>
      </c>
      <c r="K1313" s="11">
        <f t="shared" si="1"/>
        <v>72.2</v>
      </c>
      <c r="L1313" s="11">
        <f t="shared" si="2"/>
        <v>0</v>
      </c>
    </row>
    <row r="1314" ht="15.75" customHeight="1">
      <c r="A1314" s="10" t="s">
        <v>2755</v>
      </c>
      <c r="B1314" s="10" t="s">
        <v>2756</v>
      </c>
      <c r="C1314" s="11">
        <v>0.0</v>
      </c>
      <c r="D1314" s="11">
        <v>0.0</v>
      </c>
      <c r="E1314" s="11">
        <v>0.0</v>
      </c>
      <c r="F1314" s="11">
        <v>0.0</v>
      </c>
      <c r="G1314" s="11">
        <v>0.0</v>
      </c>
      <c r="H1314" s="11">
        <v>0.0</v>
      </c>
      <c r="I1314" s="11">
        <v>0.0</v>
      </c>
      <c r="J1314" s="11">
        <v>0.0</v>
      </c>
      <c r="K1314" s="11">
        <f t="shared" si="1"/>
        <v>0</v>
      </c>
      <c r="L1314" s="11">
        <f t="shared" si="2"/>
        <v>0</v>
      </c>
    </row>
    <row r="1315" ht="15.75" customHeight="1">
      <c r="A1315" s="10" t="s">
        <v>2757</v>
      </c>
      <c r="B1315" s="10" t="s">
        <v>2758</v>
      </c>
      <c r="C1315" s="11">
        <v>25.0</v>
      </c>
      <c r="D1315" s="11">
        <v>0.0</v>
      </c>
      <c r="E1315" s="11">
        <v>0.0</v>
      </c>
      <c r="F1315" s="11">
        <v>0.0</v>
      </c>
      <c r="G1315" s="11">
        <v>0.0</v>
      </c>
      <c r="H1315" s="11">
        <v>0.0</v>
      </c>
      <c r="I1315" s="11">
        <v>50.0</v>
      </c>
      <c r="J1315" s="11">
        <v>41.0</v>
      </c>
      <c r="K1315" s="11">
        <f t="shared" si="1"/>
        <v>116</v>
      </c>
      <c r="L1315" s="11">
        <f t="shared" si="2"/>
        <v>22.75</v>
      </c>
    </row>
    <row r="1316" ht="15.75" customHeight="1">
      <c r="A1316" s="10" t="s">
        <v>2759</v>
      </c>
      <c r="B1316" s="10" t="s">
        <v>2760</v>
      </c>
      <c r="C1316" s="11">
        <v>0.0</v>
      </c>
      <c r="D1316" s="11">
        <v>0.0</v>
      </c>
      <c r="E1316" s="11">
        <v>0.0</v>
      </c>
      <c r="F1316" s="11">
        <v>0.0</v>
      </c>
      <c r="G1316" s="11">
        <v>0.0</v>
      </c>
      <c r="H1316" s="11">
        <v>0.0</v>
      </c>
      <c r="I1316" s="11">
        <v>0.0</v>
      </c>
      <c r="J1316" s="11">
        <v>0.0</v>
      </c>
      <c r="K1316" s="11">
        <f t="shared" si="1"/>
        <v>0</v>
      </c>
      <c r="L1316" s="11">
        <f t="shared" si="2"/>
        <v>0</v>
      </c>
    </row>
    <row r="1317" ht="15.75" customHeight="1">
      <c r="A1317" s="10" t="s">
        <v>2761</v>
      </c>
      <c r="B1317" s="10" t="s">
        <v>2762</v>
      </c>
      <c r="C1317" s="11">
        <v>0.0</v>
      </c>
      <c r="D1317" s="11">
        <v>0.0</v>
      </c>
      <c r="E1317" s="11">
        <v>0.0</v>
      </c>
      <c r="F1317" s="11">
        <v>0.0</v>
      </c>
      <c r="G1317" s="11">
        <v>0.0</v>
      </c>
      <c r="H1317" s="11">
        <v>0.0</v>
      </c>
      <c r="I1317" s="11">
        <v>0.0</v>
      </c>
      <c r="J1317" s="11">
        <v>0.0</v>
      </c>
      <c r="K1317" s="11">
        <f t="shared" si="1"/>
        <v>0</v>
      </c>
      <c r="L1317" s="11">
        <f t="shared" si="2"/>
        <v>0</v>
      </c>
    </row>
    <row r="1318" ht="15.75" customHeight="1">
      <c r="A1318" s="10" t="s">
        <v>2763</v>
      </c>
      <c r="B1318" s="10" t="s">
        <v>2764</v>
      </c>
      <c r="C1318" s="11">
        <v>0.0</v>
      </c>
      <c r="D1318" s="11">
        <v>0.0</v>
      </c>
      <c r="E1318" s="11">
        <v>0.0</v>
      </c>
      <c r="F1318" s="11">
        <v>0.0</v>
      </c>
      <c r="G1318" s="11">
        <v>0.0</v>
      </c>
      <c r="H1318" s="11">
        <v>0.0</v>
      </c>
      <c r="I1318" s="11">
        <v>0.0</v>
      </c>
      <c r="J1318" s="11">
        <v>0.0</v>
      </c>
      <c r="K1318" s="11">
        <f t="shared" si="1"/>
        <v>0</v>
      </c>
      <c r="L1318" s="11">
        <f t="shared" si="2"/>
        <v>0</v>
      </c>
    </row>
    <row r="1319" ht="15.75" customHeight="1">
      <c r="A1319" s="10" t="s">
        <v>2765</v>
      </c>
      <c r="B1319" s="10" t="s">
        <v>2766</v>
      </c>
      <c r="C1319" s="11">
        <v>0.0</v>
      </c>
      <c r="D1319" s="11">
        <v>0.0</v>
      </c>
      <c r="E1319" s="11">
        <v>0.0</v>
      </c>
      <c r="F1319" s="11">
        <v>0.0</v>
      </c>
      <c r="G1319" s="11">
        <v>0.0</v>
      </c>
      <c r="H1319" s="11">
        <v>0.0</v>
      </c>
      <c r="I1319" s="11">
        <v>0.0</v>
      </c>
      <c r="J1319" s="11">
        <v>0.0</v>
      </c>
      <c r="K1319" s="11">
        <f t="shared" si="1"/>
        <v>0</v>
      </c>
      <c r="L1319" s="11">
        <f t="shared" si="2"/>
        <v>0</v>
      </c>
    </row>
    <row r="1320" ht="15.75" customHeight="1">
      <c r="A1320" s="10" t="s">
        <v>2767</v>
      </c>
      <c r="B1320" s="10" t="s">
        <v>2768</v>
      </c>
      <c r="C1320" s="11">
        <v>0.0</v>
      </c>
      <c r="D1320" s="11">
        <v>30.0</v>
      </c>
      <c r="E1320" s="11">
        <v>171.0</v>
      </c>
      <c r="F1320" s="11">
        <v>0.0</v>
      </c>
      <c r="G1320" s="11">
        <v>30.0</v>
      </c>
      <c r="H1320" s="11">
        <v>120.0</v>
      </c>
      <c r="I1320" s="11">
        <v>30.0</v>
      </c>
      <c r="J1320" s="11">
        <v>88.0</v>
      </c>
      <c r="K1320" s="11">
        <f t="shared" si="1"/>
        <v>469</v>
      </c>
      <c r="L1320" s="11">
        <f t="shared" si="2"/>
        <v>67</v>
      </c>
    </row>
    <row r="1321" ht="15.75" customHeight="1">
      <c r="A1321" s="10" t="s">
        <v>2769</v>
      </c>
      <c r="B1321" s="10" t="s">
        <v>2770</v>
      </c>
      <c r="C1321" s="11">
        <v>27.0</v>
      </c>
      <c r="D1321" s="11">
        <v>0.0</v>
      </c>
      <c r="E1321" s="11">
        <v>60.0</v>
      </c>
      <c r="F1321" s="11">
        <v>0.0</v>
      </c>
      <c r="G1321" s="11">
        <v>30.0</v>
      </c>
      <c r="H1321" s="11">
        <v>152.0</v>
      </c>
      <c r="I1321" s="11">
        <v>90.0</v>
      </c>
      <c r="J1321" s="11">
        <v>148.0</v>
      </c>
      <c r="K1321" s="11">
        <f t="shared" si="1"/>
        <v>507</v>
      </c>
      <c r="L1321" s="11">
        <f t="shared" si="2"/>
        <v>105</v>
      </c>
    </row>
    <row r="1322" ht="15.75" customHeight="1">
      <c r="A1322" s="10" t="s">
        <v>2771</v>
      </c>
      <c r="B1322" s="10" t="s">
        <v>2772</v>
      </c>
      <c r="C1322" s="11">
        <v>41.0</v>
      </c>
      <c r="D1322" s="11">
        <v>118.5</v>
      </c>
      <c r="E1322" s="11">
        <v>78.5</v>
      </c>
      <c r="F1322" s="11">
        <v>0.0</v>
      </c>
      <c r="G1322" s="11">
        <v>0.0</v>
      </c>
      <c r="H1322" s="11">
        <v>0.0</v>
      </c>
      <c r="I1322" s="11">
        <v>50.0</v>
      </c>
      <c r="J1322" s="11">
        <v>192.0</v>
      </c>
      <c r="K1322" s="11">
        <f t="shared" si="1"/>
        <v>480</v>
      </c>
      <c r="L1322" s="11">
        <f t="shared" si="2"/>
        <v>60.5</v>
      </c>
    </row>
    <row r="1323" ht="15.75" customHeight="1">
      <c r="A1323" s="10" t="s">
        <v>2773</v>
      </c>
      <c r="B1323" s="10" t="s">
        <v>2774</v>
      </c>
      <c r="C1323" s="11">
        <v>0.0</v>
      </c>
      <c r="D1323" s="11">
        <v>41.0</v>
      </c>
      <c r="E1323" s="11">
        <v>0.0</v>
      </c>
      <c r="F1323" s="11">
        <v>0.0</v>
      </c>
      <c r="G1323" s="11">
        <v>94.5</v>
      </c>
      <c r="H1323" s="11">
        <v>86.0</v>
      </c>
      <c r="I1323" s="11">
        <v>317.0</v>
      </c>
      <c r="J1323" s="11">
        <v>334.5</v>
      </c>
      <c r="K1323" s="11">
        <f t="shared" si="1"/>
        <v>873</v>
      </c>
      <c r="L1323" s="11">
        <f t="shared" si="2"/>
        <v>208</v>
      </c>
    </row>
    <row r="1324" ht="15.75" customHeight="1">
      <c r="A1324" s="10" t="s">
        <v>2775</v>
      </c>
      <c r="B1324" s="10" t="s">
        <v>2776</v>
      </c>
      <c r="C1324" s="11">
        <v>99.5</v>
      </c>
      <c r="D1324" s="11">
        <v>0.0</v>
      </c>
      <c r="E1324" s="11">
        <v>98.0</v>
      </c>
      <c r="F1324" s="11">
        <v>56.5</v>
      </c>
      <c r="G1324" s="11">
        <v>157.0</v>
      </c>
      <c r="H1324" s="11">
        <v>325.5</v>
      </c>
      <c r="I1324" s="11">
        <v>455.9</v>
      </c>
      <c r="J1324" s="11">
        <v>485.0</v>
      </c>
      <c r="K1324" s="11">
        <f t="shared" si="1"/>
        <v>1677.4</v>
      </c>
      <c r="L1324" s="11">
        <f t="shared" si="2"/>
        <v>355.85</v>
      </c>
    </row>
    <row r="1325" ht="15.75" customHeight="1">
      <c r="A1325" s="10" t="s">
        <v>2777</v>
      </c>
      <c r="B1325" s="10" t="s">
        <v>2778</v>
      </c>
      <c r="C1325" s="11">
        <v>0.0</v>
      </c>
      <c r="D1325" s="11">
        <v>100.0</v>
      </c>
      <c r="E1325" s="11">
        <v>95.0</v>
      </c>
      <c r="F1325" s="11">
        <v>100.0</v>
      </c>
      <c r="G1325" s="11">
        <v>107.0</v>
      </c>
      <c r="H1325" s="11">
        <v>416.0</v>
      </c>
      <c r="I1325" s="11">
        <v>508.5</v>
      </c>
      <c r="J1325" s="11">
        <v>637.5</v>
      </c>
      <c r="K1325" s="11">
        <f t="shared" si="1"/>
        <v>1964</v>
      </c>
      <c r="L1325" s="11">
        <f t="shared" si="2"/>
        <v>417.25</v>
      </c>
    </row>
    <row r="1326" ht="15.75" customHeight="1">
      <c r="A1326" s="10" t="s">
        <v>2779</v>
      </c>
      <c r="B1326" s="10" t="s">
        <v>2780</v>
      </c>
      <c r="C1326" s="11">
        <v>0.0</v>
      </c>
      <c r="D1326" s="11">
        <v>0.0</v>
      </c>
      <c r="E1326" s="11">
        <v>0.0</v>
      </c>
      <c r="F1326" s="11">
        <v>0.0</v>
      </c>
      <c r="G1326" s="11">
        <v>0.0</v>
      </c>
      <c r="H1326" s="11">
        <v>0.0</v>
      </c>
      <c r="I1326" s="11">
        <v>0.0</v>
      </c>
      <c r="J1326" s="11">
        <v>300.0</v>
      </c>
      <c r="K1326" s="11">
        <f t="shared" si="1"/>
        <v>300</v>
      </c>
      <c r="L1326" s="11">
        <f t="shared" si="2"/>
        <v>75</v>
      </c>
    </row>
    <row r="1327" ht="15.75" customHeight="1">
      <c r="A1327" s="10" t="s">
        <v>2781</v>
      </c>
      <c r="B1327" s="10" t="s">
        <v>2782</v>
      </c>
      <c r="C1327" s="11">
        <v>50.0</v>
      </c>
      <c r="D1327" s="11">
        <v>50.0</v>
      </c>
      <c r="E1327" s="11">
        <v>50.0</v>
      </c>
      <c r="F1327" s="11">
        <v>0.0</v>
      </c>
      <c r="G1327" s="11">
        <v>0.0</v>
      </c>
      <c r="H1327" s="11">
        <v>50.0</v>
      </c>
      <c r="I1327" s="11">
        <v>50.0</v>
      </c>
      <c r="J1327" s="11">
        <v>100.0</v>
      </c>
      <c r="K1327" s="11">
        <f t="shared" si="1"/>
        <v>350</v>
      </c>
      <c r="L1327" s="11">
        <f t="shared" si="2"/>
        <v>50</v>
      </c>
    </row>
    <row r="1328" ht="15.75" customHeight="1">
      <c r="A1328" s="10" t="s">
        <v>2783</v>
      </c>
      <c r="B1328" s="10" t="s">
        <v>2784</v>
      </c>
      <c r="C1328" s="11">
        <v>0.0</v>
      </c>
      <c r="D1328" s="11">
        <v>0.0</v>
      </c>
      <c r="E1328" s="11">
        <v>0.0</v>
      </c>
      <c r="F1328" s="11">
        <v>0.0</v>
      </c>
      <c r="G1328" s="11">
        <v>0.0</v>
      </c>
      <c r="H1328" s="11">
        <v>0.0</v>
      </c>
      <c r="I1328" s="11">
        <v>0.0</v>
      </c>
      <c r="J1328" s="11">
        <v>0.0</v>
      </c>
      <c r="K1328" s="11">
        <f t="shared" si="1"/>
        <v>0</v>
      </c>
      <c r="L1328" s="11">
        <f t="shared" si="2"/>
        <v>0</v>
      </c>
    </row>
    <row r="1329" ht="15.75" customHeight="1">
      <c r="A1329" s="10" t="s">
        <v>2785</v>
      </c>
      <c r="B1329" s="10" t="s">
        <v>2786</v>
      </c>
      <c r="C1329" s="11">
        <v>0.0</v>
      </c>
      <c r="D1329" s="11">
        <v>0.0</v>
      </c>
      <c r="E1329" s="11">
        <v>0.0</v>
      </c>
      <c r="F1329" s="11">
        <v>0.0</v>
      </c>
      <c r="G1329" s="11">
        <v>0.0</v>
      </c>
      <c r="H1329" s="11">
        <v>0.0</v>
      </c>
      <c r="I1329" s="11">
        <v>0.0</v>
      </c>
      <c r="J1329" s="11">
        <v>0.0</v>
      </c>
      <c r="K1329" s="11">
        <f t="shared" si="1"/>
        <v>0</v>
      </c>
      <c r="L1329" s="11">
        <f t="shared" si="2"/>
        <v>0</v>
      </c>
    </row>
    <row r="1330" ht="15.75" customHeight="1">
      <c r="A1330" s="10" t="s">
        <v>2787</v>
      </c>
      <c r="B1330" s="10" t="s">
        <v>2788</v>
      </c>
      <c r="C1330" s="11">
        <v>50.0</v>
      </c>
      <c r="D1330" s="11">
        <v>0.0</v>
      </c>
      <c r="E1330" s="11">
        <v>50.0</v>
      </c>
      <c r="F1330" s="11">
        <v>0.0</v>
      </c>
      <c r="G1330" s="11">
        <v>50.0</v>
      </c>
      <c r="H1330" s="11">
        <v>0.0</v>
      </c>
      <c r="I1330" s="11">
        <v>0.0</v>
      </c>
      <c r="J1330" s="11">
        <v>0.0</v>
      </c>
      <c r="K1330" s="11">
        <f t="shared" si="1"/>
        <v>150</v>
      </c>
      <c r="L1330" s="11">
        <f t="shared" si="2"/>
        <v>12.5</v>
      </c>
    </row>
    <row r="1331" ht="15.75" customHeight="1">
      <c r="A1331" s="10" t="s">
        <v>2789</v>
      </c>
      <c r="B1331" s="10" t="s">
        <v>2790</v>
      </c>
      <c r="C1331" s="11">
        <v>0.0</v>
      </c>
      <c r="D1331" s="11">
        <v>0.0</v>
      </c>
      <c r="E1331" s="11">
        <v>0.0</v>
      </c>
      <c r="F1331" s="11">
        <v>50.0</v>
      </c>
      <c r="G1331" s="11">
        <v>196.0</v>
      </c>
      <c r="H1331" s="11">
        <v>50.0</v>
      </c>
      <c r="I1331" s="11">
        <v>50.0</v>
      </c>
      <c r="J1331" s="11">
        <v>100.0</v>
      </c>
      <c r="K1331" s="11">
        <f t="shared" si="1"/>
        <v>446</v>
      </c>
      <c r="L1331" s="11">
        <f t="shared" si="2"/>
        <v>99</v>
      </c>
    </row>
    <row r="1332" ht="15.75" customHeight="1">
      <c r="A1332" s="10" t="s">
        <v>2791</v>
      </c>
      <c r="B1332" s="10" t="s">
        <v>2792</v>
      </c>
      <c r="C1332" s="11">
        <v>0.0</v>
      </c>
      <c r="D1332" s="11">
        <v>0.0</v>
      </c>
      <c r="E1332" s="11">
        <v>0.0</v>
      </c>
      <c r="F1332" s="11">
        <v>0.0</v>
      </c>
      <c r="G1332" s="11">
        <v>0.0</v>
      </c>
      <c r="H1332" s="11">
        <v>0.0</v>
      </c>
      <c r="I1332" s="11">
        <v>0.0</v>
      </c>
      <c r="J1332" s="11">
        <v>0.0</v>
      </c>
      <c r="K1332" s="11">
        <f t="shared" si="1"/>
        <v>0</v>
      </c>
      <c r="L1332" s="11">
        <f t="shared" si="2"/>
        <v>0</v>
      </c>
    </row>
    <row r="1333" ht="15.75" customHeight="1">
      <c r="A1333" s="10" t="s">
        <v>2793</v>
      </c>
      <c r="B1333" s="10" t="s">
        <v>2794</v>
      </c>
      <c r="C1333" s="11">
        <v>0.0</v>
      </c>
      <c r="D1333" s="11">
        <v>0.0</v>
      </c>
      <c r="E1333" s="11">
        <v>0.0</v>
      </c>
      <c r="F1333" s="11">
        <v>0.0</v>
      </c>
      <c r="G1333" s="11">
        <v>0.0</v>
      </c>
      <c r="H1333" s="11">
        <v>0.0</v>
      </c>
      <c r="I1333" s="11">
        <v>0.0</v>
      </c>
      <c r="J1333" s="11">
        <v>0.0</v>
      </c>
      <c r="K1333" s="11">
        <f t="shared" si="1"/>
        <v>0</v>
      </c>
      <c r="L1333" s="11">
        <f t="shared" si="2"/>
        <v>0</v>
      </c>
    </row>
    <row r="1334" ht="15.75" customHeight="1">
      <c r="A1334" s="10" t="s">
        <v>2795</v>
      </c>
      <c r="B1334" s="10" t="s">
        <v>2796</v>
      </c>
      <c r="C1334" s="11">
        <v>0.0</v>
      </c>
      <c r="D1334" s="11">
        <v>0.0</v>
      </c>
      <c r="E1334" s="11">
        <v>0.0</v>
      </c>
      <c r="F1334" s="11">
        <v>0.0</v>
      </c>
      <c r="G1334" s="11">
        <v>0.0</v>
      </c>
      <c r="H1334" s="11">
        <v>0.0</v>
      </c>
      <c r="I1334" s="11">
        <v>0.0</v>
      </c>
      <c r="J1334" s="11">
        <v>0.0</v>
      </c>
      <c r="K1334" s="11">
        <f t="shared" si="1"/>
        <v>0</v>
      </c>
      <c r="L1334" s="11">
        <f t="shared" si="2"/>
        <v>0</v>
      </c>
    </row>
    <row r="1335" ht="15.75" customHeight="1">
      <c r="A1335" s="10" t="s">
        <v>2797</v>
      </c>
      <c r="B1335" s="10" t="s">
        <v>2798</v>
      </c>
      <c r="C1335" s="11">
        <v>50.0</v>
      </c>
      <c r="D1335" s="11">
        <v>0.0</v>
      </c>
      <c r="E1335" s="11">
        <v>0.0</v>
      </c>
      <c r="F1335" s="11">
        <v>0.0</v>
      </c>
      <c r="G1335" s="11">
        <v>0.0</v>
      </c>
      <c r="H1335" s="11">
        <v>0.0</v>
      </c>
      <c r="I1335" s="11">
        <v>0.0</v>
      </c>
      <c r="J1335" s="11">
        <v>50.0</v>
      </c>
      <c r="K1335" s="11">
        <f t="shared" si="1"/>
        <v>100</v>
      </c>
      <c r="L1335" s="11">
        <f t="shared" si="2"/>
        <v>12.5</v>
      </c>
    </row>
    <row r="1336" ht="15.75" customHeight="1">
      <c r="A1336" s="10" t="s">
        <v>2799</v>
      </c>
      <c r="B1336" s="10" t="s">
        <v>2800</v>
      </c>
      <c r="C1336" s="11">
        <v>100.0</v>
      </c>
      <c r="D1336" s="11">
        <v>0.0</v>
      </c>
      <c r="E1336" s="11">
        <v>0.0</v>
      </c>
      <c r="F1336" s="11">
        <v>0.0</v>
      </c>
      <c r="G1336" s="11">
        <v>0.0</v>
      </c>
      <c r="H1336" s="11">
        <v>0.0</v>
      </c>
      <c r="I1336" s="11">
        <v>0.0</v>
      </c>
      <c r="J1336" s="11">
        <v>0.0</v>
      </c>
      <c r="K1336" s="11">
        <f t="shared" si="1"/>
        <v>100</v>
      </c>
      <c r="L1336" s="11">
        <f t="shared" si="2"/>
        <v>0</v>
      </c>
    </row>
    <row r="1337" ht="15.75" customHeight="1">
      <c r="A1337" s="10" t="s">
        <v>2801</v>
      </c>
      <c r="B1337" s="10" t="s">
        <v>2802</v>
      </c>
      <c r="C1337" s="11">
        <v>0.0</v>
      </c>
      <c r="D1337" s="11">
        <v>0.0</v>
      </c>
      <c r="E1337" s="11">
        <v>0.0</v>
      </c>
      <c r="F1337" s="11">
        <v>0.0</v>
      </c>
      <c r="G1337" s="11">
        <v>0.0</v>
      </c>
      <c r="H1337" s="11">
        <v>0.0</v>
      </c>
      <c r="I1337" s="11">
        <v>0.0</v>
      </c>
      <c r="J1337" s="11">
        <v>0.0</v>
      </c>
      <c r="K1337" s="11">
        <f t="shared" si="1"/>
        <v>0</v>
      </c>
      <c r="L1337" s="11">
        <f t="shared" si="2"/>
        <v>0</v>
      </c>
    </row>
    <row r="1338" ht="15.75" customHeight="1">
      <c r="A1338" s="10" t="s">
        <v>2803</v>
      </c>
      <c r="B1338" s="10" t="s">
        <v>2804</v>
      </c>
      <c r="C1338" s="11">
        <v>50.0</v>
      </c>
      <c r="D1338" s="11">
        <v>50.0</v>
      </c>
      <c r="E1338" s="11">
        <v>0.0</v>
      </c>
      <c r="F1338" s="11">
        <v>0.0</v>
      </c>
      <c r="G1338" s="11">
        <v>0.0</v>
      </c>
      <c r="H1338" s="11">
        <v>50.0</v>
      </c>
      <c r="I1338" s="11">
        <v>50.0</v>
      </c>
      <c r="J1338" s="11">
        <v>203.0</v>
      </c>
      <c r="K1338" s="11">
        <f t="shared" si="1"/>
        <v>403</v>
      </c>
      <c r="L1338" s="11">
        <f t="shared" si="2"/>
        <v>75.75</v>
      </c>
    </row>
    <row r="1339" ht="15.75" customHeight="1">
      <c r="A1339" s="10" t="s">
        <v>2805</v>
      </c>
      <c r="B1339" s="10" t="s">
        <v>2806</v>
      </c>
      <c r="C1339" s="11">
        <v>0.0</v>
      </c>
      <c r="D1339" s="11">
        <v>58.0</v>
      </c>
      <c r="E1339" s="11">
        <v>0.0</v>
      </c>
      <c r="F1339" s="11">
        <v>0.0</v>
      </c>
      <c r="G1339" s="11">
        <v>0.0</v>
      </c>
      <c r="H1339" s="11">
        <v>50.0</v>
      </c>
      <c r="I1339" s="11">
        <v>0.0</v>
      </c>
      <c r="J1339" s="11">
        <v>0.0</v>
      </c>
      <c r="K1339" s="11">
        <f t="shared" si="1"/>
        <v>108</v>
      </c>
      <c r="L1339" s="11">
        <f t="shared" si="2"/>
        <v>12.5</v>
      </c>
    </row>
    <row r="1340" ht="15.75" customHeight="1">
      <c r="A1340" s="10" t="s">
        <v>2807</v>
      </c>
      <c r="B1340" s="10" t="s">
        <v>2808</v>
      </c>
      <c r="C1340" s="11">
        <v>0.0</v>
      </c>
      <c r="D1340" s="11">
        <v>0.0</v>
      </c>
      <c r="E1340" s="11">
        <v>0.0</v>
      </c>
      <c r="F1340" s="11">
        <v>0.0</v>
      </c>
      <c r="G1340" s="11">
        <v>50.0</v>
      </c>
      <c r="H1340" s="11">
        <v>0.0</v>
      </c>
      <c r="I1340" s="11">
        <v>0.0</v>
      </c>
      <c r="J1340" s="11">
        <v>0.0</v>
      </c>
      <c r="K1340" s="11">
        <f t="shared" si="1"/>
        <v>50</v>
      </c>
      <c r="L1340" s="11">
        <f t="shared" si="2"/>
        <v>12.5</v>
      </c>
    </row>
    <row r="1341" ht="15.75" customHeight="1">
      <c r="A1341" s="10" t="s">
        <v>2809</v>
      </c>
      <c r="B1341" s="10" t="s">
        <v>2810</v>
      </c>
      <c r="C1341" s="11">
        <v>0.0</v>
      </c>
      <c r="D1341" s="11">
        <v>0.0</v>
      </c>
      <c r="E1341" s="11">
        <v>0.0</v>
      </c>
      <c r="F1341" s="11">
        <v>50.0</v>
      </c>
      <c r="G1341" s="11">
        <v>0.0</v>
      </c>
      <c r="H1341" s="11">
        <v>0.0</v>
      </c>
      <c r="I1341" s="11">
        <v>0.0</v>
      </c>
      <c r="J1341" s="11">
        <v>0.0</v>
      </c>
      <c r="K1341" s="11">
        <f t="shared" si="1"/>
        <v>50</v>
      </c>
      <c r="L1341" s="11">
        <f t="shared" si="2"/>
        <v>0</v>
      </c>
    </row>
    <row r="1342" ht="15.75" customHeight="1">
      <c r="A1342" s="10" t="s">
        <v>2811</v>
      </c>
      <c r="B1342" s="10" t="s">
        <v>2812</v>
      </c>
      <c r="C1342" s="11">
        <v>0.0</v>
      </c>
      <c r="D1342" s="11">
        <v>0.0</v>
      </c>
      <c r="E1342" s="11">
        <v>0.0</v>
      </c>
      <c r="F1342" s="11">
        <v>0.0</v>
      </c>
      <c r="G1342" s="11">
        <v>0.0</v>
      </c>
      <c r="H1342" s="11">
        <v>0.0</v>
      </c>
      <c r="I1342" s="11">
        <v>0.0</v>
      </c>
      <c r="J1342" s="11">
        <v>0.0</v>
      </c>
      <c r="K1342" s="11">
        <f t="shared" si="1"/>
        <v>0</v>
      </c>
      <c r="L1342" s="11">
        <f t="shared" si="2"/>
        <v>0</v>
      </c>
    </row>
    <row r="1343" ht="15.75" customHeight="1">
      <c r="A1343" s="10" t="s">
        <v>2813</v>
      </c>
      <c r="B1343" s="10" t="s">
        <v>2814</v>
      </c>
      <c r="C1343" s="11">
        <v>0.0</v>
      </c>
      <c r="D1343" s="11">
        <v>0.0</v>
      </c>
      <c r="E1343" s="11">
        <v>113.0</v>
      </c>
      <c r="F1343" s="11">
        <v>50.0</v>
      </c>
      <c r="G1343" s="11">
        <v>50.0</v>
      </c>
      <c r="H1343" s="11">
        <v>200.0</v>
      </c>
      <c r="I1343" s="11">
        <v>228.9</v>
      </c>
      <c r="J1343" s="11">
        <v>550.0</v>
      </c>
      <c r="K1343" s="11">
        <f t="shared" si="1"/>
        <v>1191.9</v>
      </c>
      <c r="L1343" s="11">
        <f t="shared" si="2"/>
        <v>257.225</v>
      </c>
    </row>
    <row r="1344" ht="15.75" customHeight="1">
      <c r="A1344" s="10" t="s">
        <v>2815</v>
      </c>
      <c r="B1344" s="10" t="s">
        <v>2816</v>
      </c>
      <c r="C1344" s="11">
        <v>0.0</v>
      </c>
      <c r="D1344" s="11">
        <v>50.0</v>
      </c>
      <c r="E1344" s="11">
        <v>0.0</v>
      </c>
      <c r="F1344" s="11">
        <v>0.0</v>
      </c>
      <c r="G1344" s="11">
        <v>0.0</v>
      </c>
      <c r="H1344" s="11">
        <v>0.0</v>
      </c>
      <c r="I1344" s="11">
        <v>0.0</v>
      </c>
      <c r="J1344" s="11">
        <v>0.0</v>
      </c>
      <c r="K1344" s="11">
        <f t="shared" si="1"/>
        <v>50</v>
      </c>
      <c r="L1344" s="11">
        <f t="shared" si="2"/>
        <v>0</v>
      </c>
    </row>
    <row r="1345" ht="15.75" customHeight="1">
      <c r="A1345" s="10" t="s">
        <v>2817</v>
      </c>
      <c r="B1345" s="10" t="s">
        <v>2818</v>
      </c>
      <c r="C1345" s="11">
        <v>0.0</v>
      </c>
      <c r="D1345" s="11">
        <v>0.0</v>
      </c>
      <c r="E1345" s="11">
        <v>0.0</v>
      </c>
      <c r="F1345" s="11">
        <v>50.0</v>
      </c>
      <c r="G1345" s="11">
        <v>0.0</v>
      </c>
      <c r="H1345" s="11">
        <v>200.0</v>
      </c>
      <c r="I1345" s="11">
        <v>300.0</v>
      </c>
      <c r="J1345" s="11">
        <v>130.0</v>
      </c>
      <c r="K1345" s="11">
        <f t="shared" si="1"/>
        <v>680</v>
      </c>
      <c r="L1345" s="11">
        <f t="shared" si="2"/>
        <v>157.5</v>
      </c>
    </row>
    <row r="1346" ht="15.75" customHeight="1">
      <c r="A1346" s="10" t="s">
        <v>2821</v>
      </c>
      <c r="B1346" s="10" t="s">
        <v>2822</v>
      </c>
      <c r="C1346" s="11">
        <v>0.0</v>
      </c>
      <c r="D1346" s="11">
        <v>49.0</v>
      </c>
      <c r="E1346" s="11">
        <v>0.0</v>
      </c>
      <c r="F1346" s="11">
        <v>0.0</v>
      </c>
      <c r="G1346" s="11">
        <v>0.0</v>
      </c>
      <c r="H1346" s="11">
        <v>0.0</v>
      </c>
      <c r="I1346" s="11">
        <v>0.0</v>
      </c>
      <c r="J1346" s="11">
        <v>50.0</v>
      </c>
      <c r="K1346" s="11">
        <f t="shared" si="1"/>
        <v>99</v>
      </c>
      <c r="L1346" s="11">
        <f t="shared" si="2"/>
        <v>12.5</v>
      </c>
    </row>
    <row r="1347" ht="15.75" customHeight="1">
      <c r="A1347" s="10" t="s">
        <v>2823</v>
      </c>
      <c r="B1347" s="10" t="s">
        <v>2824</v>
      </c>
      <c r="C1347" s="11">
        <v>0.0</v>
      </c>
      <c r="D1347" s="11">
        <v>0.0</v>
      </c>
      <c r="E1347" s="11">
        <v>0.0</v>
      </c>
      <c r="F1347" s="11">
        <v>0.0</v>
      </c>
      <c r="G1347" s="11">
        <v>0.0</v>
      </c>
      <c r="H1347" s="11">
        <v>0.0</v>
      </c>
      <c r="I1347" s="11">
        <v>50.0</v>
      </c>
      <c r="J1347" s="11">
        <v>0.0</v>
      </c>
      <c r="K1347" s="11">
        <f t="shared" si="1"/>
        <v>50</v>
      </c>
      <c r="L1347" s="11">
        <f t="shared" si="2"/>
        <v>12.5</v>
      </c>
    </row>
    <row r="1348" ht="15.75" customHeight="1">
      <c r="A1348" s="10" t="s">
        <v>2825</v>
      </c>
      <c r="B1348" s="10" t="s">
        <v>2826</v>
      </c>
      <c r="C1348" s="11">
        <v>0.0</v>
      </c>
      <c r="D1348" s="11">
        <v>0.0</v>
      </c>
      <c r="E1348" s="11">
        <v>0.0</v>
      </c>
      <c r="F1348" s="11">
        <v>0.0</v>
      </c>
      <c r="G1348" s="11">
        <v>0.0</v>
      </c>
      <c r="H1348" s="11">
        <v>30.0</v>
      </c>
      <c r="I1348" s="11">
        <v>0.0</v>
      </c>
      <c r="J1348" s="11">
        <v>0.0</v>
      </c>
      <c r="K1348" s="11">
        <f t="shared" si="1"/>
        <v>30</v>
      </c>
      <c r="L1348" s="11">
        <f t="shared" si="2"/>
        <v>7.5</v>
      </c>
    </row>
    <row r="1349" ht="15.75" customHeight="1">
      <c r="A1349" s="10" t="s">
        <v>2827</v>
      </c>
      <c r="B1349" s="10" t="s">
        <v>2828</v>
      </c>
      <c r="C1349" s="11">
        <v>0.0</v>
      </c>
      <c r="D1349" s="11">
        <v>0.0</v>
      </c>
      <c r="E1349" s="11">
        <v>0.0</v>
      </c>
      <c r="F1349" s="11">
        <v>0.0</v>
      </c>
      <c r="G1349" s="11">
        <v>0.0</v>
      </c>
      <c r="H1349" s="11">
        <v>0.0</v>
      </c>
      <c r="I1349" s="11">
        <v>0.0</v>
      </c>
      <c r="J1349" s="11">
        <v>20.0</v>
      </c>
      <c r="K1349" s="11">
        <f t="shared" si="1"/>
        <v>20</v>
      </c>
      <c r="L1349" s="11">
        <f t="shared" si="2"/>
        <v>5</v>
      </c>
    </row>
    <row r="1350" ht="15.75" customHeight="1">
      <c r="A1350" s="10" t="s">
        <v>2829</v>
      </c>
      <c r="B1350" s="10" t="s">
        <v>2830</v>
      </c>
      <c r="C1350" s="11">
        <v>0.0</v>
      </c>
      <c r="D1350" s="11">
        <v>0.0</v>
      </c>
      <c r="E1350" s="11">
        <v>0.0</v>
      </c>
      <c r="F1350" s="11">
        <v>0.0</v>
      </c>
      <c r="G1350" s="11">
        <v>0.0</v>
      </c>
      <c r="H1350" s="11">
        <v>10.0</v>
      </c>
      <c r="I1350" s="11">
        <v>10.0</v>
      </c>
      <c r="J1350" s="11">
        <v>30.0</v>
      </c>
      <c r="K1350" s="11">
        <f t="shared" si="1"/>
        <v>50</v>
      </c>
      <c r="L1350" s="11">
        <f t="shared" si="2"/>
        <v>12.5</v>
      </c>
    </row>
    <row r="1351" ht="15.75" customHeight="1">
      <c r="A1351" s="10" t="s">
        <v>2831</v>
      </c>
      <c r="B1351" s="10" t="s">
        <v>2832</v>
      </c>
      <c r="C1351" s="11">
        <v>0.0</v>
      </c>
      <c r="D1351" s="11">
        <v>0.0</v>
      </c>
      <c r="E1351" s="11">
        <v>0.0</v>
      </c>
      <c r="F1351" s="11">
        <v>0.0</v>
      </c>
      <c r="G1351" s="11">
        <v>0.0</v>
      </c>
      <c r="H1351" s="11">
        <v>90.0</v>
      </c>
      <c r="I1351" s="11">
        <v>10.0</v>
      </c>
      <c r="J1351" s="11">
        <v>0.0</v>
      </c>
      <c r="K1351" s="11">
        <f t="shared" si="1"/>
        <v>100</v>
      </c>
      <c r="L1351" s="11">
        <f t="shared" si="2"/>
        <v>25</v>
      </c>
    </row>
    <row r="1352" ht="15.75" customHeight="1">
      <c r="A1352" s="10" t="s">
        <v>2833</v>
      </c>
      <c r="B1352" s="10" t="s">
        <v>2834</v>
      </c>
      <c r="C1352" s="11">
        <v>0.0</v>
      </c>
      <c r="D1352" s="11">
        <v>0.0</v>
      </c>
      <c r="E1352" s="11">
        <v>0.0</v>
      </c>
      <c r="F1352" s="11">
        <v>0.0</v>
      </c>
      <c r="G1352" s="11">
        <v>0.0</v>
      </c>
      <c r="H1352" s="11">
        <v>0.0</v>
      </c>
      <c r="I1352" s="11">
        <v>10.0</v>
      </c>
      <c r="J1352" s="11">
        <v>0.0</v>
      </c>
      <c r="K1352" s="11">
        <f t="shared" si="1"/>
        <v>10</v>
      </c>
      <c r="L1352" s="11">
        <f t="shared" si="2"/>
        <v>2.5</v>
      </c>
    </row>
    <row r="1353" ht="15.75" customHeight="1">
      <c r="A1353" s="10" t="s">
        <v>2835</v>
      </c>
      <c r="B1353" s="10" t="s">
        <v>2836</v>
      </c>
      <c r="C1353" s="11">
        <v>0.0</v>
      </c>
      <c r="D1353" s="11">
        <v>0.0</v>
      </c>
      <c r="E1353" s="11">
        <v>0.0</v>
      </c>
      <c r="F1353" s="11">
        <v>0.0</v>
      </c>
      <c r="G1353" s="11">
        <v>0.0</v>
      </c>
      <c r="H1353" s="11">
        <v>0.0</v>
      </c>
      <c r="I1353" s="11">
        <v>0.0</v>
      </c>
      <c r="J1353" s="11">
        <v>0.0</v>
      </c>
      <c r="K1353" s="11">
        <f t="shared" si="1"/>
        <v>0</v>
      </c>
      <c r="L1353" s="11">
        <f t="shared" si="2"/>
        <v>0</v>
      </c>
    </row>
    <row r="1354" ht="15.75" customHeight="1">
      <c r="A1354" s="10" t="s">
        <v>2837</v>
      </c>
      <c r="B1354" s="10" t="s">
        <v>2838</v>
      </c>
      <c r="C1354" s="11">
        <v>0.0</v>
      </c>
      <c r="D1354" s="11">
        <v>0.0</v>
      </c>
      <c r="E1354" s="11">
        <v>0.0</v>
      </c>
      <c r="F1354" s="11">
        <v>0.0</v>
      </c>
      <c r="G1354" s="11">
        <v>0.0</v>
      </c>
      <c r="H1354" s="11">
        <v>20.0</v>
      </c>
      <c r="I1354" s="11">
        <v>20.0</v>
      </c>
      <c r="J1354" s="11">
        <v>0.0</v>
      </c>
      <c r="K1354" s="11">
        <f t="shared" si="1"/>
        <v>40</v>
      </c>
      <c r="L1354" s="11">
        <f t="shared" si="2"/>
        <v>10</v>
      </c>
    </row>
    <row r="1355" ht="15.75" customHeight="1">
      <c r="A1355" s="10" t="s">
        <v>2839</v>
      </c>
      <c r="B1355" s="10" t="s">
        <v>2840</v>
      </c>
      <c r="C1355" s="11">
        <v>0.0</v>
      </c>
      <c r="D1355" s="11">
        <v>0.0</v>
      </c>
      <c r="E1355" s="11">
        <v>0.0</v>
      </c>
      <c r="F1355" s="11">
        <v>0.0</v>
      </c>
      <c r="G1355" s="11">
        <v>0.0</v>
      </c>
      <c r="H1355" s="11">
        <v>0.0</v>
      </c>
      <c r="I1355" s="11">
        <v>0.0</v>
      </c>
      <c r="J1355" s="11">
        <v>0.0</v>
      </c>
      <c r="K1355" s="11">
        <f t="shared" si="1"/>
        <v>0</v>
      </c>
      <c r="L1355" s="11">
        <f t="shared" si="2"/>
        <v>0</v>
      </c>
    </row>
    <row r="1356" ht="15.75" customHeight="1">
      <c r="A1356" s="10" t="s">
        <v>2841</v>
      </c>
      <c r="B1356" s="10" t="s">
        <v>2842</v>
      </c>
      <c r="C1356" s="11">
        <v>0.0</v>
      </c>
      <c r="D1356" s="11">
        <v>0.0</v>
      </c>
      <c r="E1356" s="11">
        <v>0.0</v>
      </c>
      <c r="F1356" s="11">
        <v>0.0</v>
      </c>
      <c r="G1356" s="11">
        <v>0.0</v>
      </c>
      <c r="H1356" s="11">
        <v>0.0</v>
      </c>
      <c r="I1356" s="11">
        <v>0.0</v>
      </c>
      <c r="J1356" s="11">
        <v>10.0</v>
      </c>
      <c r="K1356" s="11">
        <f t="shared" si="1"/>
        <v>10</v>
      </c>
      <c r="L1356" s="11">
        <f t="shared" si="2"/>
        <v>2.5</v>
      </c>
    </row>
    <row r="1357" ht="15.75" customHeight="1">
      <c r="A1357" s="10" t="s">
        <v>2843</v>
      </c>
      <c r="B1357" s="10" t="s">
        <v>2844</v>
      </c>
      <c r="C1357" s="11">
        <v>0.0</v>
      </c>
      <c r="D1357" s="11">
        <v>0.0</v>
      </c>
      <c r="E1357" s="11">
        <v>0.0</v>
      </c>
      <c r="F1357" s="11">
        <v>0.0</v>
      </c>
      <c r="G1357" s="11">
        <v>0.0</v>
      </c>
      <c r="H1357" s="11">
        <v>10.0</v>
      </c>
      <c r="I1357" s="11">
        <v>10.0</v>
      </c>
      <c r="J1357" s="11">
        <v>10.0</v>
      </c>
      <c r="K1357" s="11">
        <f t="shared" si="1"/>
        <v>30</v>
      </c>
      <c r="L1357" s="11">
        <f t="shared" si="2"/>
        <v>7.5</v>
      </c>
    </row>
    <row r="1358" ht="15.75" customHeight="1">
      <c r="A1358" s="10" t="s">
        <v>2845</v>
      </c>
      <c r="B1358" s="10" t="s">
        <v>2846</v>
      </c>
      <c r="C1358" s="11">
        <v>0.0</v>
      </c>
      <c r="D1358" s="11">
        <v>0.0</v>
      </c>
      <c r="E1358" s="11">
        <v>0.0</v>
      </c>
      <c r="F1358" s="11">
        <v>0.0</v>
      </c>
      <c r="G1358" s="11">
        <v>0.0</v>
      </c>
      <c r="H1358" s="11">
        <v>10.0</v>
      </c>
      <c r="I1358" s="11">
        <v>40.0</v>
      </c>
      <c r="J1358" s="11">
        <v>0.0</v>
      </c>
      <c r="K1358" s="11">
        <f t="shared" si="1"/>
        <v>50</v>
      </c>
      <c r="L1358" s="11">
        <f t="shared" si="2"/>
        <v>12.5</v>
      </c>
    </row>
    <row r="1359" ht="15.75" customHeight="1">
      <c r="A1359" s="10" t="s">
        <v>2847</v>
      </c>
      <c r="B1359" s="10" t="s">
        <v>2848</v>
      </c>
      <c r="C1359" s="11">
        <v>0.0</v>
      </c>
      <c r="D1359" s="11">
        <v>0.0</v>
      </c>
      <c r="E1359" s="11">
        <v>0.0</v>
      </c>
      <c r="F1359" s="11">
        <v>0.0</v>
      </c>
      <c r="G1359" s="11">
        <v>0.0</v>
      </c>
      <c r="H1359" s="11">
        <v>10.0</v>
      </c>
      <c r="I1359" s="11">
        <v>40.0</v>
      </c>
      <c r="J1359" s="11">
        <v>50.0</v>
      </c>
      <c r="K1359" s="11">
        <f t="shared" si="1"/>
        <v>100</v>
      </c>
      <c r="L1359" s="11">
        <f t="shared" si="2"/>
        <v>25</v>
      </c>
    </row>
    <row r="1360" ht="15.75" customHeight="1">
      <c r="A1360" s="10" t="s">
        <v>2849</v>
      </c>
      <c r="B1360" s="10" t="s">
        <v>2850</v>
      </c>
      <c r="C1360" s="11">
        <v>0.0</v>
      </c>
      <c r="D1360" s="11">
        <v>0.0</v>
      </c>
      <c r="E1360" s="11">
        <v>0.0</v>
      </c>
      <c r="F1360" s="11">
        <v>0.0</v>
      </c>
      <c r="G1360" s="11">
        <v>0.0</v>
      </c>
      <c r="H1360" s="11">
        <v>70.0</v>
      </c>
      <c r="I1360" s="11">
        <v>0.0</v>
      </c>
      <c r="J1360" s="11">
        <v>0.0</v>
      </c>
      <c r="K1360" s="11">
        <f t="shared" si="1"/>
        <v>70</v>
      </c>
      <c r="L1360" s="11">
        <f t="shared" si="2"/>
        <v>17.5</v>
      </c>
    </row>
    <row r="1361" ht="15.75" customHeight="1">
      <c r="A1361" s="10" t="s">
        <v>2851</v>
      </c>
      <c r="B1361" s="10" t="s">
        <v>2852</v>
      </c>
      <c r="C1361" s="11">
        <v>0.0</v>
      </c>
      <c r="D1361" s="11">
        <v>0.0</v>
      </c>
      <c r="E1361" s="11">
        <v>0.0</v>
      </c>
      <c r="F1361" s="11">
        <v>0.0</v>
      </c>
      <c r="G1361" s="11">
        <v>0.0</v>
      </c>
      <c r="H1361" s="11">
        <v>10.0</v>
      </c>
      <c r="I1361" s="11">
        <v>30.0</v>
      </c>
      <c r="J1361" s="11">
        <v>20.0</v>
      </c>
      <c r="K1361" s="11">
        <f t="shared" si="1"/>
        <v>60</v>
      </c>
      <c r="L1361" s="11">
        <f t="shared" si="2"/>
        <v>15</v>
      </c>
    </row>
    <row r="1362" ht="15.75" customHeight="1">
      <c r="A1362" s="10" t="s">
        <v>2853</v>
      </c>
      <c r="B1362" s="10" t="s">
        <v>2854</v>
      </c>
      <c r="C1362" s="11">
        <v>0.0</v>
      </c>
      <c r="D1362" s="11">
        <v>0.0</v>
      </c>
      <c r="E1362" s="11">
        <v>0.0</v>
      </c>
      <c r="F1362" s="11">
        <v>0.0</v>
      </c>
      <c r="G1362" s="11">
        <v>0.0</v>
      </c>
      <c r="H1362" s="11">
        <v>40.0</v>
      </c>
      <c r="I1362" s="11">
        <v>50.0</v>
      </c>
      <c r="J1362" s="11">
        <v>60.0</v>
      </c>
      <c r="K1362" s="11">
        <f t="shared" si="1"/>
        <v>150</v>
      </c>
      <c r="L1362" s="11">
        <f t="shared" si="2"/>
        <v>37.5</v>
      </c>
    </row>
    <row r="1363" ht="15.75" customHeight="1">
      <c r="A1363" s="10" t="s">
        <v>2855</v>
      </c>
      <c r="B1363" s="10" t="s">
        <v>2856</v>
      </c>
      <c r="C1363" s="11">
        <v>0.0</v>
      </c>
      <c r="D1363" s="11">
        <v>0.0</v>
      </c>
      <c r="E1363" s="11">
        <v>0.0</v>
      </c>
      <c r="F1363" s="11">
        <v>0.0</v>
      </c>
      <c r="G1363" s="11">
        <v>0.0</v>
      </c>
      <c r="H1363" s="11">
        <v>80.0</v>
      </c>
      <c r="I1363" s="11">
        <v>20.0</v>
      </c>
      <c r="J1363" s="11">
        <v>20.0</v>
      </c>
      <c r="K1363" s="11">
        <f t="shared" si="1"/>
        <v>120</v>
      </c>
      <c r="L1363" s="11">
        <f t="shared" si="2"/>
        <v>30</v>
      </c>
    </row>
    <row r="1364" ht="15.75" customHeight="1">
      <c r="A1364" s="10" t="s">
        <v>2857</v>
      </c>
      <c r="B1364" s="10" t="s">
        <v>2858</v>
      </c>
      <c r="C1364" s="11">
        <v>0.0</v>
      </c>
      <c r="D1364" s="11">
        <v>0.0</v>
      </c>
      <c r="E1364" s="11">
        <v>0.0</v>
      </c>
      <c r="F1364" s="11">
        <v>0.0</v>
      </c>
      <c r="G1364" s="11">
        <v>0.0</v>
      </c>
      <c r="H1364" s="11">
        <v>10.0</v>
      </c>
      <c r="I1364" s="11">
        <v>50.0</v>
      </c>
      <c r="J1364" s="11">
        <v>20.0</v>
      </c>
      <c r="K1364" s="11">
        <f t="shared" si="1"/>
        <v>80</v>
      </c>
      <c r="L1364" s="11">
        <f t="shared" si="2"/>
        <v>20</v>
      </c>
    </row>
    <row r="1365" ht="15.75" customHeight="1">
      <c r="A1365" s="10" t="s">
        <v>2859</v>
      </c>
      <c r="B1365" s="10" t="s">
        <v>2860</v>
      </c>
      <c r="C1365" s="11">
        <v>0.0</v>
      </c>
      <c r="D1365" s="11">
        <v>0.0</v>
      </c>
      <c r="E1365" s="11">
        <v>0.0</v>
      </c>
      <c r="F1365" s="11">
        <v>0.0</v>
      </c>
      <c r="G1365" s="11">
        <v>0.0</v>
      </c>
      <c r="H1365" s="11">
        <v>50.0</v>
      </c>
      <c r="I1365" s="11">
        <v>80.0</v>
      </c>
      <c r="J1365" s="11">
        <v>100.0</v>
      </c>
      <c r="K1365" s="11">
        <f t="shared" si="1"/>
        <v>230</v>
      </c>
      <c r="L1365" s="11">
        <f t="shared" si="2"/>
        <v>57.5</v>
      </c>
    </row>
    <row r="1366" ht="15.75" customHeight="1">
      <c r="A1366" s="10" t="s">
        <v>2861</v>
      </c>
      <c r="B1366" s="10" t="s">
        <v>2862</v>
      </c>
      <c r="C1366" s="11">
        <v>0.0</v>
      </c>
      <c r="D1366" s="11">
        <v>0.0</v>
      </c>
      <c r="E1366" s="11">
        <v>0.0</v>
      </c>
      <c r="F1366" s="11">
        <v>0.0</v>
      </c>
      <c r="G1366" s="11">
        <v>0.0</v>
      </c>
      <c r="H1366" s="11">
        <v>90.0</v>
      </c>
      <c r="I1366" s="11">
        <v>10.0</v>
      </c>
      <c r="J1366" s="11">
        <v>20.0</v>
      </c>
      <c r="K1366" s="11">
        <f t="shared" si="1"/>
        <v>120</v>
      </c>
      <c r="L1366" s="11">
        <f t="shared" si="2"/>
        <v>30</v>
      </c>
    </row>
    <row r="1367" ht="15.75" customHeight="1">
      <c r="A1367" s="10" t="s">
        <v>2863</v>
      </c>
      <c r="B1367" s="10" t="s">
        <v>2864</v>
      </c>
      <c r="C1367" s="11">
        <v>0.0</v>
      </c>
      <c r="D1367" s="11">
        <v>0.0</v>
      </c>
      <c r="E1367" s="11">
        <v>0.0</v>
      </c>
      <c r="F1367" s="11">
        <v>0.0</v>
      </c>
      <c r="G1367" s="11">
        <v>0.0</v>
      </c>
      <c r="H1367" s="11">
        <v>10.0</v>
      </c>
      <c r="I1367" s="11">
        <v>0.0</v>
      </c>
      <c r="J1367" s="11">
        <v>0.0</v>
      </c>
      <c r="K1367" s="11">
        <f t="shared" si="1"/>
        <v>10</v>
      </c>
      <c r="L1367" s="11">
        <f t="shared" si="2"/>
        <v>2.5</v>
      </c>
    </row>
    <row r="1368" ht="15.75" customHeight="1">
      <c r="A1368" s="10" t="s">
        <v>2865</v>
      </c>
      <c r="B1368" s="10" t="s">
        <v>2866</v>
      </c>
      <c r="C1368" s="11">
        <v>0.0</v>
      </c>
      <c r="D1368" s="11">
        <v>0.0</v>
      </c>
      <c r="E1368" s="11">
        <v>0.0</v>
      </c>
      <c r="F1368" s="11">
        <v>0.0</v>
      </c>
      <c r="G1368" s="11">
        <v>0.0</v>
      </c>
      <c r="H1368" s="11">
        <v>10.0</v>
      </c>
      <c r="I1368" s="11">
        <v>0.0</v>
      </c>
      <c r="J1368" s="11">
        <v>10.0</v>
      </c>
      <c r="K1368" s="11">
        <f t="shared" si="1"/>
        <v>20</v>
      </c>
      <c r="L1368" s="11">
        <f t="shared" si="2"/>
        <v>5</v>
      </c>
    </row>
    <row r="1369" ht="15.75" customHeight="1">
      <c r="A1369" s="10" t="s">
        <v>2867</v>
      </c>
      <c r="B1369" s="10" t="s">
        <v>2868</v>
      </c>
      <c r="C1369" s="11">
        <v>0.0</v>
      </c>
      <c r="D1369" s="11">
        <v>0.0</v>
      </c>
      <c r="E1369" s="11">
        <v>0.0</v>
      </c>
      <c r="F1369" s="11">
        <v>0.0</v>
      </c>
      <c r="G1369" s="11">
        <v>0.0</v>
      </c>
      <c r="H1369" s="11">
        <v>50.0</v>
      </c>
      <c r="I1369" s="11">
        <v>0.0</v>
      </c>
      <c r="J1369" s="11">
        <v>0.0</v>
      </c>
      <c r="K1369" s="11">
        <f t="shared" si="1"/>
        <v>50</v>
      </c>
      <c r="L1369" s="11">
        <f t="shared" si="2"/>
        <v>12.5</v>
      </c>
    </row>
    <row r="1370" ht="15.75" customHeight="1">
      <c r="A1370" s="10" t="s">
        <v>2869</v>
      </c>
      <c r="B1370" s="10" t="s">
        <v>2870</v>
      </c>
      <c r="C1370" s="11">
        <v>0.0</v>
      </c>
      <c r="D1370" s="11">
        <v>0.0</v>
      </c>
      <c r="E1370" s="11">
        <v>0.0</v>
      </c>
      <c r="F1370" s="11">
        <v>0.0</v>
      </c>
      <c r="G1370" s="11">
        <v>0.0</v>
      </c>
      <c r="H1370" s="11">
        <v>0.0</v>
      </c>
      <c r="I1370" s="11">
        <v>0.0</v>
      </c>
      <c r="J1370" s="11">
        <v>0.0</v>
      </c>
      <c r="K1370" s="11">
        <f t="shared" si="1"/>
        <v>0</v>
      </c>
      <c r="L1370" s="11">
        <f t="shared" si="2"/>
        <v>0</v>
      </c>
    </row>
    <row r="1371" ht="15.75" customHeight="1">
      <c r="A1371" s="10" t="s">
        <v>2871</v>
      </c>
      <c r="B1371" s="10" t="s">
        <v>2872</v>
      </c>
      <c r="C1371" s="11">
        <v>0.0</v>
      </c>
      <c r="D1371" s="11">
        <v>0.0</v>
      </c>
      <c r="E1371" s="11">
        <v>0.0</v>
      </c>
      <c r="F1371" s="11">
        <v>0.0</v>
      </c>
      <c r="G1371" s="11">
        <v>0.0</v>
      </c>
      <c r="H1371" s="11">
        <v>0.0</v>
      </c>
      <c r="I1371" s="11">
        <v>0.0</v>
      </c>
      <c r="J1371" s="11">
        <v>5.0</v>
      </c>
      <c r="K1371" s="11">
        <f t="shared" si="1"/>
        <v>5</v>
      </c>
      <c r="L1371" s="11">
        <f t="shared" si="2"/>
        <v>1.25</v>
      </c>
    </row>
    <row r="1372" ht="15.75" customHeight="1">
      <c r="A1372" s="10" t="s">
        <v>2873</v>
      </c>
      <c r="B1372" s="10" t="s">
        <v>2874</v>
      </c>
      <c r="C1372" s="11">
        <v>0.0</v>
      </c>
      <c r="D1372" s="11">
        <v>0.0</v>
      </c>
      <c r="E1372" s="11">
        <v>0.0</v>
      </c>
      <c r="F1372" s="11">
        <v>0.0</v>
      </c>
      <c r="G1372" s="11">
        <v>0.0</v>
      </c>
      <c r="H1372" s="11">
        <v>30.0</v>
      </c>
      <c r="I1372" s="11">
        <v>10.0</v>
      </c>
      <c r="J1372" s="11">
        <v>5.0</v>
      </c>
      <c r="K1372" s="11">
        <f t="shared" si="1"/>
        <v>45</v>
      </c>
      <c r="L1372" s="11">
        <f t="shared" si="2"/>
        <v>11.25</v>
      </c>
    </row>
    <row r="1373" ht="15.75" customHeight="1">
      <c r="A1373" s="10" t="s">
        <v>2875</v>
      </c>
      <c r="B1373" s="10" t="s">
        <v>2876</v>
      </c>
      <c r="C1373" s="11">
        <v>0.0</v>
      </c>
      <c r="D1373" s="11">
        <v>0.0</v>
      </c>
      <c r="E1373" s="11">
        <v>0.0</v>
      </c>
      <c r="F1373" s="11">
        <v>0.0</v>
      </c>
      <c r="G1373" s="11">
        <v>0.0</v>
      </c>
      <c r="H1373" s="11">
        <v>30.0</v>
      </c>
      <c r="I1373" s="11">
        <v>30.0</v>
      </c>
      <c r="J1373" s="11">
        <v>20.0</v>
      </c>
      <c r="K1373" s="11">
        <f t="shared" si="1"/>
        <v>80</v>
      </c>
      <c r="L1373" s="11">
        <f t="shared" si="2"/>
        <v>20</v>
      </c>
    </row>
    <row r="1374" ht="15.75" customHeight="1">
      <c r="A1374" s="10" t="s">
        <v>2877</v>
      </c>
      <c r="B1374" s="10" t="s">
        <v>2878</v>
      </c>
      <c r="C1374" s="11">
        <v>0.0</v>
      </c>
      <c r="D1374" s="11">
        <v>0.0</v>
      </c>
      <c r="E1374" s="11">
        <v>0.0</v>
      </c>
      <c r="F1374" s="11">
        <v>0.0</v>
      </c>
      <c r="G1374" s="11">
        <v>0.0</v>
      </c>
      <c r="H1374" s="11">
        <v>90.0</v>
      </c>
      <c r="I1374" s="11">
        <v>10.0</v>
      </c>
      <c r="J1374" s="11">
        <v>70.0</v>
      </c>
      <c r="K1374" s="11">
        <f t="shared" si="1"/>
        <v>170</v>
      </c>
      <c r="L1374" s="11">
        <f t="shared" si="2"/>
        <v>42.5</v>
      </c>
    </row>
    <row r="1375" ht="15.75" customHeight="1">
      <c r="A1375" s="10" t="s">
        <v>2880</v>
      </c>
      <c r="B1375" s="10" t="s">
        <v>2881</v>
      </c>
      <c r="C1375" s="11">
        <v>0.0</v>
      </c>
      <c r="D1375" s="11">
        <v>0.0</v>
      </c>
      <c r="E1375" s="11">
        <v>0.0</v>
      </c>
      <c r="F1375" s="11">
        <v>0.0</v>
      </c>
      <c r="G1375" s="11">
        <v>0.0</v>
      </c>
      <c r="H1375" s="11">
        <v>100.0</v>
      </c>
      <c r="I1375" s="11">
        <v>0.0</v>
      </c>
      <c r="J1375" s="11">
        <v>10.0</v>
      </c>
      <c r="K1375" s="11">
        <f t="shared" si="1"/>
        <v>110</v>
      </c>
      <c r="L1375" s="11">
        <f t="shared" si="2"/>
        <v>27.5</v>
      </c>
    </row>
    <row r="1376" ht="15.75" customHeight="1">
      <c r="A1376" s="10" t="s">
        <v>2882</v>
      </c>
      <c r="B1376" s="10" t="s">
        <v>2883</v>
      </c>
      <c r="C1376" s="11">
        <v>0.0</v>
      </c>
      <c r="D1376" s="11">
        <v>0.0</v>
      </c>
      <c r="E1376" s="11">
        <v>0.0</v>
      </c>
      <c r="F1376" s="11">
        <v>0.0</v>
      </c>
      <c r="G1376" s="11">
        <v>0.0</v>
      </c>
      <c r="H1376" s="11">
        <v>0.0</v>
      </c>
      <c r="I1376" s="11">
        <v>10.0</v>
      </c>
      <c r="J1376" s="11">
        <v>0.0</v>
      </c>
      <c r="K1376" s="11">
        <f t="shared" si="1"/>
        <v>10</v>
      </c>
      <c r="L1376" s="11">
        <f t="shared" si="2"/>
        <v>2.5</v>
      </c>
    </row>
    <row r="1377" ht="15.75" customHeight="1">
      <c r="A1377" s="10" t="s">
        <v>2884</v>
      </c>
      <c r="B1377" s="10" t="s">
        <v>2885</v>
      </c>
      <c r="C1377" s="11">
        <v>0.0</v>
      </c>
      <c r="D1377" s="11">
        <v>0.0</v>
      </c>
      <c r="E1377" s="11">
        <v>0.0</v>
      </c>
      <c r="F1377" s="11">
        <v>0.0</v>
      </c>
      <c r="G1377" s="11">
        <v>0.0</v>
      </c>
      <c r="H1377" s="11">
        <v>60.0</v>
      </c>
      <c r="I1377" s="11">
        <v>20.0</v>
      </c>
      <c r="J1377" s="11">
        <v>30.0</v>
      </c>
      <c r="K1377" s="11">
        <f t="shared" si="1"/>
        <v>110</v>
      </c>
      <c r="L1377" s="11">
        <f t="shared" si="2"/>
        <v>27.5</v>
      </c>
    </row>
    <row r="1378" ht="15.75" customHeight="1">
      <c r="A1378" s="10" t="s">
        <v>2886</v>
      </c>
      <c r="B1378" s="10" t="s">
        <v>2887</v>
      </c>
      <c r="C1378" s="11">
        <v>0.0</v>
      </c>
      <c r="D1378" s="11">
        <v>0.0</v>
      </c>
      <c r="E1378" s="11">
        <v>0.0</v>
      </c>
      <c r="F1378" s="11">
        <v>0.0</v>
      </c>
      <c r="G1378" s="11">
        <v>0.0</v>
      </c>
      <c r="H1378" s="11">
        <v>80.0</v>
      </c>
      <c r="I1378" s="11">
        <v>0.0</v>
      </c>
      <c r="J1378" s="11">
        <v>0.0</v>
      </c>
      <c r="K1378" s="11">
        <f t="shared" si="1"/>
        <v>80</v>
      </c>
      <c r="L1378" s="11">
        <f t="shared" si="2"/>
        <v>20</v>
      </c>
    </row>
    <row r="1379" ht="15.75" customHeight="1">
      <c r="A1379" s="10" t="s">
        <v>2888</v>
      </c>
      <c r="B1379" s="10" t="s">
        <v>2889</v>
      </c>
      <c r="C1379" s="11">
        <v>0.0</v>
      </c>
      <c r="D1379" s="11">
        <v>0.0</v>
      </c>
      <c r="E1379" s="11">
        <v>0.0</v>
      </c>
      <c r="F1379" s="11">
        <v>0.0</v>
      </c>
      <c r="G1379" s="11">
        <v>0.0</v>
      </c>
      <c r="H1379" s="11">
        <v>80.0</v>
      </c>
      <c r="I1379" s="11">
        <v>30.0</v>
      </c>
      <c r="J1379" s="11">
        <v>30.0</v>
      </c>
      <c r="K1379" s="11">
        <f t="shared" si="1"/>
        <v>140</v>
      </c>
      <c r="L1379" s="11">
        <f t="shared" si="2"/>
        <v>35</v>
      </c>
    </row>
    <row r="1380" ht="15.75" customHeight="1">
      <c r="A1380" s="10" t="s">
        <v>2890</v>
      </c>
      <c r="B1380" s="10" t="s">
        <v>2891</v>
      </c>
      <c r="C1380" s="11">
        <v>0.0</v>
      </c>
      <c r="D1380" s="11">
        <v>0.0</v>
      </c>
      <c r="E1380" s="11">
        <v>0.0</v>
      </c>
      <c r="F1380" s="11">
        <v>0.0</v>
      </c>
      <c r="G1380" s="11">
        <v>0.0</v>
      </c>
      <c r="H1380" s="11">
        <v>60.0</v>
      </c>
      <c r="I1380" s="11">
        <v>30.0</v>
      </c>
      <c r="J1380" s="11">
        <v>50.0</v>
      </c>
      <c r="K1380" s="11">
        <f t="shared" si="1"/>
        <v>140</v>
      </c>
      <c r="L1380" s="11">
        <f t="shared" si="2"/>
        <v>35</v>
      </c>
    </row>
    <row r="1381" ht="15.75" customHeight="1">
      <c r="A1381" s="10" t="s">
        <v>2892</v>
      </c>
      <c r="B1381" s="10" t="s">
        <v>2893</v>
      </c>
      <c r="C1381" s="11">
        <v>0.0</v>
      </c>
      <c r="D1381" s="11">
        <v>0.0</v>
      </c>
      <c r="E1381" s="11">
        <v>0.0</v>
      </c>
      <c r="F1381" s="11">
        <v>0.0</v>
      </c>
      <c r="G1381" s="11">
        <v>0.0</v>
      </c>
      <c r="H1381" s="11">
        <v>100.0</v>
      </c>
      <c r="I1381" s="11">
        <v>0.0</v>
      </c>
      <c r="J1381" s="11">
        <v>10.0</v>
      </c>
      <c r="K1381" s="11">
        <f t="shared" si="1"/>
        <v>110</v>
      </c>
      <c r="L1381" s="11">
        <f t="shared" si="2"/>
        <v>27.5</v>
      </c>
    </row>
    <row r="1382" ht="15.75" customHeight="1">
      <c r="A1382" s="10" t="s">
        <v>2894</v>
      </c>
      <c r="B1382" s="10" t="s">
        <v>2895</v>
      </c>
      <c r="C1382" s="11">
        <v>0.0</v>
      </c>
      <c r="D1382" s="11">
        <v>0.0</v>
      </c>
      <c r="E1382" s="11">
        <v>0.0</v>
      </c>
      <c r="F1382" s="11">
        <v>0.0</v>
      </c>
      <c r="G1382" s="11">
        <v>0.0</v>
      </c>
      <c r="H1382" s="11">
        <v>10.0</v>
      </c>
      <c r="I1382" s="11">
        <v>10.0</v>
      </c>
      <c r="J1382" s="11">
        <v>0.0</v>
      </c>
      <c r="K1382" s="11">
        <f t="shared" si="1"/>
        <v>20</v>
      </c>
      <c r="L1382" s="11">
        <f t="shared" si="2"/>
        <v>5</v>
      </c>
    </row>
    <row r="1383" ht="15.75" customHeight="1">
      <c r="A1383" s="10" t="s">
        <v>2896</v>
      </c>
      <c r="B1383" s="10" t="s">
        <v>2897</v>
      </c>
      <c r="C1383" s="11">
        <v>0.0</v>
      </c>
      <c r="D1383" s="11">
        <v>0.0</v>
      </c>
      <c r="E1383" s="11">
        <v>0.0</v>
      </c>
      <c r="F1383" s="11">
        <v>0.0</v>
      </c>
      <c r="G1383" s="11">
        <v>0.0</v>
      </c>
      <c r="H1383" s="11">
        <v>0.0</v>
      </c>
      <c r="I1383" s="11">
        <v>60.0</v>
      </c>
      <c r="J1383" s="11">
        <v>50.0</v>
      </c>
      <c r="K1383" s="11">
        <f t="shared" si="1"/>
        <v>110</v>
      </c>
      <c r="L1383" s="11">
        <f t="shared" si="2"/>
        <v>27.5</v>
      </c>
    </row>
    <row r="1384" ht="15.75" customHeight="1">
      <c r="A1384" s="10" t="s">
        <v>2898</v>
      </c>
      <c r="B1384" s="10" t="s">
        <v>2899</v>
      </c>
      <c r="C1384" s="11">
        <v>0.0</v>
      </c>
      <c r="D1384" s="11">
        <v>0.0</v>
      </c>
      <c r="E1384" s="11">
        <v>0.0</v>
      </c>
      <c r="F1384" s="11">
        <v>0.0</v>
      </c>
      <c r="G1384" s="11">
        <v>0.0</v>
      </c>
      <c r="H1384" s="11">
        <v>70.0</v>
      </c>
      <c r="I1384" s="11">
        <v>10.0</v>
      </c>
      <c r="J1384" s="11">
        <v>0.0</v>
      </c>
      <c r="K1384" s="11">
        <f t="shared" si="1"/>
        <v>80</v>
      </c>
      <c r="L1384" s="11">
        <f t="shared" si="2"/>
        <v>20</v>
      </c>
    </row>
    <row r="1385" ht="15.75" customHeight="1">
      <c r="A1385" s="10" t="s">
        <v>2900</v>
      </c>
      <c r="B1385" s="10" t="s">
        <v>2901</v>
      </c>
      <c r="C1385" s="11">
        <v>0.0</v>
      </c>
      <c r="D1385" s="11">
        <v>0.0</v>
      </c>
      <c r="E1385" s="11">
        <v>0.0</v>
      </c>
      <c r="F1385" s="11">
        <v>0.0</v>
      </c>
      <c r="G1385" s="11">
        <v>0.0</v>
      </c>
      <c r="H1385" s="11">
        <v>0.0</v>
      </c>
      <c r="I1385" s="11">
        <v>40.0</v>
      </c>
      <c r="J1385" s="11">
        <v>10.0</v>
      </c>
      <c r="K1385" s="11">
        <f t="shared" si="1"/>
        <v>50</v>
      </c>
      <c r="L1385" s="11">
        <f t="shared" si="2"/>
        <v>12.5</v>
      </c>
    </row>
    <row r="1386" ht="15.75" customHeight="1">
      <c r="A1386" s="10" t="s">
        <v>2902</v>
      </c>
      <c r="B1386" s="10" t="s">
        <v>2903</v>
      </c>
      <c r="C1386" s="11">
        <v>0.0</v>
      </c>
      <c r="D1386" s="11">
        <v>0.0</v>
      </c>
      <c r="E1386" s="11">
        <v>0.0</v>
      </c>
      <c r="F1386" s="11">
        <v>0.0</v>
      </c>
      <c r="G1386" s="11">
        <v>0.0</v>
      </c>
      <c r="H1386" s="11">
        <v>30.0</v>
      </c>
      <c r="I1386" s="11">
        <v>70.0</v>
      </c>
      <c r="J1386" s="11">
        <v>40.0</v>
      </c>
      <c r="K1386" s="11">
        <f t="shared" si="1"/>
        <v>140</v>
      </c>
      <c r="L1386" s="11">
        <f t="shared" si="2"/>
        <v>35</v>
      </c>
    </row>
    <row r="1387" ht="15.75" customHeight="1">
      <c r="A1387" s="10" t="s">
        <v>2904</v>
      </c>
      <c r="B1387" s="10" t="s">
        <v>2905</v>
      </c>
      <c r="C1387" s="11">
        <v>0.0</v>
      </c>
      <c r="D1387" s="11">
        <v>0.0</v>
      </c>
      <c r="E1387" s="11">
        <v>0.0</v>
      </c>
      <c r="F1387" s="11">
        <v>0.0</v>
      </c>
      <c r="G1387" s="11">
        <v>0.0</v>
      </c>
      <c r="H1387" s="11">
        <v>60.0</v>
      </c>
      <c r="I1387" s="11">
        <v>0.0</v>
      </c>
      <c r="J1387" s="11">
        <v>0.0</v>
      </c>
      <c r="K1387" s="11">
        <f t="shared" si="1"/>
        <v>60</v>
      </c>
      <c r="L1387" s="11">
        <f t="shared" si="2"/>
        <v>15</v>
      </c>
    </row>
    <row r="1388" ht="15.75" customHeight="1">
      <c r="A1388" s="10" t="s">
        <v>2906</v>
      </c>
      <c r="B1388" s="10" t="s">
        <v>2907</v>
      </c>
      <c r="C1388" s="11">
        <v>0.0</v>
      </c>
      <c r="D1388" s="11">
        <v>0.0</v>
      </c>
      <c r="E1388" s="11">
        <v>0.0</v>
      </c>
      <c r="F1388" s="11">
        <v>0.0</v>
      </c>
      <c r="G1388" s="11">
        <v>0.0</v>
      </c>
      <c r="H1388" s="11">
        <v>10.0</v>
      </c>
      <c r="I1388" s="11">
        <v>0.0</v>
      </c>
      <c r="J1388" s="11">
        <v>0.0</v>
      </c>
      <c r="K1388" s="11">
        <f t="shared" si="1"/>
        <v>10</v>
      </c>
      <c r="L1388" s="11">
        <f t="shared" si="2"/>
        <v>2.5</v>
      </c>
    </row>
    <row r="1389" ht="15.75" customHeight="1">
      <c r="A1389" s="10" t="s">
        <v>2908</v>
      </c>
      <c r="B1389" s="10" t="s">
        <v>2909</v>
      </c>
      <c r="C1389" s="11">
        <v>0.0</v>
      </c>
      <c r="D1389" s="11">
        <v>0.0</v>
      </c>
      <c r="E1389" s="11">
        <v>0.0</v>
      </c>
      <c r="F1389" s="11">
        <v>0.0</v>
      </c>
      <c r="G1389" s="11">
        <v>0.0</v>
      </c>
      <c r="H1389" s="11">
        <v>0.0</v>
      </c>
      <c r="I1389" s="11">
        <v>0.0</v>
      </c>
      <c r="J1389" s="11">
        <v>0.0</v>
      </c>
      <c r="K1389" s="11">
        <f t="shared" si="1"/>
        <v>0</v>
      </c>
      <c r="L1389" s="11">
        <f t="shared" si="2"/>
        <v>0</v>
      </c>
    </row>
    <row r="1390" ht="15.75" customHeight="1">
      <c r="A1390" s="10" t="s">
        <v>2910</v>
      </c>
      <c r="B1390" s="10" t="s">
        <v>2911</v>
      </c>
      <c r="C1390" s="11">
        <v>0.0</v>
      </c>
      <c r="D1390" s="11">
        <v>0.0</v>
      </c>
      <c r="E1390" s="11">
        <v>0.0</v>
      </c>
      <c r="F1390" s="11">
        <v>0.0</v>
      </c>
      <c r="G1390" s="11">
        <v>0.0</v>
      </c>
      <c r="H1390" s="11">
        <v>0.0</v>
      </c>
      <c r="I1390" s="11">
        <v>50.0</v>
      </c>
      <c r="J1390" s="11">
        <v>0.0</v>
      </c>
      <c r="K1390" s="11">
        <f t="shared" si="1"/>
        <v>50</v>
      </c>
      <c r="L1390" s="11">
        <f t="shared" si="2"/>
        <v>12.5</v>
      </c>
    </row>
    <row r="1391" ht="15.75" customHeight="1">
      <c r="A1391" s="10" t="s">
        <v>2912</v>
      </c>
      <c r="B1391" s="10" t="s">
        <v>2913</v>
      </c>
      <c r="C1391" s="11">
        <v>0.0</v>
      </c>
      <c r="D1391" s="11">
        <v>0.0</v>
      </c>
      <c r="E1391" s="11">
        <v>0.0</v>
      </c>
      <c r="F1391" s="11">
        <v>0.0</v>
      </c>
      <c r="G1391" s="11">
        <v>0.0</v>
      </c>
      <c r="H1391" s="11">
        <v>0.0</v>
      </c>
      <c r="I1391" s="11">
        <v>0.0</v>
      </c>
      <c r="J1391" s="11">
        <v>0.0</v>
      </c>
      <c r="K1391" s="11">
        <f t="shared" si="1"/>
        <v>0</v>
      </c>
      <c r="L1391" s="11">
        <f t="shared" si="2"/>
        <v>0</v>
      </c>
    </row>
    <row r="1392" ht="15.75" customHeight="1">
      <c r="A1392" s="10" t="s">
        <v>2914</v>
      </c>
      <c r="B1392" s="10" t="s">
        <v>2915</v>
      </c>
      <c r="C1392" s="11">
        <v>0.0</v>
      </c>
      <c r="D1392" s="11">
        <v>0.0</v>
      </c>
      <c r="E1392" s="11">
        <v>0.0</v>
      </c>
      <c r="F1392" s="11">
        <v>0.0</v>
      </c>
      <c r="G1392" s="11">
        <v>0.0</v>
      </c>
      <c r="H1392" s="11">
        <v>0.0</v>
      </c>
      <c r="I1392" s="11">
        <v>20.0</v>
      </c>
      <c r="J1392" s="11">
        <v>0.0</v>
      </c>
      <c r="K1392" s="11">
        <f t="shared" si="1"/>
        <v>20</v>
      </c>
      <c r="L1392" s="11">
        <f t="shared" si="2"/>
        <v>5</v>
      </c>
    </row>
    <row r="1393" ht="15.75" customHeight="1">
      <c r="A1393" s="10" t="s">
        <v>2916</v>
      </c>
      <c r="B1393" s="10" t="s">
        <v>2917</v>
      </c>
      <c r="C1393" s="11">
        <v>0.0</v>
      </c>
      <c r="D1393" s="11">
        <v>0.0</v>
      </c>
      <c r="E1393" s="11">
        <v>0.0</v>
      </c>
      <c r="F1393" s="11">
        <v>0.0</v>
      </c>
      <c r="G1393" s="11">
        <v>0.0</v>
      </c>
      <c r="H1393" s="11">
        <v>20.0</v>
      </c>
      <c r="I1393" s="11">
        <v>20.0</v>
      </c>
      <c r="J1393" s="11">
        <v>0.0</v>
      </c>
      <c r="K1393" s="11">
        <f t="shared" si="1"/>
        <v>40</v>
      </c>
      <c r="L1393" s="11">
        <f t="shared" si="2"/>
        <v>10</v>
      </c>
    </row>
    <row r="1394" ht="15.75" customHeight="1">
      <c r="A1394" s="10" t="s">
        <v>2918</v>
      </c>
      <c r="B1394" s="10" t="s">
        <v>2919</v>
      </c>
      <c r="C1394" s="11">
        <v>0.0</v>
      </c>
      <c r="D1394" s="11">
        <v>0.0</v>
      </c>
      <c r="E1394" s="11">
        <v>0.0</v>
      </c>
      <c r="F1394" s="11">
        <v>0.0</v>
      </c>
      <c r="G1394" s="11">
        <v>0.0</v>
      </c>
      <c r="H1394" s="11">
        <v>0.0</v>
      </c>
      <c r="I1394" s="11">
        <v>0.0</v>
      </c>
      <c r="J1394" s="11">
        <v>0.0</v>
      </c>
      <c r="K1394" s="11">
        <f t="shared" si="1"/>
        <v>0</v>
      </c>
      <c r="L1394" s="11">
        <f t="shared" si="2"/>
        <v>0</v>
      </c>
    </row>
    <row r="1395" ht="15.75" customHeight="1">
      <c r="A1395" s="10" t="s">
        <v>2920</v>
      </c>
      <c r="B1395" s="10" t="s">
        <v>2921</v>
      </c>
      <c r="C1395" s="11">
        <v>0.0</v>
      </c>
      <c r="D1395" s="11">
        <v>0.0</v>
      </c>
      <c r="E1395" s="11">
        <v>0.0</v>
      </c>
      <c r="F1395" s="11">
        <v>0.0</v>
      </c>
      <c r="G1395" s="11">
        <v>0.0</v>
      </c>
      <c r="H1395" s="11">
        <v>0.0</v>
      </c>
      <c r="I1395" s="11">
        <v>0.0</v>
      </c>
      <c r="J1395" s="11">
        <v>10.0</v>
      </c>
      <c r="K1395" s="11">
        <f t="shared" si="1"/>
        <v>10</v>
      </c>
      <c r="L1395" s="11">
        <f t="shared" si="2"/>
        <v>2.5</v>
      </c>
    </row>
    <row r="1396" ht="15.75" customHeight="1">
      <c r="A1396" s="10" t="s">
        <v>2922</v>
      </c>
      <c r="B1396" s="10" t="s">
        <v>2923</v>
      </c>
      <c r="C1396" s="11">
        <v>0.0</v>
      </c>
      <c r="D1396" s="11">
        <v>0.0</v>
      </c>
      <c r="E1396" s="11">
        <v>0.0</v>
      </c>
      <c r="F1396" s="11">
        <v>0.0</v>
      </c>
      <c r="G1396" s="11">
        <v>0.0</v>
      </c>
      <c r="H1396" s="11">
        <v>30.0</v>
      </c>
      <c r="I1396" s="11">
        <v>10.0</v>
      </c>
      <c r="J1396" s="11">
        <v>10.0</v>
      </c>
      <c r="K1396" s="11">
        <f t="shared" si="1"/>
        <v>50</v>
      </c>
      <c r="L1396" s="11">
        <f t="shared" si="2"/>
        <v>12.5</v>
      </c>
    </row>
    <row r="1397" ht="15.75" customHeight="1">
      <c r="A1397" s="10" t="s">
        <v>2924</v>
      </c>
      <c r="B1397" s="10" t="s">
        <v>2925</v>
      </c>
      <c r="C1397" s="11">
        <v>0.0</v>
      </c>
      <c r="D1397" s="11">
        <v>0.0</v>
      </c>
      <c r="E1397" s="11">
        <v>0.0</v>
      </c>
      <c r="F1397" s="11">
        <v>0.0</v>
      </c>
      <c r="G1397" s="11">
        <v>0.0</v>
      </c>
      <c r="H1397" s="11">
        <v>0.0</v>
      </c>
      <c r="I1397" s="11">
        <v>0.0</v>
      </c>
      <c r="J1397" s="11">
        <v>0.0</v>
      </c>
      <c r="K1397" s="11">
        <f t="shared" si="1"/>
        <v>0</v>
      </c>
      <c r="L1397" s="11">
        <f t="shared" si="2"/>
        <v>0</v>
      </c>
    </row>
    <row r="1398" ht="15.75" customHeight="1">
      <c r="A1398" s="10" t="s">
        <v>2926</v>
      </c>
      <c r="B1398" s="10" t="s">
        <v>2927</v>
      </c>
      <c r="C1398" s="11">
        <v>0.0</v>
      </c>
      <c r="D1398" s="11">
        <v>0.0</v>
      </c>
      <c r="E1398" s="11">
        <v>0.0</v>
      </c>
      <c r="F1398" s="11">
        <v>0.0</v>
      </c>
      <c r="G1398" s="11">
        <v>0.0</v>
      </c>
      <c r="H1398" s="11">
        <v>10.0</v>
      </c>
      <c r="I1398" s="11">
        <v>10.0</v>
      </c>
      <c r="J1398" s="11">
        <v>40.0</v>
      </c>
      <c r="K1398" s="11">
        <f t="shared" si="1"/>
        <v>60</v>
      </c>
      <c r="L1398" s="11">
        <f t="shared" si="2"/>
        <v>15</v>
      </c>
    </row>
    <row r="1399" ht="15.75" customHeight="1">
      <c r="A1399" s="10" t="s">
        <v>2928</v>
      </c>
      <c r="B1399" s="10" t="s">
        <v>2929</v>
      </c>
      <c r="C1399" s="11">
        <v>0.0</v>
      </c>
      <c r="D1399" s="11">
        <v>0.0</v>
      </c>
      <c r="E1399" s="11">
        <v>0.0</v>
      </c>
      <c r="F1399" s="11">
        <v>0.0</v>
      </c>
      <c r="G1399" s="11">
        <v>0.0</v>
      </c>
      <c r="H1399" s="11">
        <v>30.0</v>
      </c>
      <c r="I1399" s="11">
        <v>10.0</v>
      </c>
      <c r="J1399" s="11">
        <v>10.0</v>
      </c>
      <c r="K1399" s="11">
        <f t="shared" si="1"/>
        <v>50</v>
      </c>
      <c r="L1399" s="11">
        <f t="shared" si="2"/>
        <v>12.5</v>
      </c>
    </row>
    <row r="1400" ht="15.75" customHeight="1">
      <c r="A1400" s="10" t="s">
        <v>2930</v>
      </c>
      <c r="B1400" s="10" t="s">
        <v>2931</v>
      </c>
      <c r="C1400" s="11">
        <v>0.0</v>
      </c>
      <c r="D1400" s="11">
        <v>0.0</v>
      </c>
      <c r="E1400" s="11">
        <v>0.0</v>
      </c>
      <c r="F1400" s="11">
        <v>0.0</v>
      </c>
      <c r="G1400" s="11">
        <v>0.0</v>
      </c>
      <c r="H1400" s="11">
        <v>0.0</v>
      </c>
      <c r="I1400" s="11">
        <v>0.0</v>
      </c>
      <c r="J1400" s="11">
        <v>0.0</v>
      </c>
      <c r="K1400" s="11">
        <f t="shared" si="1"/>
        <v>0</v>
      </c>
      <c r="L1400" s="11">
        <f t="shared" si="2"/>
        <v>0</v>
      </c>
    </row>
    <row r="1401" ht="15.75" customHeight="1">
      <c r="A1401" s="10" t="s">
        <v>2932</v>
      </c>
      <c r="B1401" s="10" t="s">
        <v>2933</v>
      </c>
      <c r="C1401" s="11">
        <v>0.0</v>
      </c>
      <c r="D1401" s="11">
        <v>0.0</v>
      </c>
      <c r="E1401" s="11">
        <v>0.0</v>
      </c>
      <c r="F1401" s="11">
        <v>0.0</v>
      </c>
      <c r="G1401" s="11">
        <v>0.0</v>
      </c>
      <c r="H1401" s="11">
        <v>30.0</v>
      </c>
      <c r="I1401" s="11">
        <v>40.0</v>
      </c>
      <c r="J1401" s="11">
        <v>10.0</v>
      </c>
      <c r="K1401" s="11">
        <f t="shared" si="1"/>
        <v>80</v>
      </c>
      <c r="L1401" s="11">
        <f t="shared" si="2"/>
        <v>20</v>
      </c>
    </row>
    <row r="1402" ht="15.75" customHeight="1">
      <c r="A1402" s="10" t="s">
        <v>2934</v>
      </c>
      <c r="B1402" s="10" t="s">
        <v>2935</v>
      </c>
      <c r="C1402" s="11">
        <v>0.0</v>
      </c>
      <c r="D1402" s="11">
        <v>0.0</v>
      </c>
      <c r="E1402" s="11">
        <v>0.0</v>
      </c>
      <c r="F1402" s="11">
        <v>0.0</v>
      </c>
      <c r="G1402" s="11">
        <v>0.0</v>
      </c>
      <c r="H1402" s="11">
        <v>70.0</v>
      </c>
      <c r="I1402" s="11">
        <v>0.0</v>
      </c>
      <c r="J1402" s="11">
        <v>0.0</v>
      </c>
      <c r="K1402" s="11">
        <f t="shared" si="1"/>
        <v>70</v>
      </c>
      <c r="L1402" s="11">
        <f t="shared" si="2"/>
        <v>17.5</v>
      </c>
    </row>
    <row r="1403" ht="15.75" customHeight="1">
      <c r="A1403" s="10" t="s">
        <v>2936</v>
      </c>
      <c r="B1403" s="10" t="s">
        <v>2937</v>
      </c>
      <c r="C1403" s="11">
        <v>0.0</v>
      </c>
      <c r="D1403" s="11">
        <v>0.0</v>
      </c>
      <c r="E1403" s="11">
        <v>0.0</v>
      </c>
      <c r="F1403" s="11">
        <v>0.0</v>
      </c>
      <c r="G1403" s="11">
        <v>0.0</v>
      </c>
      <c r="H1403" s="11">
        <v>10.0</v>
      </c>
      <c r="I1403" s="11">
        <v>10.0</v>
      </c>
      <c r="J1403" s="11">
        <v>0.0</v>
      </c>
      <c r="K1403" s="11">
        <f t="shared" si="1"/>
        <v>20</v>
      </c>
      <c r="L1403" s="11">
        <f t="shared" si="2"/>
        <v>5</v>
      </c>
    </row>
    <row r="1404" ht="15.75" customHeight="1">
      <c r="A1404" s="10" t="s">
        <v>2938</v>
      </c>
      <c r="B1404" s="10" t="s">
        <v>2939</v>
      </c>
      <c r="C1404" s="11">
        <v>0.0</v>
      </c>
      <c r="D1404" s="11">
        <v>0.0</v>
      </c>
      <c r="E1404" s="11">
        <v>0.0</v>
      </c>
      <c r="F1404" s="11">
        <v>0.0</v>
      </c>
      <c r="G1404" s="11">
        <v>0.0</v>
      </c>
      <c r="H1404" s="11">
        <v>30.0</v>
      </c>
      <c r="I1404" s="11">
        <v>0.0</v>
      </c>
      <c r="J1404" s="11">
        <v>10.0</v>
      </c>
      <c r="K1404" s="11">
        <f t="shared" si="1"/>
        <v>40</v>
      </c>
      <c r="L1404" s="11">
        <f t="shared" si="2"/>
        <v>10</v>
      </c>
    </row>
    <row r="1405" ht="15.75" customHeight="1">
      <c r="A1405" s="10" t="s">
        <v>2940</v>
      </c>
      <c r="B1405" s="10" t="s">
        <v>2941</v>
      </c>
      <c r="C1405" s="11">
        <v>0.0</v>
      </c>
      <c r="D1405" s="11">
        <v>0.0</v>
      </c>
      <c r="E1405" s="11">
        <v>0.0</v>
      </c>
      <c r="F1405" s="11">
        <v>0.0</v>
      </c>
      <c r="G1405" s="11">
        <v>0.0</v>
      </c>
      <c r="H1405" s="11">
        <v>50.0</v>
      </c>
      <c r="I1405" s="11">
        <v>0.0</v>
      </c>
      <c r="J1405" s="11">
        <v>10.0</v>
      </c>
      <c r="K1405" s="11">
        <f t="shared" si="1"/>
        <v>60</v>
      </c>
      <c r="L1405" s="11">
        <f t="shared" si="2"/>
        <v>15</v>
      </c>
    </row>
    <row r="1406" ht="15.75" customHeight="1">
      <c r="A1406" s="10" t="s">
        <v>2942</v>
      </c>
      <c r="B1406" s="10" t="s">
        <v>2943</v>
      </c>
      <c r="C1406" s="11">
        <v>0.0</v>
      </c>
      <c r="D1406" s="11">
        <v>0.0</v>
      </c>
      <c r="E1406" s="11">
        <v>0.0</v>
      </c>
      <c r="F1406" s="11">
        <v>0.0</v>
      </c>
      <c r="G1406" s="11">
        <v>0.0</v>
      </c>
      <c r="H1406" s="11">
        <v>0.0</v>
      </c>
      <c r="I1406" s="11">
        <v>0.0</v>
      </c>
      <c r="J1406" s="11">
        <v>0.0</v>
      </c>
      <c r="K1406" s="11">
        <f t="shared" si="1"/>
        <v>0</v>
      </c>
      <c r="L1406" s="11">
        <f t="shared" si="2"/>
        <v>0</v>
      </c>
    </row>
    <row r="1407" ht="15.75" customHeight="1">
      <c r="A1407" s="10" t="s">
        <v>2944</v>
      </c>
      <c r="B1407" s="10" t="s">
        <v>2945</v>
      </c>
      <c r="C1407" s="11">
        <v>0.0</v>
      </c>
      <c r="D1407" s="11">
        <v>0.0</v>
      </c>
      <c r="E1407" s="11">
        <v>0.0</v>
      </c>
      <c r="F1407" s="11">
        <v>0.0</v>
      </c>
      <c r="G1407" s="11">
        <v>0.0</v>
      </c>
      <c r="H1407" s="11">
        <v>90.0</v>
      </c>
      <c r="I1407" s="11">
        <v>0.0</v>
      </c>
      <c r="J1407" s="11">
        <v>10.0</v>
      </c>
      <c r="K1407" s="11">
        <f t="shared" si="1"/>
        <v>100</v>
      </c>
      <c r="L1407" s="11">
        <f t="shared" si="2"/>
        <v>25</v>
      </c>
    </row>
    <row r="1408" ht="15.75" customHeight="1">
      <c r="A1408" s="10" t="s">
        <v>2946</v>
      </c>
      <c r="B1408" s="10" t="s">
        <v>2947</v>
      </c>
      <c r="C1408" s="11">
        <v>0.0</v>
      </c>
      <c r="D1408" s="11">
        <v>0.0</v>
      </c>
      <c r="E1408" s="11">
        <v>0.0</v>
      </c>
      <c r="F1408" s="11">
        <v>0.0</v>
      </c>
      <c r="G1408" s="11">
        <v>0.0</v>
      </c>
      <c r="H1408" s="11">
        <v>50.0</v>
      </c>
      <c r="I1408" s="11">
        <v>10.0</v>
      </c>
      <c r="J1408" s="11">
        <v>0.0</v>
      </c>
      <c r="K1408" s="11">
        <f t="shared" si="1"/>
        <v>60</v>
      </c>
      <c r="L1408" s="11">
        <f t="shared" si="2"/>
        <v>15</v>
      </c>
    </row>
    <row r="1409" ht="15.75" customHeight="1">
      <c r="A1409" s="10" t="s">
        <v>2950</v>
      </c>
      <c r="B1409" s="10" t="s">
        <v>2951</v>
      </c>
      <c r="C1409" s="11">
        <v>0.0</v>
      </c>
      <c r="D1409" s="11">
        <v>0.0</v>
      </c>
      <c r="E1409" s="11">
        <v>0.0</v>
      </c>
      <c r="F1409" s="11">
        <v>0.0</v>
      </c>
      <c r="G1409" s="11">
        <v>0.0</v>
      </c>
      <c r="H1409" s="11">
        <v>10.0</v>
      </c>
      <c r="I1409" s="11">
        <v>10.0</v>
      </c>
      <c r="J1409" s="11">
        <v>40.0</v>
      </c>
      <c r="K1409" s="11">
        <f t="shared" si="1"/>
        <v>60</v>
      </c>
      <c r="L1409" s="11">
        <f t="shared" si="2"/>
        <v>15</v>
      </c>
    </row>
    <row r="1410" ht="15.75" customHeight="1">
      <c r="A1410" s="10" t="s">
        <v>2952</v>
      </c>
      <c r="B1410" s="10" t="s">
        <v>2953</v>
      </c>
      <c r="C1410" s="11">
        <v>0.0</v>
      </c>
      <c r="D1410" s="11">
        <v>0.0</v>
      </c>
      <c r="E1410" s="11">
        <v>0.0</v>
      </c>
      <c r="F1410" s="11">
        <v>0.0</v>
      </c>
      <c r="G1410" s="11">
        <v>0.0</v>
      </c>
      <c r="H1410" s="11">
        <v>80.0</v>
      </c>
      <c r="I1410" s="11">
        <v>20.0</v>
      </c>
      <c r="J1410" s="11">
        <v>0.0</v>
      </c>
      <c r="K1410" s="11">
        <f t="shared" si="1"/>
        <v>100</v>
      </c>
      <c r="L1410" s="11">
        <f t="shared" si="2"/>
        <v>25</v>
      </c>
    </row>
    <row r="1411" ht="15.75" customHeight="1">
      <c r="A1411" s="10" t="s">
        <v>2955</v>
      </c>
      <c r="B1411" s="10" t="s">
        <v>2956</v>
      </c>
      <c r="C1411" s="11">
        <v>0.0</v>
      </c>
      <c r="D1411" s="11">
        <v>0.0</v>
      </c>
      <c r="E1411" s="11">
        <v>0.0</v>
      </c>
      <c r="F1411" s="11">
        <v>0.0</v>
      </c>
      <c r="G1411" s="11">
        <v>0.0</v>
      </c>
      <c r="H1411" s="11">
        <v>0.0</v>
      </c>
      <c r="I1411" s="11">
        <v>0.0</v>
      </c>
      <c r="J1411" s="11">
        <v>0.0</v>
      </c>
      <c r="K1411" s="11">
        <f t="shared" si="1"/>
        <v>0</v>
      </c>
      <c r="L1411" s="11">
        <f t="shared" si="2"/>
        <v>0</v>
      </c>
    </row>
    <row r="1412" ht="15.75" customHeight="1">
      <c r="A1412" s="10" t="s">
        <v>2957</v>
      </c>
      <c r="B1412" s="10" t="s">
        <v>2958</v>
      </c>
      <c r="C1412" s="11">
        <v>425.0</v>
      </c>
      <c r="D1412" s="11">
        <v>52.0</v>
      </c>
      <c r="E1412" s="11">
        <v>0.0</v>
      </c>
      <c r="F1412" s="11">
        <v>0.0</v>
      </c>
      <c r="G1412" s="11">
        <v>0.0</v>
      </c>
      <c r="H1412" s="11">
        <v>0.0</v>
      </c>
      <c r="I1412" s="11">
        <v>0.0</v>
      </c>
      <c r="J1412" s="11">
        <v>0.0</v>
      </c>
      <c r="K1412" s="11">
        <f t="shared" si="1"/>
        <v>477</v>
      </c>
      <c r="L1412" s="11">
        <f t="shared" si="2"/>
        <v>0</v>
      </c>
    </row>
    <row r="1413" ht="15.75" customHeight="1">
      <c r="A1413" s="10" t="s">
        <v>2959</v>
      </c>
      <c r="B1413" s="10" t="s">
        <v>2960</v>
      </c>
      <c r="C1413" s="11">
        <v>0.0</v>
      </c>
      <c r="D1413" s="11">
        <v>0.0</v>
      </c>
      <c r="E1413" s="11">
        <v>0.0</v>
      </c>
      <c r="F1413" s="11">
        <v>109.5</v>
      </c>
      <c r="G1413" s="11">
        <v>107.0</v>
      </c>
      <c r="H1413" s="11">
        <v>0.0</v>
      </c>
      <c r="I1413" s="11">
        <v>0.0</v>
      </c>
      <c r="J1413" s="11">
        <v>0.0</v>
      </c>
      <c r="K1413" s="11">
        <f t="shared" si="1"/>
        <v>216.5</v>
      </c>
      <c r="L1413" s="11">
        <f t="shared" si="2"/>
        <v>26.75</v>
      </c>
    </row>
    <row r="1414" ht="15.75" customHeight="1">
      <c r="A1414" s="10" t="s">
        <v>2961</v>
      </c>
      <c r="B1414" s="10" t="s">
        <v>2962</v>
      </c>
      <c r="C1414" s="11">
        <v>0.0</v>
      </c>
      <c r="D1414" s="11">
        <v>0.0</v>
      </c>
      <c r="E1414" s="11">
        <v>0.0</v>
      </c>
      <c r="F1414" s="11">
        <v>0.0</v>
      </c>
      <c r="G1414" s="11">
        <v>0.0</v>
      </c>
      <c r="H1414" s="11">
        <v>0.0</v>
      </c>
      <c r="I1414" s="11">
        <v>0.0</v>
      </c>
      <c r="J1414" s="11">
        <v>0.0</v>
      </c>
      <c r="K1414" s="11">
        <f t="shared" si="1"/>
        <v>0</v>
      </c>
      <c r="L1414" s="11">
        <f t="shared" si="2"/>
        <v>0</v>
      </c>
    </row>
    <row r="1415" ht="15.75" customHeight="1">
      <c r="A1415" s="10" t="s">
        <v>2963</v>
      </c>
      <c r="B1415" s="10" t="s">
        <v>2964</v>
      </c>
      <c r="C1415" s="11">
        <v>0.0</v>
      </c>
      <c r="D1415" s="11">
        <v>0.0</v>
      </c>
      <c r="E1415" s="11">
        <v>0.0</v>
      </c>
      <c r="F1415" s="11">
        <v>0.0</v>
      </c>
      <c r="G1415" s="11">
        <v>0.0</v>
      </c>
      <c r="H1415" s="11">
        <v>0.0</v>
      </c>
      <c r="I1415" s="11">
        <v>0.0</v>
      </c>
      <c r="J1415" s="11">
        <v>0.0</v>
      </c>
      <c r="K1415" s="11">
        <f t="shared" si="1"/>
        <v>0</v>
      </c>
      <c r="L1415" s="11">
        <f t="shared" si="2"/>
        <v>0</v>
      </c>
    </row>
    <row r="1416" ht="15.75" customHeight="1">
      <c r="A1416" s="10" t="s">
        <v>2965</v>
      </c>
      <c r="B1416" s="10" t="s">
        <v>2966</v>
      </c>
      <c r="C1416" s="11">
        <v>0.0</v>
      </c>
      <c r="D1416" s="11">
        <v>0.0</v>
      </c>
      <c r="E1416" s="11">
        <v>0.0</v>
      </c>
      <c r="F1416" s="11">
        <v>0.0</v>
      </c>
      <c r="G1416" s="11">
        <v>0.0</v>
      </c>
      <c r="H1416" s="11">
        <v>0.0</v>
      </c>
      <c r="I1416" s="11">
        <v>0.0</v>
      </c>
      <c r="J1416" s="11">
        <v>0.0</v>
      </c>
      <c r="K1416" s="11">
        <f t="shared" si="1"/>
        <v>0</v>
      </c>
      <c r="L1416" s="11">
        <f t="shared" si="2"/>
        <v>0</v>
      </c>
    </row>
    <row r="1417" ht="15.75" customHeight="1">
      <c r="A1417" s="10" t="s">
        <v>2967</v>
      </c>
      <c r="B1417" s="10" t="s">
        <v>2968</v>
      </c>
      <c r="C1417" s="11">
        <v>0.0</v>
      </c>
      <c r="D1417" s="11">
        <v>0.0</v>
      </c>
      <c r="E1417" s="11">
        <v>0.0</v>
      </c>
      <c r="F1417" s="11">
        <v>0.0</v>
      </c>
      <c r="G1417" s="11">
        <v>0.0</v>
      </c>
      <c r="H1417" s="11">
        <v>0.0</v>
      </c>
      <c r="I1417" s="11">
        <v>0.0</v>
      </c>
      <c r="J1417" s="11">
        <v>0.0</v>
      </c>
      <c r="K1417" s="11">
        <f t="shared" si="1"/>
        <v>0</v>
      </c>
      <c r="L1417" s="11">
        <f t="shared" si="2"/>
        <v>0</v>
      </c>
    </row>
    <row r="1418" ht="15.75" customHeight="1">
      <c r="A1418" s="10" t="s">
        <v>2969</v>
      </c>
      <c r="B1418" s="10" t="s">
        <v>2970</v>
      </c>
      <c r="C1418" s="11">
        <v>0.0</v>
      </c>
      <c r="D1418" s="11">
        <v>0.0</v>
      </c>
      <c r="E1418" s="11">
        <v>0.0</v>
      </c>
      <c r="F1418" s="11">
        <v>0.0</v>
      </c>
      <c r="G1418" s="11">
        <v>0.0</v>
      </c>
      <c r="H1418" s="11">
        <v>0.0</v>
      </c>
      <c r="I1418" s="11">
        <v>0.0</v>
      </c>
      <c r="J1418" s="11">
        <v>0.0</v>
      </c>
      <c r="K1418" s="11">
        <f t="shared" si="1"/>
        <v>0</v>
      </c>
      <c r="L1418" s="11">
        <f t="shared" si="2"/>
        <v>0</v>
      </c>
    </row>
    <row r="1419" ht="15.75" customHeight="1">
      <c r="A1419" s="10" t="s">
        <v>2971</v>
      </c>
      <c r="B1419" s="10" t="s">
        <v>2972</v>
      </c>
      <c r="C1419" s="11">
        <v>0.0</v>
      </c>
      <c r="D1419" s="11">
        <v>0.0</v>
      </c>
      <c r="E1419" s="11">
        <v>0.0</v>
      </c>
      <c r="F1419" s="11">
        <v>0.0</v>
      </c>
      <c r="G1419" s="11">
        <v>0.0</v>
      </c>
      <c r="H1419" s="11">
        <v>0.0</v>
      </c>
      <c r="I1419" s="11">
        <v>0.0</v>
      </c>
      <c r="J1419" s="11">
        <v>0.0</v>
      </c>
      <c r="K1419" s="11">
        <f t="shared" si="1"/>
        <v>0</v>
      </c>
      <c r="L1419" s="11">
        <f t="shared" si="2"/>
        <v>0</v>
      </c>
    </row>
    <row r="1420" ht="15.75" customHeight="1">
      <c r="A1420" s="10" t="s">
        <v>2973</v>
      </c>
      <c r="B1420" s="10" t="s">
        <v>2974</v>
      </c>
      <c r="C1420" s="11">
        <v>0.0</v>
      </c>
      <c r="D1420" s="11">
        <v>0.0</v>
      </c>
      <c r="E1420" s="11">
        <v>0.0</v>
      </c>
      <c r="F1420" s="11">
        <v>0.0</v>
      </c>
      <c r="G1420" s="11">
        <v>0.0</v>
      </c>
      <c r="H1420" s="11">
        <v>0.0</v>
      </c>
      <c r="I1420" s="11">
        <v>0.0</v>
      </c>
      <c r="J1420" s="11">
        <v>0.0</v>
      </c>
      <c r="K1420" s="11">
        <f t="shared" si="1"/>
        <v>0</v>
      </c>
      <c r="L1420" s="11">
        <f t="shared" si="2"/>
        <v>0</v>
      </c>
    </row>
    <row r="1421" ht="15.75" customHeight="1">
      <c r="A1421" s="10" t="s">
        <v>2975</v>
      </c>
      <c r="B1421" s="10" t="s">
        <v>2976</v>
      </c>
      <c r="C1421" s="11">
        <v>0.0</v>
      </c>
      <c r="D1421" s="11">
        <v>0.0</v>
      </c>
      <c r="E1421" s="11">
        <v>0.0</v>
      </c>
      <c r="F1421" s="11">
        <v>0.0</v>
      </c>
      <c r="G1421" s="11">
        <v>0.0</v>
      </c>
      <c r="H1421" s="11">
        <v>0.0</v>
      </c>
      <c r="I1421" s="11">
        <v>0.0</v>
      </c>
      <c r="J1421" s="11">
        <v>0.0</v>
      </c>
      <c r="K1421" s="11">
        <f t="shared" si="1"/>
        <v>0</v>
      </c>
      <c r="L1421" s="11">
        <f t="shared" si="2"/>
        <v>0</v>
      </c>
    </row>
    <row r="1422" ht="15.75" customHeight="1">
      <c r="A1422" s="10" t="s">
        <v>2977</v>
      </c>
      <c r="B1422" s="10" t="s">
        <v>2978</v>
      </c>
      <c r="C1422" s="11">
        <v>0.0</v>
      </c>
      <c r="D1422" s="11">
        <v>0.0</v>
      </c>
      <c r="E1422" s="11">
        <v>0.0</v>
      </c>
      <c r="F1422" s="11">
        <v>0.0</v>
      </c>
      <c r="G1422" s="11">
        <v>0.0</v>
      </c>
      <c r="H1422" s="11">
        <v>0.0</v>
      </c>
      <c r="I1422" s="11">
        <v>0.0</v>
      </c>
      <c r="J1422" s="11">
        <v>0.0</v>
      </c>
      <c r="K1422" s="11">
        <f t="shared" si="1"/>
        <v>0</v>
      </c>
      <c r="L1422" s="11">
        <f t="shared" si="2"/>
        <v>0</v>
      </c>
    </row>
    <row r="1423" ht="15.75" customHeight="1">
      <c r="A1423" s="10" t="s">
        <v>2979</v>
      </c>
      <c r="B1423" s="10" t="s">
        <v>2980</v>
      </c>
      <c r="C1423" s="11">
        <v>0.0</v>
      </c>
      <c r="D1423" s="11">
        <v>0.0</v>
      </c>
      <c r="E1423" s="11">
        <v>0.0</v>
      </c>
      <c r="F1423" s="11">
        <v>0.0</v>
      </c>
      <c r="G1423" s="11">
        <v>0.0</v>
      </c>
      <c r="H1423" s="11">
        <v>0.0</v>
      </c>
      <c r="I1423" s="11">
        <v>0.0</v>
      </c>
      <c r="J1423" s="11">
        <v>0.0</v>
      </c>
      <c r="K1423" s="11">
        <f t="shared" si="1"/>
        <v>0</v>
      </c>
      <c r="L1423" s="11">
        <f t="shared" si="2"/>
        <v>0</v>
      </c>
    </row>
    <row r="1424" ht="15.75" customHeight="1">
      <c r="A1424" s="10" t="s">
        <v>2981</v>
      </c>
      <c r="B1424" s="10" t="s">
        <v>2982</v>
      </c>
      <c r="C1424" s="11">
        <v>0.0</v>
      </c>
      <c r="D1424" s="11">
        <v>0.0</v>
      </c>
      <c r="E1424" s="11">
        <v>0.0</v>
      </c>
      <c r="F1424" s="11">
        <v>0.0</v>
      </c>
      <c r="G1424" s="11">
        <v>0.0</v>
      </c>
      <c r="H1424" s="11">
        <v>0.0</v>
      </c>
      <c r="I1424" s="11">
        <v>0.0</v>
      </c>
      <c r="J1424" s="11">
        <v>0.0</v>
      </c>
      <c r="K1424" s="11">
        <f t="shared" si="1"/>
        <v>0</v>
      </c>
      <c r="L1424" s="11">
        <f t="shared" si="2"/>
        <v>0</v>
      </c>
    </row>
    <row r="1425" ht="15.75" customHeight="1">
      <c r="A1425" s="10" t="s">
        <v>2983</v>
      </c>
      <c r="B1425" s="10" t="s">
        <v>2984</v>
      </c>
      <c r="C1425" s="11">
        <v>200.0</v>
      </c>
      <c r="D1425" s="11">
        <v>100.0</v>
      </c>
      <c r="E1425" s="11">
        <v>50.0</v>
      </c>
      <c r="F1425" s="11">
        <v>50.0</v>
      </c>
      <c r="G1425" s="11">
        <v>0.0</v>
      </c>
      <c r="H1425" s="11">
        <v>168.0</v>
      </c>
      <c r="I1425" s="11">
        <v>0.0</v>
      </c>
      <c r="J1425" s="11">
        <v>100.0</v>
      </c>
      <c r="K1425" s="11">
        <f t="shared" si="1"/>
        <v>668</v>
      </c>
      <c r="L1425" s="11">
        <f t="shared" si="2"/>
        <v>67</v>
      </c>
    </row>
    <row r="1426" ht="15.75" customHeight="1">
      <c r="A1426" s="10" t="s">
        <v>2985</v>
      </c>
      <c r="B1426" s="10" t="s">
        <v>2986</v>
      </c>
      <c r="C1426" s="11">
        <v>50.0</v>
      </c>
      <c r="D1426" s="11">
        <v>50.0</v>
      </c>
      <c r="E1426" s="11">
        <v>50.0</v>
      </c>
      <c r="F1426" s="11">
        <v>50.0</v>
      </c>
      <c r="G1426" s="11">
        <v>0.0</v>
      </c>
      <c r="H1426" s="11">
        <v>0.0</v>
      </c>
      <c r="I1426" s="11">
        <v>0.0</v>
      </c>
      <c r="J1426" s="11">
        <v>0.0</v>
      </c>
      <c r="K1426" s="11">
        <f t="shared" si="1"/>
        <v>200</v>
      </c>
      <c r="L1426" s="11">
        <f t="shared" si="2"/>
        <v>0</v>
      </c>
    </row>
    <row r="1427" ht="15.75" customHeight="1">
      <c r="A1427" s="10" t="s">
        <v>2987</v>
      </c>
      <c r="B1427" s="10" t="s">
        <v>2988</v>
      </c>
      <c r="C1427" s="11">
        <v>150.0</v>
      </c>
      <c r="D1427" s="11">
        <v>150.0</v>
      </c>
      <c r="E1427" s="11">
        <v>250.0</v>
      </c>
      <c r="F1427" s="11">
        <v>100.0</v>
      </c>
      <c r="G1427" s="11">
        <v>100.0</v>
      </c>
      <c r="H1427" s="11">
        <v>100.0</v>
      </c>
      <c r="I1427" s="11">
        <v>50.0</v>
      </c>
      <c r="J1427" s="11">
        <v>100.0</v>
      </c>
      <c r="K1427" s="11">
        <f t="shared" si="1"/>
        <v>1000</v>
      </c>
      <c r="L1427" s="11">
        <f t="shared" si="2"/>
        <v>87.5</v>
      </c>
    </row>
    <row r="1428" ht="15.75" customHeight="1">
      <c r="A1428" s="10" t="s">
        <v>2989</v>
      </c>
      <c r="B1428" s="10" t="s">
        <v>2990</v>
      </c>
      <c r="C1428" s="11">
        <v>24.5</v>
      </c>
      <c r="D1428" s="11">
        <v>0.0</v>
      </c>
      <c r="E1428" s="11">
        <v>0.0</v>
      </c>
      <c r="F1428" s="11">
        <v>0.0</v>
      </c>
      <c r="G1428" s="11">
        <v>49.0</v>
      </c>
      <c r="H1428" s="11">
        <v>0.0</v>
      </c>
      <c r="I1428" s="11">
        <v>0.0</v>
      </c>
      <c r="J1428" s="11">
        <v>0.0</v>
      </c>
      <c r="K1428" s="11">
        <f t="shared" si="1"/>
        <v>73.5</v>
      </c>
      <c r="L1428" s="11">
        <f t="shared" si="2"/>
        <v>12.25</v>
      </c>
    </row>
    <row r="1429" ht="15.75" customHeight="1">
      <c r="A1429" s="10" t="s">
        <v>2991</v>
      </c>
      <c r="B1429" s="10" t="s">
        <v>2992</v>
      </c>
      <c r="C1429" s="11">
        <v>100.0</v>
      </c>
      <c r="D1429" s="11">
        <v>200.0</v>
      </c>
      <c r="E1429" s="11">
        <v>450.0</v>
      </c>
      <c r="F1429" s="11">
        <v>100.0</v>
      </c>
      <c r="G1429" s="11">
        <v>0.0</v>
      </c>
      <c r="H1429" s="11">
        <v>0.0</v>
      </c>
      <c r="I1429" s="11">
        <v>0.0</v>
      </c>
      <c r="J1429" s="11">
        <v>0.0</v>
      </c>
      <c r="K1429" s="11">
        <f t="shared" si="1"/>
        <v>850</v>
      </c>
      <c r="L1429" s="11">
        <f t="shared" si="2"/>
        <v>0</v>
      </c>
    </row>
    <row r="1430" ht="15.75" customHeight="1">
      <c r="A1430" s="10" t="s">
        <v>2993</v>
      </c>
      <c r="B1430" s="10" t="s">
        <v>2994</v>
      </c>
      <c r="C1430" s="11">
        <v>2150.0</v>
      </c>
      <c r="D1430" s="11">
        <v>3350.0</v>
      </c>
      <c r="E1430" s="11">
        <v>2050.0</v>
      </c>
      <c r="F1430" s="11">
        <v>400.0</v>
      </c>
      <c r="G1430" s="11">
        <v>0.0</v>
      </c>
      <c r="H1430" s="11">
        <v>0.0</v>
      </c>
      <c r="I1430" s="11">
        <v>0.0</v>
      </c>
      <c r="J1430" s="11">
        <v>0.0</v>
      </c>
      <c r="K1430" s="11">
        <f t="shared" si="1"/>
        <v>7950</v>
      </c>
      <c r="L1430" s="11">
        <f t="shared" si="2"/>
        <v>0</v>
      </c>
    </row>
    <row r="1431" ht="15.75" customHeight="1">
      <c r="A1431" s="10" t="s">
        <v>2995</v>
      </c>
      <c r="B1431" s="10" t="s">
        <v>2996</v>
      </c>
      <c r="C1431" s="11">
        <v>650.0</v>
      </c>
      <c r="D1431" s="11">
        <v>1150.0</v>
      </c>
      <c r="E1431" s="11">
        <v>1450.0</v>
      </c>
      <c r="F1431" s="11">
        <v>1800.0</v>
      </c>
      <c r="G1431" s="11">
        <v>1450.0</v>
      </c>
      <c r="H1431" s="11">
        <v>1100.0</v>
      </c>
      <c r="I1431" s="11">
        <v>1050.0</v>
      </c>
      <c r="J1431" s="11">
        <v>550.0</v>
      </c>
      <c r="K1431" s="11">
        <f t="shared" si="1"/>
        <v>9200</v>
      </c>
      <c r="L1431" s="11">
        <f t="shared" si="2"/>
        <v>1037.5</v>
      </c>
    </row>
    <row r="1432" ht="15.75" customHeight="1">
      <c r="A1432" s="10" t="s">
        <v>2997</v>
      </c>
      <c r="B1432" s="10" t="s">
        <v>2998</v>
      </c>
      <c r="C1432" s="11">
        <v>1050.0</v>
      </c>
      <c r="D1432" s="11">
        <v>1150.0</v>
      </c>
      <c r="E1432" s="11">
        <v>1800.0</v>
      </c>
      <c r="F1432" s="11">
        <v>700.0</v>
      </c>
      <c r="G1432" s="11">
        <v>1450.0</v>
      </c>
      <c r="H1432" s="11">
        <v>300.0</v>
      </c>
      <c r="I1432" s="11">
        <v>350.0</v>
      </c>
      <c r="J1432" s="11">
        <v>200.0</v>
      </c>
      <c r="K1432" s="11">
        <f t="shared" si="1"/>
        <v>7000</v>
      </c>
      <c r="L1432" s="11">
        <f t="shared" si="2"/>
        <v>575</v>
      </c>
    </row>
    <row r="1433" ht="15.75" customHeight="1">
      <c r="A1433" s="10" t="s">
        <v>2999</v>
      </c>
      <c r="B1433" s="10" t="s">
        <v>3000</v>
      </c>
      <c r="C1433" s="11">
        <v>0.0</v>
      </c>
      <c r="D1433" s="11">
        <v>0.0</v>
      </c>
      <c r="E1433" s="11">
        <v>0.0</v>
      </c>
      <c r="F1433" s="11">
        <v>0.0</v>
      </c>
      <c r="G1433" s="11">
        <v>0.0</v>
      </c>
      <c r="H1433" s="11">
        <v>0.0</v>
      </c>
      <c r="I1433" s="11">
        <v>0.0</v>
      </c>
      <c r="J1433" s="11">
        <v>0.0</v>
      </c>
      <c r="K1433" s="11">
        <f t="shared" si="1"/>
        <v>0</v>
      </c>
      <c r="L1433" s="11">
        <f t="shared" si="2"/>
        <v>0</v>
      </c>
    </row>
    <row r="1434" ht="15.75" customHeight="1">
      <c r="A1434" s="10" t="s">
        <v>3001</v>
      </c>
      <c r="B1434" s="10" t="s">
        <v>3002</v>
      </c>
      <c r="C1434" s="11">
        <v>0.0</v>
      </c>
      <c r="D1434" s="11">
        <v>0.0</v>
      </c>
      <c r="E1434" s="11">
        <v>0.0</v>
      </c>
      <c r="F1434" s="11">
        <v>0.0</v>
      </c>
      <c r="G1434" s="11">
        <v>0.0</v>
      </c>
      <c r="H1434" s="11">
        <v>0.0</v>
      </c>
      <c r="I1434" s="11">
        <v>0.0</v>
      </c>
      <c r="J1434" s="11">
        <v>0.0</v>
      </c>
      <c r="K1434" s="11">
        <f t="shared" si="1"/>
        <v>0</v>
      </c>
      <c r="L1434" s="11">
        <f t="shared" si="2"/>
        <v>0</v>
      </c>
    </row>
    <row r="1435" ht="15.75" customHeight="1">
      <c r="A1435" s="10" t="s">
        <v>3003</v>
      </c>
      <c r="B1435" s="10" t="s">
        <v>3004</v>
      </c>
      <c r="C1435" s="11">
        <v>0.0</v>
      </c>
      <c r="D1435" s="11">
        <v>100.0</v>
      </c>
      <c r="E1435" s="11">
        <v>0.0</v>
      </c>
      <c r="F1435" s="11">
        <v>50.0</v>
      </c>
      <c r="G1435" s="11">
        <v>0.0</v>
      </c>
      <c r="H1435" s="11">
        <v>50.0</v>
      </c>
      <c r="I1435" s="11">
        <v>50.0</v>
      </c>
      <c r="J1435" s="11">
        <v>50.0</v>
      </c>
      <c r="K1435" s="11">
        <f t="shared" si="1"/>
        <v>300</v>
      </c>
      <c r="L1435" s="11">
        <f t="shared" si="2"/>
        <v>37.5</v>
      </c>
    </row>
    <row r="1436" ht="15.75" customHeight="1">
      <c r="A1436" s="10" t="s">
        <v>3005</v>
      </c>
      <c r="B1436" s="10" t="s">
        <v>3006</v>
      </c>
      <c r="C1436" s="11">
        <v>0.0</v>
      </c>
      <c r="D1436" s="11">
        <v>0.0</v>
      </c>
      <c r="E1436" s="11">
        <v>0.0</v>
      </c>
      <c r="F1436" s="11">
        <v>0.0</v>
      </c>
      <c r="G1436" s="11">
        <v>0.0</v>
      </c>
      <c r="H1436" s="11">
        <v>0.0</v>
      </c>
      <c r="I1436" s="11">
        <v>0.0</v>
      </c>
      <c r="J1436" s="11">
        <v>0.0</v>
      </c>
      <c r="K1436" s="11">
        <f t="shared" si="1"/>
        <v>0</v>
      </c>
      <c r="L1436" s="11">
        <f t="shared" si="2"/>
        <v>0</v>
      </c>
    </row>
    <row r="1437" ht="15.75" customHeight="1">
      <c r="A1437" s="10" t="s">
        <v>3007</v>
      </c>
      <c r="B1437" s="10" t="s">
        <v>3008</v>
      </c>
      <c r="C1437" s="11">
        <v>0.0</v>
      </c>
      <c r="D1437" s="11">
        <v>0.0</v>
      </c>
      <c r="E1437" s="11">
        <v>0.0</v>
      </c>
      <c r="F1437" s="11">
        <v>0.0</v>
      </c>
      <c r="G1437" s="11">
        <v>0.0</v>
      </c>
      <c r="H1437" s="11">
        <v>0.0</v>
      </c>
      <c r="I1437" s="11">
        <v>0.0</v>
      </c>
      <c r="J1437" s="11">
        <v>0.0</v>
      </c>
      <c r="K1437" s="11">
        <f t="shared" si="1"/>
        <v>0</v>
      </c>
      <c r="L1437" s="11">
        <f t="shared" si="2"/>
        <v>0</v>
      </c>
    </row>
    <row r="1438" ht="15.75" customHeight="1">
      <c r="A1438" s="10" t="s">
        <v>3009</v>
      </c>
      <c r="B1438" s="10" t="s">
        <v>3010</v>
      </c>
      <c r="C1438" s="11">
        <v>120.0</v>
      </c>
      <c r="D1438" s="11">
        <v>40.0</v>
      </c>
      <c r="E1438" s="11">
        <v>440.0</v>
      </c>
      <c r="F1438" s="11">
        <v>205.5</v>
      </c>
      <c r="G1438" s="11">
        <v>80.0</v>
      </c>
      <c r="H1438" s="11">
        <v>80.0</v>
      </c>
      <c r="I1438" s="11">
        <v>120.0</v>
      </c>
      <c r="J1438" s="11">
        <v>80.0</v>
      </c>
      <c r="K1438" s="11">
        <f t="shared" si="1"/>
        <v>1165.5</v>
      </c>
      <c r="L1438" s="11">
        <f t="shared" si="2"/>
        <v>90</v>
      </c>
    </row>
    <row r="1439" ht="15.75" customHeight="1">
      <c r="A1439" s="10" t="s">
        <v>3011</v>
      </c>
      <c r="B1439" s="10" t="s">
        <v>3012</v>
      </c>
      <c r="C1439" s="11">
        <v>200.0</v>
      </c>
      <c r="D1439" s="11">
        <v>354.5</v>
      </c>
      <c r="E1439" s="11">
        <v>697.0</v>
      </c>
      <c r="F1439" s="11">
        <v>565.5</v>
      </c>
      <c r="G1439" s="11">
        <v>279.5</v>
      </c>
      <c r="H1439" s="11">
        <v>541.0</v>
      </c>
      <c r="I1439" s="11">
        <v>320.0</v>
      </c>
      <c r="J1439" s="11">
        <v>200.0</v>
      </c>
      <c r="K1439" s="11">
        <f t="shared" si="1"/>
        <v>3157.5</v>
      </c>
      <c r="L1439" s="11">
        <f t="shared" si="2"/>
        <v>335.125</v>
      </c>
    </row>
    <row r="1440" ht="15.75" customHeight="1">
      <c r="A1440" s="10" t="s">
        <v>3015</v>
      </c>
      <c r="B1440" s="10" t="s">
        <v>3016</v>
      </c>
      <c r="C1440" s="11">
        <v>0.0</v>
      </c>
      <c r="D1440" s="11">
        <v>126.0</v>
      </c>
      <c r="E1440" s="11">
        <v>130.0</v>
      </c>
      <c r="F1440" s="11">
        <v>0.0</v>
      </c>
      <c r="G1440" s="11">
        <v>40.0</v>
      </c>
      <c r="H1440" s="11">
        <v>96.0</v>
      </c>
      <c r="I1440" s="11">
        <v>240.0</v>
      </c>
      <c r="J1440" s="11">
        <v>120.0</v>
      </c>
      <c r="K1440" s="11">
        <f t="shared" si="1"/>
        <v>752</v>
      </c>
      <c r="L1440" s="11">
        <f t="shared" si="2"/>
        <v>124</v>
      </c>
    </row>
    <row r="1441" ht="15.75" customHeight="1">
      <c r="A1441" s="10" t="s">
        <v>3017</v>
      </c>
      <c r="B1441" s="10" t="s">
        <v>3018</v>
      </c>
      <c r="C1441" s="11">
        <v>389.5</v>
      </c>
      <c r="D1441" s="11">
        <v>577.0</v>
      </c>
      <c r="E1441" s="11">
        <v>640.0</v>
      </c>
      <c r="F1441" s="11">
        <v>246.0</v>
      </c>
      <c r="G1441" s="11">
        <v>371.0</v>
      </c>
      <c r="H1441" s="11">
        <v>440.0</v>
      </c>
      <c r="I1441" s="11">
        <v>320.0</v>
      </c>
      <c r="J1441" s="11">
        <v>442.0</v>
      </c>
      <c r="K1441" s="11">
        <f t="shared" si="1"/>
        <v>3425.5</v>
      </c>
      <c r="L1441" s="11">
        <f t="shared" si="2"/>
        <v>393.25</v>
      </c>
    </row>
    <row r="1442" ht="15.75" customHeight="1">
      <c r="A1442" s="10" t="s">
        <v>3019</v>
      </c>
      <c r="B1442" s="10" t="s">
        <v>3020</v>
      </c>
      <c r="C1442" s="11">
        <v>40.0</v>
      </c>
      <c r="D1442" s="11">
        <v>0.0</v>
      </c>
      <c r="E1442" s="11">
        <v>0.0</v>
      </c>
      <c r="F1442" s="11">
        <v>40.0</v>
      </c>
      <c r="G1442" s="11">
        <v>93.0</v>
      </c>
      <c r="H1442" s="11">
        <v>0.0</v>
      </c>
      <c r="I1442" s="11">
        <v>80.0</v>
      </c>
      <c r="J1442" s="11">
        <v>80.0</v>
      </c>
      <c r="K1442" s="11">
        <f t="shared" si="1"/>
        <v>333</v>
      </c>
      <c r="L1442" s="11">
        <f t="shared" si="2"/>
        <v>63.25</v>
      </c>
    </row>
    <row r="1443" ht="15.75" customHeight="1">
      <c r="A1443" s="10" t="s">
        <v>3021</v>
      </c>
      <c r="B1443" s="10" t="s">
        <v>3022</v>
      </c>
      <c r="C1443" s="11">
        <v>67.0</v>
      </c>
      <c r="D1443" s="11">
        <v>1733.0</v>
      </c>
      <c r="E1443" s="11">
        <v>2256.0</v>
      </c>
      <c r="F1443" s="11">
        <v>600.0</v>
      </c>
      <c r="G1443" s="11">
        <v>550.0</v>
      </c>
      <c r="H1443" s="11">
        <v>959.0</v>
      </c>
      <c r="I1443" s="11">
        <v>762.0</v>
      </c>
      <c r="J1443" s="11">
        <v>1600.0</v>
      </c>
      <c r="K1443" s="11">
        <f t="shared" si="1"/>
        <v>8527</v>
      </c>
      <c r="L1443" s="11">
        <f t="shared" si="2"/>
        <v>967.75</v>
      </c>
    </row>
    <row r="1444" ht="15.75" customHeight="1">
      <c r="A1444" s="10" t="s">
        <v>3023</v>
      </c>
      <c r="B1444" s="10" t="s">
        <v>3024</v>
      </c>
      <c r="C1444" s="11">
        <v>0.0</v>
      </c>
      <c r="D1444" s="11">
        <v>0.0</v>
      </c>
      <c r="E1444" s="11">
        <v>476.0</v>
      </c>
      <c r="F1444" s="11">
        <v>40.0</v>
      </c>
      <c r="G1444" s="11">
        <v>40.0</v>
      </c>
      <c r="H1444" s="11">
        <v>0.0</v>
      </c>
      <c r="I1444" s="11">
        <v>240.0</v>
      </c>
      <c r="J1444" s="11">
        <v>240.0</v>
      </c>
      <c r="K1444" s="11">
        <f t="shared" si="1"/>
        <v>1036</v>
      </c>
      <c r="L1444" s="11">
        <f t="shared" si="2"/>
        <v>130</v>
      </c>
    </row>
    <row r="1445" ht="15.75" customHeight="1">
      <c r="A1445" s="10" t="s">
        <v>3025</v>
      </c>
      <c r="B1445" s="10" t="s">
        <v>3026</v>
      </c>
      <c r="C1445" s="11">
        <v>1157.5</v>
      </c>
      <c r="D1445" s="11">
        <v>960.0</v>
      </c>
      <c r="E1445" s="11">
        <v>1027.0</v>
      </c>
      <c r="F1445" s="11">
        <v>618.0</v>
      </c>
      <c r="G1445" s="11">
        <v>240.0</v>
      </c>
      <c r="H1445" s="11">
        <v>745.0</v>
      </c>
      <c r="I1445" s="11">
        <v>560.0</v>
      </c>
      <c r="J1445" s="11">
        <v>675.0</v>
      </c>
      <c r="K1445" s="11">
        <f t="shared" si="1"/>
        <v>5982.5</v>
      </c>
      <c r="L1445" s="11">
        <f t="shared" si="2"/>
        <v>555</v>
      </c>
    </row>
    <row r="1446" ht="15.75" customHeight="1">
      <c r="A1446" s="10" t="s">
        <v>3027</v>
      </c>
      <c r="B1446" s="10" t="s">
        <v>3028</v>
      </c>
      <c r="C1446" s="11">
        <v>0.0</v>
      </c>
      <c r="D1446" s="11">
        <v>0.0</v>
      </c>
      <c r="E1446" s="11">
        <v>0.0</v>
      </c>
      <c r="F1446" s="11">
        <v>0.0</v>
      </c>
      <c r="G1446" s="11">
        <v>0.0</v>
      </c>
      <c r="H1446" s="11">
        <v>0.0</v>
      </c>
      <c r="I1446" s="11">
        <v>0.0</v>
      </c>
      <c r="J1446" s="11">
        <v>0.0</v>
      </c>
      <c r="K1446" s="11">
        <f t="shared" si="1"/>
        <v>0</v>
      </c>
      <c r="L1446" s="11">
        <f t="shared" si="2"/>
        <v>0</v>
      </c>
    </row>
    <row r="1447" ht="15.75" customHeight="1">
      <c r="A1447" s="10" t="s">
        <v>3029</v>
      </c>
      <c r="B1447" s="10" t="s">
        <v>3030</v>
      </c>
      <c r="C1447" s="11">
        <v>0.0</v>
      </c>
      <c r="D1447" s="11">
        <v>0.0</v>
      </c>
      <c r="E1447" s="11">
        <v>0.0</v>
      </c>
      <c r="F1447" s="11">
        <v>0.0</v>
      </c>
      <c r="G1447" s="11">
        <v>40.0</v>
      </c>
      <c r="H1447" s="11">
        <v>0.0</v>
      </c>
      <c r="I1447" s="11">
        <v>120.0</v>
      </c>
      <c r="J1447" s="11">
        <v>80.0</v>
      </c>
      <c r="K1447" s="11">
        <f t="shared" si="1"/>
        <v>240</v>
      </c>
      <c r="L1447" s="11">
        <f t="shared" si="2"/>
        <v>60</v>
      </c>
    </row>
    <row r="1448" ht="15.75" customHeight="1">
      <c r="A1448" s="10" t="s">
        <v>3031</v>
      </c>
      <c r="B1448" s="10" t="s">
        <v>3032</v>
      </c>
      <c r="C1448" s="11">
        <v>83.0</v>
      </c>
      <c r="D1448" s="11">
        <v>96.5</v>
      </c>
      <c r="E1448" s="11">
        <v>120.0</v>
      </c>
      <c r="F1448" s="11">
        <v>188.0</v>
      </c>
      <c r="G1448" s="11">
        <v>80.0</v>
      </c>
      <c r="H1448" s="11">
        <v>279.0</v>
      </c>
      <c r="I1448" s="11">
        <v>120.0</v>
      </c>
      <c r="J1448" s="11">
        <v>200.0</v>
      </c>
      <c r="K1448" s="11">
        <f t="shared" si="1"/>
        <v>1166.5</v>
      </c>
      <c r="L1448" s="11">
        <f t="shared" si="2"/>
        <v>169.75</v>
      </c>
    </row>
    <row r="1449" ht="15.75" customHeight="1">
      <c r="A1449" s="10" t="s">
        <v>3033</v>
      </c>
      <c r="B1449" s="10" t="s">
        <v>3034</v>
      </c>
      <c r="C1449" s="11">
        <v>30.5</v>
      </c>
      <c r="D1449" s="11">
        <v>50.0</v>
      </c>
      <c r="E1449" s="11">
        <v>200.0</v>
      </c>
      <c r="F1449" s="11">
        <v>50.0</v>
      </c>
      <c r="G1449" s="11">
        <v>50.0</v>
      </c>
      <c r="H1449" s="11">
        <v>0.0</v>
      </c>
      <c r="I1449" s="11">
        <v>50.0</v>
      </c>
      <c r="J1449" s="11">
        <v>100.0</v>
      </c>
      <c r="K1449" s="11">
        <f t="shared" si="1"/>
        <v>530.5</v>
      </c>
      <c r="L1449" s="11">
        <f t="shared" si="2"/>
        <v>50</v>
      </c>
    </row>
    <row r="1450" ht="15.75" customHeight="1">
      <c r="A1450" s="10" t="s">
        <v>3035</v>
      </c>
      <c r="B1450" s="10" t="s">
        <v>3036</v>
      </c>
      <c r="C1450" s="11">
        <v>0.0</v>
      </c>
      <c r="D1450" s="11">
        <v>50.0</v>
      </c>
      <c r="E1450" s="11">
        <v>0.0</v>
      </c>
      <c r="F1450" s="11">
        <v>0.0</v>
      </c>
      <c r="G1450" s="11">
        <v>50.0</v>
      </c>
      <c r="H1450" s="11">
        <v>100.0</v>
      </c>
      <c r="I1450" s="11">
        <v>50.0</v>
      </c>
      <c r="J1450" s="11">
        <v>0.0</v>
      </c>
      <c r="K1450" s="11">
        <f t="shared" si="1"/>
        <v>250</v>
      </c>
      <c r="L1450" s="11">
        <f t="shared" si="2"/>
        <v>50</v>
      </c>
    </row>
    <row r="1451" ht="15.75" customHeight="1">
      <c r="A1451" s="10" t="s">
        <v>3037</v>
      </c>
      <c r="B1451" s="10" t="s">
        <v>3038</v>
      </c>
      <c r="C1451" s="11">
        <v>0.0</v>
      </c>
      <c r="D1451" s="11">
        <v>100.0</v>
      </c>
      <c r="E1451" s="11">
        <v>0.0</v>
      </c>
      <c r="F1451" s="11">
        <v>66.5</v>
      </c>
      <c r="G1451" s="11">
        <v>0.0</v>
      </c>
      <c r="H1451" s="11">
        <v>0.0</v>
      </c>
      <c r="I1451" s="11">
        <v>50.0</v>
      </c>
      <c r="J1451" s="11">
        <v>50.0</v>
      </c>
      <c r="K1451" s="11">
        <f t="shared" si="1"/>
        <v>266.5</v>
      </c>
      <c r="L1451" s="11">
        <f t="shared" si="2"/>
        <v>25</v>
      </c>
    </row>
    <row r="1452" ht="15.75" customHeight="1">
      <c r="A1452" s="10" t="s">
        <v>3039</v>
      </c>
      <c r="B1452" s="10" t="s">
        <v>3040</v>
      </c>
      <c r="C1452" s="11">
        <v>0.0</v>
      </c>
      <c r="D1452" s="11">
        <v>0.0</v>
      </c>
      <c r="E1452" s="11">
        <v>0.0</v>
      </c>
      <c r="F1452" s="11">
        <v>0.0</v>
      </c>
      <c r="G1452" s="11">
        <v>0.0</v>
      </c>
      <c r="H1452" s="11">
        <v>41.5</v>
      </c>
      <c r="I1452" s="11">
        <v>0.0</v>
      </c>
      <c r="J1452" s="11">
        <v>0.0</v>
      </c>
      <c r="K1452" s="11">
        <f t="shared" si="1"/>
        <v>41.5</v>
      </c>
      <c r="L1452" s="11">
        <f t="shared" si="2"/>
        <v>10.375</v>
      </c>
    </row>
    <row r="1453" ht="15.75" customHeight="1">
      <c r="A1453" s="10" t="s">
        <v>3041</v>
      </c>
      <c r="B1453" s="10" t="s">
        <v>3042</v>
      </c>
      <c r="C1453" s="11">
        <v>237.0</v>
      </c>
      <c r="D1453" s="11">
        <v>560.0</v>
      </c>
      <c r="E1453" s="11">
        <v>305.0</v>
      </c>
      <c r="F1453" s="11">
        <v>292.0</v>
      </c>
      <c r="G1453" s="11">
        <v>160.0</v>
      </c>
      <c r="H1453" s="11">
        <v>160.0</v>
      </c>
      <c r="I1453" s="11">
        <v>760.0</v>
      </c>
      <c r="J1453" s="11">
        <v>440.0</v>
      </c>
      <c r="K1453" s="11">
        <f t="shared" si="1"/>
        <v>2914</v>
      </c>
      <c r="L1453" s="11">
        <f t="shared" si="2"/>
        <v>380</v>
      </c>
    </row>
    <row r="1454" ht="15.75" customHeight="1">
      <c r="A1454" s="10" t="s">
        <v>3043</v>
      </c>
      <c r="B1454" s="10" t="s">
        <v>3044</v>
      </c>
      <c r="C1454" s="11">
        <v>200.0</v>
      </c>
      <c r="D1454" s="11">
        <v>280.0</v>
      </c>
      <c r="E1454" s="11">
        <v>383.0</v>
      </c>
      <c r="F1454" s="11">
        <v>160.0</v>
      </c>
      <c r="G1454" s="11">
        <v>80.0</v>
      </c>
      <c r="H1454" s="11">
        <v>40.0</v>
      </c>
      <c r="I1454" s="11">
        <v>0.0</v>
      </c>
      <c r="J1454" s="11">
        <v>120.0</v>
      </c>
      <c r="K1454" s="11">
        <f t="shared" si="1"/>
        <v>1263</v>
      </c>
      <c r="L1454" s="11">
        <f t="shared" si="2"/>
        <v>60</v>
      </c>
    </row>
    <row r="1455" ht="15.75" customHeight="1">
      <c r="A1455" s="10" t="s">
        <v>3045</v>
      </c>
      <c r="B1455" s="10" t="s">
        <v>3046</v>
      </c>
      <c r="C1455" s="11">
        <v>200.0</v>
      </c>
      <c r="D1455" s="11">
        <v>40.0</v>
      </c>
      <c r="E1455" s="11">
        <v>122.5</v>
      </c>
      <c r="F1455" s="11">
        <v>120.0</v>
      </c>
      <c r="G1455" s="11">
        <v>54.5</v>
      </c>
      <c r="H1455" s="11">
        <v>40.0</v>
      </c>
      <c r="I1455" s="11">
        <v>240.0</v>
      </c>
      <c r="J1455" s="11">
        <v>121.0</v>
      </c>
      <c r="K1455" s="11">
        <f t="shared" si="1"/>
        <v>938</v>
      </c>
      <c r="L1455" s="11">
        <f t="shared" si="2"/>
        <v>113.875</v>
      </c>
    </row>
    <row r="1456" ht="15.75" customHeight="1">
      <c r="A1456" s="10" t="s">
        <v>3047</v>
      </c>
      <c r="B1456" s="10" t="s">
        <v>3048</v>
      </c>
      <c r="C1456" s="11">
        <v>0.0</v>
      </c>
      <c r="D1456" s="11">
        <v>0.0</v>
      </c>
      <c r="E1456" s="11">
        <v>0.0</v>
      </c>
      <c r="F1456" s="11">
        <v>0.0</v>
      </c>
      <c r="G1456" s="11">
        <v>0.0</v>
      </c>
      <c r="H1456" s="11">
        <v>0.0</v>
      </c>
      <c r="I1456" s="11">
        <v>0.0</v>
      </c>
      <c r="J1456" s="11">
        <v>0.0</v>
      </c>
      <c r="K1456" s="11">
        <f t="shared" si="1"/>
        <v>0</v>
      </c>
      <c r="L1456" s="11">
        <f t="shared" si="2"/>
        <v>0</v>
      </c>
    </row>
    <row r="1457" ht="15.75" customHeight="1">
      <c r="A1457" s="10" t="s">
        <v>3049</v>
      </c>
      <c r="B1457" s="10" t="s">
        <v>3050</v>
      </c>
      <c r="C1457" s="11">
        <v>0.0</v>
      </c>
      <c r="D1457" s="11">
        <v>0.0</v>
      </c>
      <c r="E1457" s="11">
        <v>0.0</v>
      </c>
      <c r="F1457" s="11">
        <v>0.0</v>
      </c>
      <c r="G1457" s="11">
        <v>0.0</v>
      </c>
      <c r="H1457" s="11">
        <v>0.0</v>
      </c>
      <c r="I1457" s="11">
        <v>0.0</v>
      </c>
      <c r="J1457" s="11">
        <v>0.0</v>
      </c>
      <c r="K1457" s="11">
        <f t="shared" si="1"/>
        <v>0</v>
      </c>
      <c r="L1457" s="11">
        <f t="shared" si="2"/>
        <v>0</v>
      </c>
    </row>
    <row r="1458" ht="15.75" customHeight="1">
      <c r="A1458" s="10" t="s">
        <v>3051</v>
      </c>
      <c r="B1458" s="10" t="s">
        <v>3052</v>
      </c>
      <c r="C1458" s="11">
        <v>0.0</v>
      </c>
      <c r="D1458" s="11">
        <v>0.0</v>
      </c>
      <c r="E1458" s="11">
        <v>0.0</v>
      </c>
      <c r="F1458" s="11">
        <v>0.0</v>
      </c>
      <c r="G1458" s="11">
        <v>0.0</v>
      </c>
      <c r="H1458" s="11">
        <v>0.0</v>
      </c>
      <c r="I1458" s="11">
        <v>0.0</v>
      </c>
      <c r="J1458" s="11">
        <v>0.0</v>
      </c>
      <c r="K1458" s="11">
        <f t="shared" si="1"/>
        <v>0</v>
      </c>
      <c r="L1458" s="11">
        <f t="shared" si="2"/>
        <v>0</v>
      </c>
    </row>
    <row r="1459" ht="15.75" customHeight="1">
      <c r="A1459" s="10" t="s">
        <v>3053</v>
      </c>
      <c r="B1459" s="10" t="s">
        <v>3054</v>
      </c>
      <c r="C1459" s="11">
        <v>0.0</v>
      </c>
      <c r="D1459" s="11">
        <v>0.0</v>
      </c>
      <c r="E1459" s="11">
        <v>0.0</v>
      </c>
      <c r="F1459" s="11">
        <v>0.0</v>
      </c>
      <c r="G1459" s="11">
        <v>0.0</v>
      </c>
      <c r="H1459" s="11">
        <v>0.0</v>
      </c>
      <c r="I1459" s="11">
        <v>0.0</v>
      </c>
      <c r="J1459" s="11">
        <v>0.0</v>
      </c>
      <c r="K1459" s="11">
        <f t="shared" si="1"/>
        <v>0</v>
      </c>
      <c r="L1459" s="11">
        <f t="shared" si="2"/>
        <v>0</v>
      </c>
    </row>
    <row r="1460" ht="15.75" customHeight="1">
      <c r="A1460" s="10" t="s">
        <v>3055</v>
      </c>
      <c r="B1460" s="10" t="s">
        <v>3056</v>
      </c>
      <c r="C1460" s="11">
        <v>50.0</v>
      </c>
      <c r="D1460" s="11">
        <v>26.0</v>
      </c>
      <c r="E1460" s="11">
        <v>25.0</v>
      </c>
      <c r="F1460" s="11">
        <v>50.0</v>
      </c>
      <c r="G1460" s="11">
        <v>0.0</v>
      </c>
      <c r="H1460" s="11">
        <v>25.0</v>
      </c>
      <c r="I1460" s="11">
        <v>0.0</v>
      </c>
      <c r="J1460" s="11">
        <v>0.0</v>
      </c>
      <c r="K1460" s="11">
        <f t="shared" si="1"/>
        <v>176</v>
      </c>
      <c r="L1460" s="11">
        <f t="shared" si="2"/>
        <v>6.25</v>
      </c>
    </row>
    <row r="1461" ht="15.75" customHeight="1">
      <c r="A1461" s="10" t="s">
        <v>3057</v>
      </c>
      <c r="B1461" s="10" t="s">
        <v>3058</v>
      </c>
      <c r="C1461" s="11">
        <v>0.0</v>
      </c>
      <c r="D1461" s="11">
        <v>0.0</v>
      </c>
      <c r="E1461" s="11">
        <v>0.0</v>
      </c>
      <c r="F1461" s="11">
        <v>0.0</v>
      </c>
      <c r="G1461" s="11">
        <v>0.0</v>
      </c>
      <c r="H1461" s="11">
        <v>0.0</v>
      </c>
      <c r="I1461" s="11">
        <v>0.0</v>
      </c>
      <c r="J1461" s="11">
        <v>0.0</v>
      </c>
      <c r="K1461" s="11">
        <f t="shared" si="1"/>
        <v>0</v>
      </c>
      <c r="L1461" s="11">
        <f t="shared" si="2"/>
        <v>0</v>
      </c>
    </row>
    <row r="1462" ht="15.75" customHeight="1">
      <c r="A1462" s="10" t="s">
        <v>3059</v>
      </c>
      <c r="B1462" s="10" t="s">
        <v>3060</v>
      </c>
      <c r="C1462" s="11">
        <v>0.0</v>
      </c>
      <c r="D1462" s="11">
        <v>0.0</v>
      </c>
      <c r="E1462" s="11">
        <v>0.0</v>
      </c>
      <c r="F1462" s="11">
        <v>0.0</v>
      </c>
      <c r="G1462" s="11">
        <v>0.0</v>
      </c>
      <c r="H1462" s="11">
        <v>0.0</v>
      </c>
      <c r="I1462" s="11">
        <v>0.0</v>
      </c>
      <c r="J1462" s="11">
        <v>0.0</v>
      </c>
      <c r="K1462" s="11">
        <f t="shared" si="1"/>
        <v>0</v>
      </c>
      <c r="L1462" s="11">
        <f t="shared" si="2"/>
        <v>0</v>
      </c>
    </row>
    <row r="1463" ht="15.75" customHeight="1">
      <c r="A1463" s="10" t="s">
        <v>3061</v>
      </c>
      <c r="B1463" s="10" t="s">
        <v>3062</v>
      </c>
      <c r="C1463" s="11">
        <v>0.0</v>
      </c>
      <c r="D1463" s="11">
        <v>0.0</v>
      </c>
      <c r="E1463" s="11">
        <v>0.0</v>
      </c>
      <c r="F1463" s="11">
        <v>0.0</v>
      </c>
      <c r="G1463" s="11">
        <v>0.0</v>
      </c>
      <c r="H1463" s="11">
        <v>0.0</v>
      </c>
      <c r="I1463" s="11">
        <v>0.0</v>
      </c>
      <c r="J1463" s="11">
        <v>81.0</v>
      </c>
      <c r="K1463" s="11">
        <f t="shared" si="1"/>
        <v>81</v>
      </c>
      <c r="L1463" s="11">
        <f t="shared" si="2"/>
        <v>20.25</v>
      </c>
    </row>
    <row r="1464" ht="15.75" customHeight="1">
      <c r="A1464" s="10" t="s">
        <v>3063</v>
      </c>
      <c r="B1464" s="10" t="s">
        <v>3064</v>
      </c>
      <c r="C1464" s="11">
        <v>0.0</v>
      </c>
      <c r="D1464" s="11">
        <v>0.0</v>
      </c>
      <c r="E1464" s="11">
        <v>0.0</v>
      </c>
      <c r="F1464" s="11">
        <v>0.0</v>
      </c>
      <c r="G1464" s="11">
        <v>0.0</v>
      </c>
      <c r="H1464" s="11">
        <v>0.0</v>
      </c>
      <c r="I1464" s="11">
        <v>0.0</v>
      </c>
      <c r="J1464" s="11">
        <v>0.0</v>
      </c>
      <c r="K1464" s="11">
        <f t="shared" si="1"/>
        <v>0</v>
      </c>
      <c r="L1464" s="11">
        <f t="shared" si="2"/>
        <v>0</v>
      </c>
    </row>
    <row r="1465" ht="15.75" customHeight="1">
      <c r="A1465" s="10" t="s">
        <v>3065</v>
      </c>
      <c r="B1465" s="10" t="s">
        <v>3066</v>
      </c>
      <c r="C1465" s="11">
        <v>0.0</v>
      </c>
      <c r="D1465" s="11">
        <v>0.0</v>
      </c>
      <c r="E1465" s="11">
        <v>0.0</v>
      </c>
      <c r="F1465" s="11">
        <v>0.0</v>
      </c>
      <c r="G1465" s="11">
        <v>0.0</v>
      </c>
      <c r="H1465" s="11">
        <v>0.0</v>
      </c>
      <c r="I1465" s="11">
        <v>0.0</v>
      </c>
      <c r="J1465" s="11">
        <v>0.0</v>
      </c>
      <c r="K1465" s="11">
        <f t="shared" si="1"/>
        <v>0</v>
      </c>
      <c r="L1465" s="11">
        <f t="shared" si="2"/>
        <v>0</v>
      </c>
    </row>
    <row r="1466" ht="15.75" customHeight="1">
      <c r="A1466" s="10" t="s">
        <v>3067</v>
      </c>
      <c r="B1466" s="10" t="s">
        <v>3068</v>
      </c>
      <c r="C1466" s="11">
        <v>0.0</v>
      </c>
      <c r="D1466" s="11">
        <v>0.0</v>
      </c>
      <c r="E1466" s="11">
        <v>0.0</v>
      </c>
      <c r="F1466" s="11">
        <v>0.0</v>
      </c>
      <c r="G1466" s="11">
        <v>0.0</v>
      </c>
      <c r="H1466" s="11">
        <v>0.0</v>
      </c>
      <c r="I1466" s="11">
        <v>0.0</v>
      </c>
      <c r="J1466" s="11">
        <v>0.0</v>
      </c>
      <c r="K1466" s="11">
        <f t="shared" si="1"/>
        <v>0</v>
      </c>
      <c r="L1466" s="11">
        <f t="shared" si="2"/>
        <v>0</v>
      </c>
    </row>
    <row r="1467" ht="15.75" customHeight="1">
      <c r="A1467" s="10" t="s">
        <v>3069</v>
      </c>
      <c r="B1467" s="10" t="s">
        <v>3070</v>
      </c>
      <c r="C1467" s="11">
        <v>0.0</v>
      </c>
      <c r="D1467" s="11">
        <v>0.0</v>
      </c>
      <c r="E1467" s="11">
        <v>0.0</v>
      </c>
      <c r="F1467" s="11">
        <v>0.0</v>
      </c>
      <c r="G1467" s="11">
        <v>0.0</v>
      </c>
      <c r="H1467" s="11">
        <v>0.0</v>
      </c>
      <c r="I1467" s="11">
        <v>0.0</v>
      </c>
      <c r="J1467" s="11">
        <v>0.0</v>
      </c>
      <c r="K1467" s="11">
        <f t="shared" si="1"/>
        <v>0</v>
      </c>
      <c r="L1467" s="11">
        <f t="shared" si="2"/>
        <v>0</v>
      </c>
    </row>
    <row r="1468" ht="15.75" customHeight="1">
      <c r="A1468" s="10" t="s">
        <v>3071</v>
      </c>
      <c r="B1468" s="10" t="s">
        <v>3072</v>
      </c>
      <c r="C1468" s="11">
        <v>0.0</v>
      </c>
      <c r="D1468" s="11">
        <v>0.0</v>
      </c>
      <c r="E1468" s="11">
        <v>0.0</v>
      </c>
      <c r="F1468" s="11">
        <v>0.0</v>
      </c>
      <c r="G1468" s="11">
        <v>0.0</v>
      </c>
      <c r="H1468" s="11">
        <v>0.0</v>
      </c>
      <c r="I1468" s="11">
        <v>0.0</v>
      </c>
      <c r="J1468" s="11">
        <v>0.0</v>
      </c>
      <c r="K1468" s="11">
        <f t="shared" si="1"/>
        <v>0</v>
      </c>
      <c r="L1468" s="11">
        <f t="shared" si="2"/>
        <v>0</v>
      </c>
    </row>
    <row r="1469" ht="15.75" customHeight="1">
      <c r="A1469" s="10" t="s">
        <v>3073</v>
      </c>
      <c r="B1469" s="10" t="s">
        <v>3074</v>
      </c>
      <c r="C1469" s="11">
        <v>0.0</v>
      </c>
      <c r="D1469" s="11">
        <v>0.0</v>
      </c>
      <c r="E1469" s="11">
        <v>0.0</v>
      </c>
      <c r="F1469" s="11">
        <v>0.0</v>
      </c>
      <c r="G1469" s="11">
        <v>0.0</v>
      </c>
      <c r="H1469" s="11">
        <v>0.0</v>
      </c>
      <c r="I1469" s="11">
        <v>0.0</v>
      </c>
      <c r="J1469" s="11">
        <v>0.0</v>
      </c>
      <c r="K1469" s="11">
        <f t="shared" si="1"/>
        <v>0</v>
      </c>
      <c r="L1469" s="11">
        <f t="shared" si="2"/>
        <v>0</v>
      </c>
    </row>
    <row r="1470" ht="15.75" customHeight="1">
      <c r="A1470" s="10" t="s">
        <v>3075</v>
      </c>
      <c r="B1470" s="10" t="s">
        <v>3076</v>
      </c>
      <c r="C1470" s="11">
        <v>0.0</v>
      </c>
      <c r="D1470" s="11">
        <v>0.0</v>
      </c>
      <c r="E1470" s="11">
        <v>0.0</v>
      </c>
      <c r="F1470" s="11">
        <v>0.0</v>
      </c>
      <c r="G1470" s="11">
        <v>0.0</v>
      </c>
      <c r="H1470" s="11">
        <v>0.0</v>
      </c>
      <c r="I1470" s="11">
        <v>0.0</v>
      </c>
      <c r="J1470" s="11">
        <v>0.0</v>
      </c>
      <c r="K1470" s="11">
        <f t="shared" si="1"/>
        <v>0</v>
      </c>
      <c r="L1470" s="11">
        <f t="shared" si="2"/>
        <v>0</v>
      </c>
    </row>
    <row r="1471" ht="15.75" customHeight="1">
      <c r="A1471" s="10" t="s">
        <v>3077</v>
      </c>
      <c r="B1471" s="10" t="s">
        <v>3078</v>
      </c>
      <c r="C1471" s="11">
        <v>0.0</v>
      </c>
      <c r="D1471" s="11">
        <v>0.0</v>
      </c>
      <c r="E1471" s="11">
        <v>0.0</v>
      </c>
      <c r="F1471" s="11">
        <v>0.0</v>
      </c>
      <c r="G1471" s="11">
        <v>0.0</v>
      </c>
      <c r="H1471" s="11">
        <v>100.0</v>
      </c>
      <c r="I1471" s="11">
        <v>0.0</v>
      </c>
      <c r="J1471" s="11">
        <v>200.0</v>
      </c>
      <c r="K1471" s="11">
        <f t="shared" si="1"/>
        <v>300</v>
      </c>
      <c r="L1471" s="11">
        <f t="shared" si="2"/>
        <v>75</v>
      </c>
    </row>
    <row r="1472" ht="15.75" customHeight="1">
      <c r="A1472" s="10" t="s">
        <v>3080</v>
      </c>
      <c r="B1472" s="10" t="s">
        <v>3081</v>
      </c>
      <c r="C1472" s="11">
        <v>0.0</v>
      </c>
      <c r="D1472" s="11">
        <v>0.0</v>
      </c>
      <c r="E1472" s="11">
        <v>0.0</v>
      </c>
      <c r="F1472" s="11">
        <v>0.0</v>
      </c>
      <c r="G1472" s="11">
        <v>0.0</v>
      </c>
      <c r="H1472" s="11">
        <v>0.0</v>
      </c>
      <c r="I1472" s="11">
        <v>0.0</v>
      </c>
      <c r="J1472" s="11">
        <v>0.0</v>
      </c>
      <c r="K1472" s="11">
        <f t="shared" si="1"/>
        <v>0</v>
      </c>
      <c r="L1472" s="11">
        <f t="shared" si="2"/>
        <v>0</v>
      </c>
    </row>
    <row r="1473" ht="15.75" customHeight="1">
      <c r="A1473" s="10" t="s">
        <v>3082</v>
      </c>
      <c r="B1473" s="10" t="s">
        <v>3083</v>
      </c>
      <c r="C1473" s="11">
        <v>0.0</v>
      </c>
      <c r="D1473" s="11">
        <v>0.0</v>
      </c>
      <c r="E1473" s="11">
        <v>0.0</v>
      </c>
      <c r="F1473" s="11">
        <v>0.0</v>
      </c>
      <c r="G1473" s="11">
        <v>0.0</v>
      </c>
      <c r="H1473" s="11">
        <v>0.0</v>
      </c>
      <c r="I1473" s="11">
        <v>0.0</v>
      </c>
      <c r="J1473" s="11">
        <v>50.0</v>
      </c>
      <c r="K1473" s="11">
        <f t="shared" si="1"/>
        <v>50</v>
      </c>
      <c r="L1473" s="11">
        <f t="shared" si="2"/>
        <v>12.5</v>
      </c>
    </row>
    <row r="1474" ht="15.75" customHeight="1">
      <c r="A1474" s="10" t="s">
        <v>3084</v>
      </c>
      <c r="B1474" s="10" t="s">
        <v>3085</v>
      </c>
      <c r="C1474" s="11">
        <v>0.0</v>
      </c>
      <c r="D1474" s="11">
        <v>0.0</v>
      </c>
      <c r="E1474" s="11">
        <v>0.0</v>
      </c>
      <c r="F1474" s="11">
        <v>0.0</v>
      </c>
      <c r="G1474" s="11">
        <v>0.0</v>
      </c>
      <c r="H1474" s="11">
        <v>50.0</v>
      </c>
      <c r="I1474" s="11">
        <v>0.0</v>
      </c>
      <c r="J1474" s="11">
        <v>0.0</v>
      </c>
      <c r="K1474" s="11">
        <f t="shared" si="1"/>
        <v>50</v>
      </c>
      <c r="L1474" s="11">
        <f t="shared" si="2"/>
        <v>12.5</v>
      </c>
    </row>
    <row r="1475" ht="15.75" customHeight="1">
      <c r="A1475" s="10" t="s">
        <v>3086</v>
      </c>
      <c r="B1475" s="10" t="s">
        <v>3087</v>
      </c>
      <c r="C1475" s="11">
        <v>0.0</v>
      </c>
      <c r="D1475" s="11">
        <v>0.0</v>
      </c>
      <c r="E1475" s="11">
        <v>0.0</v>
      </c>
      <c r="F1475" s="11">
        <v>0.0</v>
      </c>
      <c r="G1475" s="11">
        <v>0.0</v>
      </c>
      <c r="H1475" s="11">
        <v>40.0</v>
      </c>
      <c r="I1475" s="11">
        <v>0.0</v>
      </c>
      <c r="J1475" s="11">
        <v>0.0</v>
      </c>
      <c r="K1475" s="11">
        <f t="shared" si="1"/>
        <v>40</v>
      </c>
      <c r="L1475" s="11">
        <f t="shared" si="2"/>
        <v>10</v>
      </c>
    </row>
    <row r="1476" ht="15.75" customHeight="1">
      <c r="A1476" s="10" t="s">
        <v>3088</v>
      </c>
      <c r="B1476" s="10" t="s">
        <v>3089</v>
      </c>
      <c r="C1476" s="11">
        <v>0.0</v>
      </c>
      <c r="D1476" s="11">
        <v>0.0</v>
      </c>
      <c r="E1476" s="11">
        <v>0.0</v>
      </c>
      <c r="F1476" s="11">
        <v>0.0</v>
      </c>
      <c r="G1476" s="11">
        <v>0.0</v>
      </c>
      <c r="H1476" s="11">
        <v>0.0</v>
      </c>
      <c r="I1476" s="11">
        <v>0.0</v>
      </c>
      <c r="J1476" s="11">
        <v>0.0</v>
      </c>
      <c r="K1476" s="11">
        <f t="shared" si="1"/>
        <v>0</v>
      </c>
      <c r="L1476" s="11">
        <f t="shared" si="2"/>
        <v>0</v>
      </c>
    </row>
    <row r="1477" ht="15.75" customHeight="1">
      <c r="A1477" s="10" t="s">
        <v>3090</v>
      </c>
      <c r="B1477" s="10" t="s">
        <v>3091</v>
      </c>
      <c r="C1477" s="11">
        <v>0.0</v>
      </c>
      <c r="D1477" s="11">
        <v>0.0</v>
      </c>
      <c r="E1477" s="11">
        <v>0.0</v>
      </c>
      <c r="F1477" s="11">
        <v>0.0</v>
      </c>
      <c r="G1477" s="11">
        <v>0.0</v>
      </c>
      <c r="H1477" s="11">
        <v>0.0</v>
      </c>
      <c r="I1477" s="11">
        <v>0.0</v>
      </c>
      <c r="J1477" s="11">
        <v>50.0</v>
      </c>
      <c r="K1477" s="11">
        <f t="shared" si="1"/>
        <v>50</v>
      </c>
      <c r="L1477" s="11">
        <f t="shared" si="2"/>
        <v>12.5</v>
      </c>
    </row>
    <row r="1478" ht="15.75" customHeight="1">
      <c r="A1478" s="10" t="s">
        <v>3092</v>
      </c>
      <c r="B1478" s="10" t="s">
        <v>3093</v>
      </c>
      <c r="C1478" s="11">
        <v>0.0</v>
      </c>
      <c r="D1478" s="11">
        <v>0.0</v>
      </c>
      <c r="E1478" s="11">
        <v>0.0</v>
      </c>
      <c r="F1478" s="11">
        <v>0.0</v>
      </c>
      <c r="G1478" s="11">
        <v>0.0</v>
      </c>
      <c r="H1478" s="11">
        <v>50.0</v>
      </c>
      <c r="I1478" s="11">
        <v>0.0</v>
      </c>
      <c r="J1478" s="11">
        <v>300.0</v>
      </c>
      <c r="K1478" s="11">
        <f t="shared" si="1"/>
        <v>350</v>
      </c>
      <c r="L1478" s="11">
        <f t="shared" si="2"/>
        <v>87.5</v>
      </c>
    </row>
    <row r="1479" ht="15.75" customHeight="1">
      <c r="A1479" s="10" t="s">
        <v>3094</v>
      </c>
      <c r="B1479" s="10" t="s">
        <v>3095</v>
      </c>
      <c r="C1479" s="11">
        <v>0.0</v>
      </c>
      <c r="D1479" s="11">
        <v>0.0</v>
      </c>
      <c r="E1479" s="11">
        <v>0.0</v>
      </c>
      <c r="F1479" s="11">
        <v>0.0</v>
      </c>
      <c r="G1479" s="11">
        <v>0.0</v>
      </c>
      <c r="H1479" s="11">
        <v>100.0</v>
      </c>
      <c r="I1479" s="11">
        <v>200.0</v>
      </c>
      <c r="J1479" s="11">
        <v>200.0</v>
      </c>
      <c r="K1479" s="11">
        <f t="shared" si="1"/>
        <v>500</v>
      </c>
      <c r="L1479" s="11">
        <f t="shared" si="2"/>
        <v>125</v>
      </c>
    </row>
    <row r="1480" ht="15.75" customHeight="1">
      <c r="A1480" s="10" t="s">
        <v>3096</v>
      </c>
      <c r="B1480" s="10" t="s">
        <v>3097</v>
      </c>
      <c r="C1480" s="11">
        <v>0.0</v>
      </c>
      <c r="D1480" s="11">
        <v>0.0</v>
      </c>
      <c r="E1480" s="11">
        <v>0.0</v>
      </c>
      <c r="F1480" s="11">
        <v>0.0</v>
      </c>
      <c r="G1480" s="11">
        <v>0.0</v>
      </c>
      <c r="H1480" s="11">
        <v>27.5</v>
      </c>
      <c r="I1480" s="11">
        <v>27.5</v>
      </c>
      <c r="J1480" s="11">
        <v>440.0</v>
      </c>
      <c r="K1480" s="11">
        <f t="shared" si="1"/>
        <v>495</v>
      </c>
      <c r="L1480" s="11">
        <f t="shared" si="2"/>
        <v>123.75</v>
      </c>
    </row>
    <row r="1481" ht="15.75" customHeight="1">
      <c r="A1481" s="10" t="s">
        <v>3098</v>
      </c>
      <c r="B1481" s="10" t="s">
        <v>3099</v>
      </c>
      <c r="C1481" s="11">
        <v>0.0</v>
      </c>
      <c r="D1481" s="11">
        <v>0.0</v>
      </c>
      <c r="E1481" s="11">
        <v>0.0</v>
      </c>
      <c r="F1481" s="11">
        <v>0.0</v>
      </c>
      <c r="G1481" s="11">
        <v>0.0</v>
      </c>
      <c r="H1481" s="11">
        <v>27.5</v>
      </c>
      <c r="I1481" s="11">
        <v>53.5</v>
      </c>
      <c r="J1481" s="11">
        <v>612.5</v>
      </c>
      <c r="K1481" s="11">
        <f t="shared" si="1"/>
        <v>693.5</v>
      </c>
      <c r="L1481" s="11">
        <f t="shared" si="2"/>
        <v>173.375</v>
      </c>
    </row>
    <row r="1482" ht="15.75" customHeight="1">
      <c r="A1482" s="10" t="s">
        <v>3100</v>
      </c>
      <c r="B1482" s="10" t="s">
        <v>3101</v>
      </c>
      <c r="C1482" s="11">
        <v>0.0</v>
      </c>
      <c r="D1482" s="11">
        <v>0.0</v>
      </c>
      <c r="E1482" s="11">
        <v>0.0</v>
      </c>
      <c r="F1482" s="11">
        <v>0.0</v>
      </c>
      <c r="G1482" s="11">
        <v>0.0</v>
      </c>
      <c r="H1482" s="11">
        <v>0.0</v>
      </c>
      <c r="I1482" s="11">
        <v>0.0</v>
      </c>
      <c r="J1482" s="11">
        <v>110.0</v>
      </c>
      <c r="K1482" s="11">
        <f t="shared" si="1"/>
        <v>110</v>
      </c>
      <c r="L1482" s="11">
        <f t="shared" si="2"/>
        <v>27.5</v>
      </c>
    </row>
    <row r="1483" ht="15.75" customHeight="1">
      <c r="A1483" s="10" t="s">
        <v>3102</v>
      </c>
      <c r="B1483" s="10" t="s">
        <v>3103</v>
      </c>
      <c r="C1483" s="11">
        <v>0.0</v>
      </c>
      <c r="D1483" s="11">
        <v>0.0</v>
      </c>
      <c r="E1483" s="11">
        <v>0.0</v>
      </c>
      <c r="F1483" s="11">
        <v>0.0</v>
      </c>
      <c r="G1483" s="11">
        <v>0.0</v>
      </c>
      <c r="H1483" s="11">
        <v>0.0</v>
      </c>
      <c r="I1483" s="11">
        <v>0.0</v>
      </c>
      <c r="J1483" s="11">
        <v>0.0</v>
      </c>
      <c r="K1483" s="11">
        <f t="shared" si="1"/>
        <v>0</v>
      </c>
      <c r="L1483" s="11">
        <f t="shared" si="2"/>
        <v>0</v>
      </c>
    </row>
    <row r="1484" ht="15.75" customHeight="1">
      <c r="A1484" s="10" t="s">
        <v>3104</v>
      </c>
      <c r="B1484" s="10" t="s">
        <v>3105</v>
      </c>
      <c r="C1484" s="11">
        <v>0.0</v>
      </c>
      <c r="D1484" s="11">
        <v>0.0</v>
      </c>
      <c r="E1484" s="11">
        <v>0.0</v>
      </c>
      <c r="F1484" s="11">
        <v>0.0</v>
      </c>
      <c r="G1484" s="11">
        <v>0.0</v>
      </c>
      <c r="H1484" s="11">
        <v>0.0</v>
      </c>
      <c r="I1484" s="11">
        <v>0.0</v>
      </c>
      <c r="J1484" s="11">
        <v>0.0</v>
      </c>
      <c r="K1484" s="11">
        <f t="shared" si="1"/>
        <v>0</v>
      </c>
      <c r="L1484" s="11">
        <f t="shared" si="2"/>
        <v>0</v>
      </c>
    </row>
    <row r="1485" ht="15.75" customHeight="1">
      <c r="A1485" s="10" t="s">
        <v>3106</v>
      </c>
      <c r="B1485" s="10" t="s">
        <v>3107</v>
      </c>
      <c r="C1485" s="11">
        <v>0.0</v>
      </c>
      <c r="D1485" s="11">
        <v>0.0</v>
      </c>
      <c r="E1485" s="11">
        <v>0.0</v>
      </c>
      <c r="F1485" s="11">
        <v>0.0</v>
      </c>
      <c r="G1485" s="11">
        <v>0.0</v>
      </c>
      <c r="H1485" s="11">
        <v>0.0</v>
      </c>
      <c r="I1485" s="11">
        <v>0.0</v>
      </c>
      <c r="J1485" s="11">
        <v>0.0</v>
      </c>
      <c r="K1485" s="11">
        <f t="shared" si="1"/>
        <v>0</v>
      </c>
      <c r="L1485" s="11">
        <f t="shared" si="2"/>
        <v>0</v>
      </c>
    </row>
    <row r="1486" ht="15.75" customHeight="1">
      <c r="A1486" s="10" t="s">
        <v>3108</v>
      </c>
      <c r="B1486" s="10" t="s">
        <v>3109</v>
      </c>
      <c r="C1486" s="11">
        <v>0.0</v>
      </c>
      <c r="D1486" s="11">
        <v>0.0</v>
      </c>
      <c r="E1486" s="11">
        <v>0.0</v>
      </c>
      <c r="F1486" s="11">
        <v>0.0</v>
      </c>
      <c r="G1486" s="11">
        <v>0.0</v>
      </c>
      <c r="H1486" s="11">
        <v>0.0</v>
      </c>
      <c r="I1486" s="11">
        <v>0.0</v>
      </c>
      <c r="J1486" s="11">
        <v>0.0</v>
      </c>
      <c r="K1486" s="11">
        <f t="shared" si="1"/>
        <v>0</v>
      </c>
      <c r="L1486" s="11">
        <f t="shared" si="2"/>
        <v>0</v>
      </c>
    </row>
    <row r="1487" ht="15.75" customHeight="1">
      <c r="A1487" s="10" t="s">
        <v>3110</v>
      </c>
      <c r="B1487" s="10" t="s">
        <v>3111</v>
      </c>
      <c r="C1487" s="11">
        <v>0.0</v>
      </c>
      <c r="D1487" s="11">
        <v>0.0</v>
      </c>
      <c r="E1487" s="11">
        <v>0.0</v>
      </c>
      <c r="F1487" s="11">
        <v>200.0</v>
      </c>
      <c r="G1487" s="11">
        <v>0.0</v>
      </c>
      <c r="H1487" s="11">
        <v>0.0</v>
      </c>
      <c r="I1487" s="11">
        <v>0.0</v>
      </c>
      <c r="J1487" s="11">
        <v>181.0</v>
      </c>
      <c r="K1487" s="11">
        <f t="shared" si="1"/>
        <v>381</v>
      </c>
      <c r="L1487" s="11">
        <f t="shared" si="2"/>
        <v>45.25</v>
      </c>
    </row>
    <row r="1488" ht="15.75" customHeight="1">
      <c r="A1488" s="10" t="s">
        <v>3112</v>
      </c>
      <c r="B1488" s="10" t="s">
        <v>3113</v>
      </c>
      <c r="C1488" s="11">
        <v>250.0</v>
      </c>
      <c r="D1488" s="11">
        <v>181.0</v>
      </c>
      <c r="E1488" s="11">
        <v>0.0</v>
      </c>
      <c r="F1488" s="11">
        <v>181.0</v>
      </c>
      <c r="G1488" s="11">
        <v>0.0</v>
      </c>
      <c r="H1488" s="11">
        <v>0.0</v>
      </c>
      <c r="I1488" s="11">
        <v>167.0</v>
      </c>
      <c r="J1488" s="11">
        <v>0.0</v>
      </c>
      <c r="K1488" s="11">
        <f t="shared" si="1"/>
        <v>779</v>
      </c>
      <c r="L1488" s="11">
        <f t="shared" si="2"/>
        <v>41.75</v>
      </c>
    </row>
    <row r="1489" ht="15.75" customHeight="1">
      <c r="A1489" s="10" t="s">
        <v>3114</v>
      </c>
      <c r="B1489" s="10" t="s">
        <v>3115</v>
      </c>
      <c r="C1489" s="11">
        <v>0.0</v>
      </c>
      <c r="D1489" s="11">
        <v>0.0</v>
      </c>
      <c r="E1489" s="11">
        <v>0.0</v>
      </c>
      <c r="F1489" s="11">
        <v>0.0</v>
      </c>
      <c r="G1489" s="11">
        <v>0.0</v>
      </c>
      <c r="H1489" s="11">
        <v>0.0</v>
      </c>
      <c r="I1489" s="11">
        <v>99.0</v>
      </c>
      <c r="J1489" s="11">
        <v>0.0</v>
      </c>
      <c r="K1489" s="11">
        <f t="shared" si="1"/>
        <v>99</v>
      </c>
      <c r="L1489" s="11">
        <f t="shared" si="2"/>
        <v>24.75</v>
      </c>
    </row>
    <row r="1490" ht="15.75" customHeight="1">
      <c r="A1490" s="10" t="s">
        <v>3116</v>
      </c>
      <c r="B1490" s="10" t="s">
        <v>3117</v>
      </c>
      <c r="C1490" s="11">
        <v>0.0</v>
      </c>
      <c r="D1490" s="11">
        <v>0.0</v>
      </c>
      <c r="E1490" s="11">
        <v>0.0</v>
      </c>
      <c r="F1490" s="11">
        <v>0.0</v>
      </c>
      <c r="G1490" s="11">
        <v>0.0</v>
      </c>
      <c r="H1490" s="11">
        <v>0.0</v>
      </c>
      <c r="I1490" s="11">
        <v>0.0</v>
      </c>
      <c r="J1490" s="11">
        <v>0.0</v>
      </c>
      <c r="K1490" s="11">
        <f t="shared" si="1"/>
        <v>0</v>
      </c>
      <c r="L1490" s="11">
        <f t="shared" si="2"/>
        <v>0</v>
      </c>
    </row>
    <row r="1491" ht="15.75" customHeight="1">
      <c r="A1491" s="10" t="s">
        <v>3118</v>
      </c>
      <c r="B1491" s="10" t="s">
        <v>3119</v>
      </c>
      <c r="C1491" s="11">
        <v>0.0</v>
      </c>
      <c r="D1491" s="11">
        <v>0.0</v>
      </c>
      <c r="E1491" s="11">
        <v>0.0</v>
      </c>
      <c r="F1491" s="11">
        <v>0.0</v>
      </c>
      <c r="G1491" s="11">
        <v>0.0</v>
      </c>
      <c r="H1491" s="11">
        <v>0.0</v>
      </c>
      <c r="I1491" s="11">
        <v>40.0</v>
      </c>
      <c r="J1491" s="11">
        <v>40.0</v>
      </c>
      <c r="K1491" s="11">
        <f t="shared" si="1"/>
        <v>80</v>
      </c>
      <c r="L1491" s="11">
        <f t="shared" si="2"/>
        <v>20</v>
      </c>
    </row>
    <row r="1492" ht="15.75" customHeight="1">
      <c r="A1492" s="10" t="s">
        <v>3120</v>
      </c>
      <c r="B1492" s="10" t="s">
        <v>3121</v>
      </c>
      <c r="C1492" s="11">
        <v>0.0</v>
      </c>
      <c r="D1492" s="11">
        <v>0.0</v>
      </c>
      <c r="E1492" s="11">
        <v>0.0</v>
      </c>
      <c r="F1492" s="11">
        <v>0.0</v>
      </c>
      <c r="G1492" s="11">
        <v>0.0</v>
      </c>
      <c r="H1492" s="11">
        <v>40.0</v>
      </c>
      <c r="I1492" s="11">
        <v>0.0</v>
      </c>
      <c r="J1492" s="11">
        <v>0.0</v>
      </c>
      <c r="K1492" s="11">
        <f t="shared" si="1"/>
        <v>40</v>
      </c>
      <c r="L1492" s="11">
        <f t="shared" si="2"/>
        <v>10</v>
      </c>
    </row>
    <row r="1493" ht="15.75" customHeight="1">
      <c r="A1493" s="10" t="s">
        <v>3122</v>
      </c>
      <c r="B1493" s="10" t="s">
        <v>3123</v>
      </c>
      <c r="C1493" s="11">
        <v>0.0</v>
      </c>
      <c r="D1493" s="11">
        <v>0.0</v>
      </c>
      <c r="E1493" s="11">
        <v>0.0</v>
      </c>
      <c r="F1493" s="11">
        <v>0.0</v>
      </c>
      <c r="G1493" s="11">
        <v>0.0</v>
      </c>
      <c r="H1493" s="11">
        <v>0.0</v>
      </c>
      <c r="I1493" s="11">
        <v>0.0</v>
      </c>
      <c r="J1493" s="11">
        <v>0.0</v>
      </c>
      <c r="K1493" s="11">
        <f t="shared" si="1"/>
        <v>0</v>
      </c>
      <c r="L1493" s="11">
        <f t="shared" si="2"/>
        <v>0</v>
      </c>
    </row>
    <row r="1494" ht="15.75" customHeight="1">
      <c r="A1494" s="10" t="s">
        <v>3124</v>
      </c>
      <c r="B1494" s="10" t="s">
        <v>3125</v>
      </c>
      <c r="C1494" s="11">
        <v>30.0</v>
      </c>
      <c r="D1494" s="11">
        <v>0.0</v>
      </c>
      <c r="E1494" s="11">
        <v>0.0</v>
      </c>
      <c r="F1494" s="11">
        <v>0.0</v>
      </c>
      <c r="G1494" s="11">
        <v>39.7</v>
      </c>
      <c r="H1494" s="11">
        <v>40.2</v>
      </c>
      <c r="I1494" s="11">
        <v>128.5</v>
      </c>
      <c r="J1494" s="11">
        <v>59.2</v>
      </c>
      <c r="K1494" s="11">
        <f t="shared" si="1"/>
        <v>297.6</v>
      </c>
      <c r="L1494" s="11">
        <f t="shared" si="2"/>
        <v>66.9</v>
      </c>
    </row>
    <row r="1495" ht="15.75" customHeight="1">
      <c r="A1495" s="10" t="s">
        <v>3126</v>
      </c>
      <c r="B1495" s="10" t="s">
        <v>3127</v>
      </c>
      <c r="C1495" s="11">
        <v>0.0</v>
      </c>
      <c r="D1495" s="11">
        <v>0.0</v>
      </c>
      <c r="E1495" s="11">
        <v>0.0</v>
      </c>
      <c r="F1495" s="11">
        <v>0.0</v>
      </c>
      <c r="G1495" s="11">
        <v>0.0</v>
      </c>
      <c r="H1495" s="11">
        <v>80.0</v>
      </c>
      <c r="I1495" s="11">
        <v>40.0</v>
      </c>
      <c r="J1495" s="11">
        <v>80.0</v>
      </c>
      <c r="K1495" s="11">
        <f t="shared" si="1"/>
        <v>200</v>
      </c>
      <c r="L1495" s="11">
        <f t="shared" si="2"/>
        <v>50</v>
      </c>
    </row>
    <row r="1496" ht="15.75" customHeight="1">
      <c r="A1496" s="10" t="s">
        <v>3128</v>
      </c>
      <c r="B1496" s="10" t="s">
        <v>3129</v>
      </c>
      <c r="C1496" s="11">
        <v>0.0</v>
      </c>
      <c r="D1496" s="11">
        <v>0.0</v>
      </c>
      <c r="E1496" s="11">
        <v>0.0</v>
      </c>
      <c r="F1496" s="11">
        <v>0.0</v>
      </c>
      <c r="G1496" s="11">
        <v>0.0</v>
      </c>
      <c r="H1496" s="11">
        <v>40.1</v>
      </c>
      <c r="I1496" s="11">
        <v>37.6</v>
      </c>
      <c r="J1496" s="11">
        <v>0.0</v>
      </c>
      <c r="K1496" s="11">
        <f t="shared" si="1"/>
        <v>77.7</v>
      </c>
      <c r="L1496" s="11">
        <f t="shared" si="2"/>
        <v>19.425</v>
      </c>
    </row>
    <row r="1497" ht="15.75" customHeight="1">
      <c r="A1497" s="10" t="s">
        <v>3130</v>
      </c>
      <c r="B1497" s="10" t="s">
        <v>3131</v>
      </c>
      <c r="C1497" s="11">
        <v>0.0</v>
      </c>
      <c r="D1497" s="11">
        <v>0.0</v>
      </c>
      <c r="E1497" s="11">
        <v>0.0</v>
      </c>
      <c r="F1497" s="11">
        <v>0.0</v>
      </c>
      <c r="G1497" s="11">
        <v>40.4</v>
      </c>
      <c r="H1497" s="11">
        <v>40.4</v>
      </c>
      <c r="I1497" s="11">
        <v>0.0</v>
      </c>
      <c r="J1497" s="11">
        <v>40.4</v>
      </c>
      <c r="K1497" s="11">
        <f t="shared" si="1"/>
        <v>121.2</v>
      </c>
      <c r="L1497" s="11">
        <f t="shared" si="2"/>
        <v>30.3</v>
      </c>
    </row>
    <row r="1498" ht="15.75" customHeight="1">
      <c r="A1498" s="10" t="s">
        <v>3132</v>
      </c>
      <c r="B1498" s="10" t="s">
        <v>3133</v>
      </c>
      <c r="C1498" s="11">
        <v>0.0</v>
      </c>
      <c r="D1498" s="11">
        <v>0.0</v>
      </c>
      <c r="E1498" s="11">
        <v>0.0</v>
      </c>
      <c r="F1498" s="11">
        <v>0.0</v>
      </c>
      <c r="G1498" s="11">
        <v>0.0</v>
      </c>
      <c r="H1498" s="11">
        <v>27.0</v>
      </c>
      <c r="I1498" s="11">
        <v>0.0</v>
      </c>
      <c r="J1498" s="11">
        <v>27.0</v>
      </c>
      <c r="K1498" s="11">
        <f t="shared" si="1"/>
        <v>54</v>
      </c>
      <c r="L1498" s="11">
        <f t="shared" si="2"/>
        <v>13.5</v>
      </c>
    </row>
    <row r="1499" ht="15.75" customHeight="1">
      <c r="A1499" s="10" t="s">
        <v>3134</v>
      </c>
      <c r="B1499" s="10" t="s">
        <v>3135</v>
      </c>
      <c r="C1499" s="11">
        <v>0.0</v>
      </c>
      <c r="D1499" s="11">
        <v>0.0</v>
      </c>
      <c r="E1499" s="11">
        <v>0.0</v>
      </c>
      <c r="F1499" s="11">
        <v>0.0</v>
      </c>
      <c r="G1499" s="11">
        <v>0.0</v>
      </c>
      <c r="H1499" s="11">
        <v>50.0</v>
      </c>
      <c r="I1499" s="11">
        <v>0.0</v>
      </c>
      <c r="J1499" s="11">
        <v>0.0</v>
      </c>
      <c r="K1499" s="11">
        <f t="shared" si="1"/>
        <v>50</v>
      </c>
      <c r="L1499" s="11">
        <f t="shared" si="2"/>
        <v>12.5</v>
      </c>
    </row>
    <row r="1500" ht="15.75" customHeight="1">
      <c r="A1500" s="10" t="s">
        <v>3136</v>
      </c>
      <c r="B1500" s="10" t="s">
        <v>3137</v>
      </c>
      <c r="C1500" s="11">
        <v>0.0</v>
      </c>
      <c r="D1500" s="11">
        <v>0.0</v>
      </c>
      <c r="E1500" s="11">
        <v>0.0</v>
      </c>
      <c r="F1500" s="11">
        <v>0.0</v>
      </c>
      <c r="G1500" s="11">
        <v>0.0</v>
      </c>
      <c r="H1500" s="11">
        <v>0.0</v>
      </c>
      <c r="I1500" s="11">
        <v>0.0</v>
      </c>
      <c r="J1500" s="11">
        <v>0.0</v>
      </c>
      <c r="K1500" s="11">
        <f t="shared" si="1"/>
        <v>0</v>
      </c>
      <c r="L1500" s="11">
        <f t="shared" si="2"/>
        <v>0</v>
      </c>
    </row>
    <row r="1501" ht="15.75" customHeight="1">
      <c r="A1501" s="10" t="s">
        <v>3138</v>
      </c>
      <c r="B1501" s="10" t="s">
        <v>3139</v>
      </c>
      <c r="C1501" s="11">
        <v>0.0</v>
      </c>
      <c r="D1501" s="11">
        <v>0.0</v>
      </c>
      <c r="E1501" s="11">
        <v>0.0</v>
      </c>
      <c r="F1501" s="11">
        <v>0.0</v>
      </c>
      <c r="G1501" s="11">
        <v>0.0</v>
      </c>
      <c r="H1501" s="11">
        <v>0.0</v>
      </c>
      <c r="I1501" s="11">
        <v>870.0</v>
      </c>
      <c r="J1501" s="11">
        <v>0.0</v>
      </c>
      <c r="K1501" s="11">
        <f t="shared" si="1"/>
        <v>870</v>
      </c>
      <c r="L1501" s="11">
        <f t="shared" si="2"/>
        <v>217.5</v>
      </c>
    </row>
    <row r="1502" ht="15.75" customHeight="1">
      <c r="A1502" s="10" t="s">
        <v>3140</v>
      </c>
      <c r="B1502" s="10" t="s">
        <v>3141</v>
      </c>
      <c r="C1502" s="11">
        <v>0.0</v>
      </c>
      <c r="D1502" s="11">
        <v>0.0</v>
      </c>
      <c r="E1502" s="11">
        <v>0.0</v>
      </c>
      <c r="F1502" s="11">
        <v>0.0</v>
      </c>
      <c r="G1502" s="11">
        <v>0.0</v>
      </c>
      <c r="H1502" s="11">
        <v>0.0</v>
      </c>
      <c r="I1502" s="11">
        <v>74.5</v>
      </c>
      <c r="J1502" s="11">
        <v>255.0</v>
      </c>
      <c r="K1502" s="11">
        <f t="shared" si="1"/>
        <v>329.5</v>
      </c>
      <c r="L1502" s="11">
        <f t="shared" si="2"/>
        <v>82.375</v>
      </c>
    </row>
    <row r="1503" ht="15.75" customHeight="1">
      <c r="A1503" s="10" t="s">
        <v>3142</v>
      </c>
      <c r="B1503" s="10" t="s">
        <v>3143</v>
      </c>
      <c r="C1503" s="11">
        <v>0.0</v>
      </c>
      <c r="D1503" s="11">
        <v>0.0</v>
      </c>
      <c r="E1503" s="11">
        <v>0.0</v>
      </c>
      <c r="F1503" s="11">
        <v>0.0</v>
      </c>
      <c r="G1503" s="11">
        <v>0.0</v>
      </c>
      <c r="H1503" s="11">
        <v>59.0</v>
      </c>
      <c r="I1503" s="11">
        <v>0.0</v>
      </c>
      <c r="J1503" s="11">
        <v>0.0</v>
      </c>
      <c r="K1503" s="11">
        <f t="shared" si="1"/>
        <v>59</v>
      </c>
      <c r="L1503" s="11">
        <f t="shared" si="2"/>
        <v>14.75</v>
      </c>
    </row>
    <row r="1504" ht="15.75" customHeight="1">
      <c r="A1504" s="10" t="s">
        <v>3144</v>
      </c>
      <c r="B1504" s="10" t="s">
        <v>3145</v>
      </c>
      <c r="C1504" s="11">
        <v>0.0</v>
      </c>
      <c r="D1504" s="11">
        <v>0.0</v>
      </c>
      <c r="E1504" s="11">
        <v>0.0</v>
      </c>
      <c r="F1504" s="11">
        <v>0.0</v>
      </c>
      <c r="G1504" s="11">
        <v>0.0</v>
      </c>
      <c r="H1504" s="11">
        <v>0.0</v>
      </c>
      <c r="I1504" s="11">
        <v>0.0</v>
      </c>
      <c r="J1504" s="11">
        <v>0.0</v>
      </c>
      <c r="K1504" s="11">
        <f t="shared" si="1"/>
        <v>0</v>
      </c>
      <c r="L1504" s="11">
        <f t="shared" si="2"/>
        <v>0</v>
      </c>
    </row>
    <row r="1505" ht="15.75" customHeight="1">
      <c r="A1505" s="10" t="s">
        <v>3146</v>
      </c>
      <c r="B1505" s="10" t="s">
        <v>3147</v>
      </c>
      <c r="C1505" s="11">
        <v>0.0</v>
      </c>
      <c r="D1505" s="11">
        <v>0.0</v>
      </c>
      <c r="E1505" s="11">
        <v>0.0</v>
      </c>
      <c r="F1505" s="11">
        <v>0.0</v>
      </c>
      <c r="G1505" s="11">
        <v>0.0</v>
      </c>
      <c r="H1505" s="11">
        <v>0.0</v>
      </c>
      <c r="I1505" s="11">
        <v>0.0</v>
      </c>
      <c r="J1505" s="11">
        <v>256.0</v>
      </c>
      <c r="K1505" s="11">
        <f t="shared" si="1"/>
        <v>256</v>
      </c>
      <c r="L1505" s="11">
        <f t="shared" si="2"/>
        <v>64</v>
      </c>
    </row>
    <row r="1506" ht="15.75" customHeight="1">
      <c r="A1506" s="10" t="s">
        <v>3148</v>
      </c>
      <c r="B1506" s="10" t="s">
        <v>3149</v>
      </c>
      <c r="C1506" s="11">
        <v>0.0</v>
      </c>
      <c r="D1506" s="11">
        <v>0.0</v>
      </c>
      <c r="E1506" s="11">
        <v>0.0</v>
      </c>
      <c r="F1506" s="11">
        <v>0.0</v>
      </c>
      <c r="G1506" s="11">
        <v>0.0</v>
      </c>
      <c r="H1506" s="11">
        <v>0.0</v>
      </c>
      <c r="I1506" s="11">
        <v>0.0</v>
      </c>
      <c r="J1506" s="11">
        <v>0.0</v>
      </c>
      <c r="K1506" s="11">
        <f t="shared" si="1"/>
        <v>0</v>
      </c>
      <c r="L1506" s="11">
        <f t="shared" si="2"/>
        <v>0</v>
      </c>
    </row>
    <row r="1507" ht="15.75" customHeight="1">
      <c r="A1507" s="10" t="s">
        <v>3150</v>
      </c>
      <c r="B1507" s="10" t="s">
        <v>3151</v>
      </c>
      <c r="C1507" s="11">
        <v>0.0</v>
      </c>
      <c r="D1507" s="11">
        <v>0.0</v>
      </c>
      <c r="E1507" s="11">
        <v>0.0</v>
      </c>
      <c r="F1507" s="11">
        <v>0.0</v>
      </c>
      <c r="G1507" s="11">
        <v>0.0</v>
      </c>
      <c r="H1507" s="11">
        <v>0.0</v>
      </c>
      <c r="I1507" s="11">
        <v>0.0</v>
      </c>
      <c r="J1507" s="11">
        <v>75.0</v>
      </c>
      <c r="K1507" s="11">
        <f t="shared" si="1"/>
        <v>75</v>
      </c>
      <c r="L1507" s="11">
        <f t="shared" si="2"/>
        <v>18.75</v>
      </c>
    </row>
    <row r="1508" ht="15.75" customHeight="1">
      <c r="A1508" s="10" t="s">
        <v>3152</v>
      </c>
      <c r="B1508" s="10" t="s">
        <v>3153</v>
      </c>
      <c r="C1508" s="11">
        <v>0.0</v>
      </c>
      <c r="D1508" s="11">
        <v>0.0</v>
      </c>
      <c r="E1508" s="11">
        <v>0.0</v>
      </c>
      <c r="F1508" s="11">
        <v>0.0</v>
      </c>
      <c r="G1508" s="11">
        <v>0.0</v>
      </c>
      <c r="H1508" s="11">
        <v>0.0</v>
      </c>
      <c r="I1508" s="11">
        <v>0.0</v>
      </c>
      <c r="J1508" s="11">
        <v>0.0</v>
      </c>
      <c r="K1508" s="11">
        <f t="shared" si="1"/>
        <v>0</v>
      </c>
      <c r="L1508" s="11">
        <f t="shared" si="2"/>
        <v>0</v>
      </c>
    </row>
    <row r="1509" ht="15.75" customHeight="1">
      <c r="A1509" s="10" t="s">
        <v>3154</v>
      </c>
      <c r="B1509" s="10" t="s">
        <v>3155</v>
      </c>
      <c r="C1509" s="11">
        <v>0.0</v>
      </c>
      <c r="D1509" s="11">
        <v>0.0</v>
      </c>
      <c r="E1509" s="11">
        <v>0.0</v>
      </c>
      <c r="F1509" s="11">
        <v>0.0</v>
      </c>
      <c r="G1509" s="11">
        <v>0.0</v>
      </c>
      <c r="H1509" s="11">
        <v>0.0</v>
      </c>
      <c r="I1509" s="11">
        <v>0.0</v>
      </c>
      <c r="J1509" s="11">
        <v>0.0</v>
      </c>
      <c r="K1509" s="11">
        <f t="shared" si="1"/>
        <v>0</v>
      </c>
      <c r="L1509" s="11">
        <f t="shared" si="2"/>
        <v>0</v>
      </c>
    </row>
    <row r="1510" ht="15.75" customHeight="1">
      <c r="A1510" s="10" t="s">
        <v>3156</v>
      </c>
      <c r="B1510" s="10" t="s">
        <v>3157</v>
      </c>
      <c r="C1510" s="11">
        <v>0.0</v>
      </c>
      <c r="D1510" s="11">
        <v>0.0</v>
      </c>
      <c r="E1510" s="11">
        <v>0.0</v>
      </c>
      <c r="F1510" s="11">
        <v>0.0</v>
      </c>
      <c r="G1510" s="11">
        <v>0.0</v>
      </c>
      <c r="H1510" s="11">
        <v>0.0</v>
      </c>
      <c r="I1510" s="11">
        <v>0.0</v>
      </c>
      <c r="J1510" s="11">
        <v>0.0</v>
      </c>
      <c r="K1510" s="11">
        <f t="shared" si="1"/>
        <v>0</v>
      </c>
      <c r="L1510" s="11">
        <f t="shared" si="2"/>
        <v>0</v>
      </c>
    </row>
    <row r="1511" ht="15.75" customHeight="1">
      <c r="A1511" s="10" t="s">
        <v>3158</v>
      </c>
      <c r="B1511" s="10" t="s">
        <v>3159</v>
      </c>
      <c r="C1511" s="11">
        <v>0.0</v>
      </c>
      <c r="D1511" s="11">
        <v>0.0</v>
      </c>
      <c r="E1511" s="11">
        <v>0.0</v>
      </c>
      <c r="F1511" s="11">
        <v>0.0</v>
      </c>
      <c r="G1511" s="11">
        <v>0.0</v>
      </c>
      <c r="H1511" s="11">
        <v>0.0</v>
      </c>
      <c r="I1511" s="11">
        <v>0.0</v>
      </c>
      <c r="J1511" s="11">
        <v>42.6</v>
      </c>
      <c r="K1511" s="11">
        <f t="shared" si="1"/>
        <v>42.6</v>
      </c>
      <c r="L1511" s="11">
        <f t="shared" si="2"/>
        <v>10.65</v>
      </c>
    </row>
    <row r="1512" ht="15.75" customHeight="1">
      <c r="A1512" s="10" t="s">
        <v>3160</v>
      </c>
      <c r="B1512" s="10" t="s">
        <v>3161</v>
      </c>
      <c r="C1512" s="11">
        <v>0.0</v>
      </c>
      <c r="D1512" s="11">
        <v>0.0</v>
      </c>
      <c r="E1512" s="11">
        <v>0.0</v>
      </c>
      <c r="F1512" s="11">
        <v>0.0</v>
      </c>
      <c r="G1512" s="11">
        <v>64.0</v>
      </c>
      <c r="H1512" s="11">
        <v>0.0</v>
      </c>
      <c r="I1512" s="11">
        <v>207.0</v>
      </c>
      <c r="J1512" s="11">
        <v>195.0</v>
      </c>
      <c r="K1512" s="11">
        <f t="shared" si="1"/>
        <v>466</v>
      </c>
      <c r="L1512" s="11">
        <f t="shared" si="2"/>
        <v>116.5</v>
      </c>
    </row>
    <row r="1513" ht="15.75" customHeight="1">
      <c r="A1513" s="10" t="s">
        <v>3162</v>
      </c>
      <c r="B1513" s="10" t="s">
        <v>3163</v>
      </c>
      <c r="C1513" s="11">
        <v>0.0</v>
      </c>
      <c r="D1513" s="11">
        <v>0.0</v>
      </c>
      <c r="E1513" s="11">
        <v>0.0</v>
      </c>
      <c r="F1513" s="11">
        <v>0.0</v>
      </c>
      <c r="G1513" s="11">
        <v>0.0</v>
      </c>
      <c r="H1513" s="11">
        <v>0.0</v>
      </c>
      <c r="I1513" s="11">
        <v>0.0</v>
      </c>
      <c r="J1513" s="11">
        <v>0.0</v>
      </c>
      <c r="K1513" s="11">
        <f t="shared" si="1"/>
        <v>0</v>
      </c>
      <c r="L1513" s="11">
        <f t="shared" si="2"/>
        <v>0</v>
      </c>
    </row>
    <row r="1514" ht="15.75" customHeight="1">
      <c r="A1514" s="10" t="s">
        <v>3164</v>
      </c>
      <c r="B1514" s="10" t="s">
        <v>3165</v>
      </c>
      <c r="C1514" s="11">
        <v>0.0</v>
      </c>
      <c r="D1514" s="11">
        <v>0.0</v>
      </c>
      <c r="E1514" s="11">
        <v>0.0</v>
      </c>
      <c r="F1514" s="11">
        <v>0.0</v>
      </c>
      <c r="G1514" s="11">
        <v>0.0</v>
      </c>
      <c r="H1514" s="11">
        <v>91.0</v>
      </c>
      <c r="I1514" s="11">
        <v>0.0</v>
      </c>
      <c r="J1514" s="11">
        <v>99.0</v>
      </c>
      <c r="K1514" s="11">
        <f t="shared" si="1"/>
        <v>190</v>
      </c>
      <c r="L1514" s="11">
        <f t="shared" si="2"/>
        <v>47.5</v>
      </c>
    </row>
    <row r="1515" ht="15.75" customHeight="1">
      <c r="A1515" s="10" t="s">
        <v>3166</v>
      </c>
      <c r="B1515" s="10" t="s">
        <v>3167</v>
      </c>
      <c r="C1515" s="11">
        <v>0.0</v>
      </c>
      <c r="D1515" s="11">
        <v>0.0</v>
      </c>
      <c r="E1515" s="11">
        <v>0.0</v>
      </c>
      <c r="F1515" s="11">
        <v>0.0</v>
      </c>
      <c r="G1515" s="11">
        <v>0.0</v>
      </c>
      <c r="H1515" s="11">
        <v>0.0</v>
      </c>
      <c r="I1515" s="11">
        <v>0.0</v>
      </c>
      <c r="J1515" s="11">
        <v>0.0</v>
      </c>
      <c r="K1515" s="11">
        <f t="shared" si="1"/>
        <v>0</v>
      </c>
      <c r="L1515" s="11">
        <f t="shared" si="2"/>
        <v>0</v>
      </c>
    </row>
    <row r="1516" ht="15.75" customHeight="1">
      <c r="A1516" s="10" t="s">
        <v>3168</v>
      </c>
      <c r="B1516" s="10" t="s">
        <v>3169</v>
      </c>
      <c r="C1516" s="11">
        <v>0.0</v>
      </c>
      <c r="D1516" s="11">
        <v>0.0</v>
      </c>
      <c r="E1516" s="11">
        <v>0.0</v>
      </c>
      <c r="F1516" s="11">
        <v>0.0</v>
      </c>
      <c r="G1516" s="11">
        <v>0.0</v>
      </c>
      <c r="H1516" s="11">
        <v>0.0</v>
      </c>
      <c r="I1516" s="11">
        <v>0.0</v>
      </c>
      <c r="J1516" s="11">
        <v>0.0</v>
      </c>
      <c r="K1516" s="11">
        <f t="shared" si="1"/>
        <v>0</v>
      </c>
      <c r="L1516" s="11">
        <f t="shared" si="2"/>
        <v>0</v>
      </c>
    </row>
    <row r="1517" ht="15.75" customHeight="1">
      <c r="A1517" s="10" t="s">
        <v>3170</v>
      </c>
      <c r="B1517" s="10" t="s">
        <v>3171</v>
      </c>
      <c r="C1517" s="11">
        <v>0.0</v>
      </c>
      <c r="D1517" s="11">
        <v>0.0</v>
      </c>
      <c r="E1517" s="11">
        <v>0.0</v>
      </c>
      <c r="F1517" s="11">
        <v>0.0</v>
      </c>
      <c r="G1517" s="11">
        <v>0.0</v>
      </c>
      <c r="H1517" s="11">
        <v>0.0</v>
      </c>
      <c r="I1517" s="11">
        <v>0.0</v>
      </c>
      <c r="J1517" s="11">
        <v>0.0</v>
      </c>
      <c r="K1517" s="11">
        <f t="shared" si="1"/>
        <v>0</v>
      </c>
      <c r="L1517" s="11">
        <f t="shared" si="2"/>
        <v>0</v>
      </c>
    </row>
    <row r="1518" ht="15.75" customHeight="1">
      <c r="A1518" s="10" t="s">
        <v>3172</v>
      </c>
      <c r="B1518" s="10" t="s">
        <v>3173</v>
      </c>
      <c r="C1518" s="11">
        <v>0.0</v>
      </c>
      <c r="D1518" s="11">
        <v>0.0</v>
      </c>
      <c r="E1518" s="11">
        <v>0.0</v>
      </c>
      <c r="F1518" s="11">
        <v>0.0</v>
      </c>
      <c r="G1518" s="11">
        <v>0.0</v>
      </c>
      <c r="H1518" s="11">
        <v>0.0</v>
      </c>
      <c r="I1518" s="11">
        <v>50.0</v>
      </c>
      <c r="J1518" s="11">
        <v>0.0</v>
      </c>
      <c r="K1518" s="11">
        <f t="shared" si="1"/>
        <v>50</v>
      </c>
      <c r="L1518" s="11">
        <f t="shared" si="2"/>
        <v>12.5</v>
      </c>
    </row>
    <row r="1519" ht="15.75" customHeight="1">
      <c r="A1519" s="10" t="s">
        <v>3174</v>
      </c>
      <c r="B1519" s="10" t="s">
        <v>3175</v>
      </c>
      <c r="C1519" s="11">
        <v>0.0</v>
      </c>
      <c r="D1519" s="11">
        <v>0.0</v>
      </c>
      <c r="E1519" s="11">
        <v>0.0</v>
      </c>
      <c r="F1519" s="11">
        <v>0.0</v>
      </c>
      <c r="G1519" s="11">
        <v>0.0</v>
      </c>
      <c r="H1519" s="11">
        <v>0.0</v>
      </c>
      <c r="I1519" s="11">
        <v>0.0</v>
      </c>
      <c r="J1519" s="11">
        <v>0.0</v>
      </c>
      <c r="K1519" s="11">
        <f t="shared" si="1"/>
        <v>0</v>
      </c>
      <c r="L1519" s="11">
        <f t="shared" si="2"/>
        <v>0</v>
      </c>
    </row>
    <row r="1520" ht="15.75" customHeight="1">
      <c r="A1520" s="10" t="s">
        <v>3176</v>
      </c>
      <c r="B1520" s="10" t="s">
        <v>3177</v>
      </c>
      <c r="C1520" s="11">
        <v>0.0</v>
      </c>
      <c r="D1520" s="11">
        <v>0.0</v>
      </c>
      <c r="E1520" s="11">
        <v>41.0</v>
      </c>
      <c r="F1520" s="11">
        <v>0.0</v>
      </c>
      <c r="G1520" s="11">
        <v>0.0</v>
      </c>
      <c r="H1520" s="11">
        <v>0.0</v>
      </c>
      <c r="I1520" s="11">
        <v>0.0</v>
      </c>
      <c r="J1520" s="11">
        <v>0.0</v>
      </c>
      <c r="K1520" s="11">
        <f t="shared" si="1"/>
        <v>41</v>
      </c>
      <c r="L1520" s="11">
        <f t="shared" si="2"/>
        <v>0</v>
      </c>
    </row>
    <row r="1521" ht="15.75" customHeight="1">
      <c r="A1521" s="10" t="s">
        <v>3178</v>
      </c>
      <c r="B1521" s="10" t="s">
        <v>3179</v>
      </c>
      <c r="C1521" s="11">
        <v>0.0</v>
      </c>
      <c r="D1521" s="11">
        <v>0.0</v>
      </c>
      <c r="E1521" s="11">
        <v>0.0</v>
      </c>
      <c r="F1521" s="11">
        <v>32.0</v>
      </c>
      <c r="G1521" s="11">
        <v>0.0</v>
      </c>
      <c r="H1521" s="11">
        <v>0.0</v>
      </c>
      <c r="I1521" s="11">
        <v>0.0</v>
      </c>
      <c r="J1521" s="11">
        <v>115.5</v>
      </c>
      <c r="K1521" s="11">
        <f t="shared" si="1"/>
        <v>147.5</v>
      </c>
      <c r="L1521" s="11">
        <f t="shared" si="2"/>
        <v>28.875</v>
      </c>
    </row>
    <row r="1522" ht="15.75" customHeight="1">
      <c r="A1522" s="10" t="s">
        <v>3180</v>
      </c>
      <c r="B1522" s="10" t="s">
        <v>3181</v>
      </c>
      <c r="C1522" s="11">
        <v>0.0</v>
      </c>
      <c r="D1522" s="11">
        <v>0.0</v>
      </c>
      <c r="E1522" s="11">
        <v>0.0</v>
      </c>
      <c r="F1522" s="11">
        <v>0.0</v>
      </c>
      <c r="G1522" s="11">
        <v>0.0</v>
      </c>
      <c r="H1522" s="11">
        <v>0.0</v>
      </c>
      <c r="I1522" s="11">
        <v>0.0</v>
      </c>
      <c r="J1522" s="11">
        <v>0.0</v>
      </c>
      <c r="K1522" s="11">
        <f t="shared" si="1"/>
        <v>0</v>
      </c>
      <c r="L1522" s="11">
        <f t="shared" si="2"/>
        <v>0</v>
      </c>
    </row>
    <row r="1523" ht="15.75" customHeight="1">
      <c r="A1523" s="10" t="s">
        <v>3182</v>
      </c>
      <c r="B1523" s="10" t="s">
        <v>3183</v>
      </c>
      <c r="C1523" s="11">
        <v>0.0</v>
      </c>
      <c r="D1523" s="11">
        <v>0.0</v>
      </c>
      <c r="E1523" s="11">
        <v>0.0</v>
      </c>
      <c r="F1523" s="11">
        <v>0.0</v>
      </c>
      <c r="G1523" s="11">
        <v>0.0</v>
      </c>
      <c r="H1523" s="11">
        <v>0.0</v>
      </c>
      <c r="I1523" s="11">
        <v>0.0</v>
      </c>
      <c r="J1523" s="11">
        <v>0.0</v>
      </c>
      <c r="K1523" s="11">
        <f t="shared" si="1"/>
        <v>0</v>
      </c>
      <c r="L1523" s="11">
        <f t="shared" si="2"/>
        <v>0</v>
      </c>
    </row>
    <row r="1524" ht="15.75" customHeight="1">
      <c r="A1524" s="10" t="s">
        <v>3184</v>
      </c>
      <c r="B1524" s="10" t="s">
        <v>3185</v>
      </c>
      <c r="C1524" s="11">
        <v>0.0</v>
      </c>
      <c r="D1524" s="11">
        <v>0.0</v>
      </c>
      <c r="E1524" s="11">
        <v>0.0</v>
      </c>
      <c r="F1524" s="11">
        <v>0.0</v>
      </c>
      <c r="G1524" s="11">
        <v>0.0</v>
      </c>
      <c r="H1524" s="11">
        <v>0.0</v>
      </c>
      <c r="I1524" s="11">
        <v>0.0</v>
      </c>
      <c r="J1524" s="11">
        <v>86.5</v>
      </c>
      <c r="K1524" s="11">
        <f t="shared" si="1"/>
        <v>86.5</v>
      </c>
      <c r="L1524" s="11">
        <f t="shared" si="2"/>
        <v>21.625</v>
      </c>
    </row>
    <row r="1525" ht="15.75" customHeight="1">
      <c r="A1525" s="10" t="s">
        <v>3186</v>
      </c>
      <c r="B1525" s="10" t="s">
        <v>3187</v>
      </c>
      <c r="C1525" s="11">
        <v>0.0</v>
      </c>
      <c r="D1525" s="11">
        <v>0.0</v>
      </c>
      <c r="E1525" s="11">
        <v>0.0</v>
      </c>
      <c r="F1525" s="11">
        <v>0.0</v>
      </c>
      <c r="G1525" s="11">
        <v>0.0</v>
      </c>
      <c r="H1525" s="11">
        <v>35.4</v>
      </c>
      <c r="I1525" s="11">
        <v>41.0</v>
      </c>
      <c r="J1525" s="11">
        <v>115.5</v>
      </c>
      <c r="K1525" s="11">
        <f t="shared" si="1"/>
        <v>191.9</v>
      </c>
      <c r="L1525" s="11">
        <f t="shared" si="2"/>
        <v>47.975</v>
      </c>
    </row>
    <row r="1526" ht="15.75" customHeight="1">
      <c r="A1526" s="10" t="s">
        <v>3188</v>
      </c>
      <c r="B1526" s="10" t="s">
        <v>3189</v>
      </c>
      <c r="C1526" s="11">
        <v>0.0</v>
      </c>
      <c r="D1526" s="11">
        <v>0.0</v>
      </c>
      <c r="E1526" s="11">
        <v>0.0</v>
      </c>
      <c r="F1526" s="11">
        <v>0.0</v>
      </c>
      <c r="G1526" s="11">
        <v>0.0</v>
      </c>
      <c r="H1526" s="11">
        <v>0.0</v>
      </c>
      <c r="I1526" s="11">
        <v>0.0</v>
      </c>
      <c r="J1526" s="11">
        <v>0.0</v>
      </c>
      <c r="K1526" s="11">
        <f t="shared" si="1"/>
        <v>0</v>
      </c>
      <c r="L1526" s="11">
        <f t="shared" si="2"/>
        <v>0</v>
      </c>
    </row>
    <row r="1527" ht="15.75" customHeight="1">
      <c r="A1527" s="10" t="s">
        <v>3190</v>
      </c>
      <c r="B1527" s="10" t="s">
        <v>3191</v>
      </c>
      <c r="C1527" s="11">
        <v>0.0</v>
      </c>
      <c r="D1527" s="11">
        <v>0.0</v>
      </c>
      <c r="E1527" s="11">
        <v>0.0</v>
      </c>
      <c r="F1527" s="11">
        <v>0.0</v>
      </c>
      <c r="G1527" s="11">
        <v>0.0</v>
      </c>
      <c r="H1527" s="11">
        <v>0.0</v>
      </c>
      <c r="I1527" s="11">
        <v>0.0</v>
      </c>
      <c r="J1527" s="11">
        <v>0.0</v>
      </c>
      <c r="K1527" s="11">
        <f t="shared" si="1"/>
        <v>0</v>
      </c>
      <c r="L1527" s="11">
        <f t="shared" si="2"/>
        <v>0</v>
      </c>
    </row>
    <row r="1528" ht="15.75" customHeight="1">
      <c r="A1528" s="10" t="s">
        <v>3192</v>
      </c>
      <c r="B1528" s="10" t="s">
        <v>3193</v>
      </c>
      <c r="C1528" s="11">
        <v>0.0</v>
      </c>
      <c r="D1528" s="11">
        <v>0.0</v>
      </c>
      <c r="E1528" s="11">
        <v>0.0</v>
      </c>
      <c r="F1528" s="11">
        <v>41.4</v>
      </c>
      <c r="G1528" s="11">
        <v>41.4</v>
      </c>
      <c r="H1528" s="11">
        <v>0.0</v>
      </c>
      <c r="I1528" s="11">
        <v>82.8</v>
      </c>
      <c r="J1528" s="11">
        <v>0.0</v>
      </c>
      <c r="K1528" s="11">
        <f t="shared" si="1"/>
        <v>165.6</v>
      </c>
      <c r="L1528" s="11">
        <f t="shared" si="2"/>
        <v>31.05</v>
      </c>
    </row>
    <row r="1529" ht="15.75" customHeight="1">
      <c r="A1529" s="10" t="s">
        <v>3194</v>
      </c>
      <c r="B1529" s="10" t="s">
        <v>3195</v>
      </c>
      <c r="C1529" s="11">
        <v>0.0</v>
      </c>
      <c r="D1529" s="11">
        <v>0.0</v>
      </c>
      <c r="E1529" s="11">
        <v>0.0</v>
      </c>
      <c r="F1529" s="11">
        <v>0.0</v>
      </c>
      <c r="G1529" s="11">
        <v>0.0</v>
      </c>
      <c r="H1529" s="11">
        <v>0.0</v>
      </c>
      <c r="I1529" s="11">
        <v>0.0</v>
      </c>
      <c r="J1529" s="11">
        <v>0.0</v>
      </c>
      <c r="K1529" s="11">
        <f t="shared" si="1"/>
        <v>0</v>
      </c>
      <c r="L1529" s="11">
        <f t="shared" si="2"/>
        <v>0</v>
      </c>
    </row>
    <row r="1530" ht="15.75" customHeight="1">
      <c r="A1530" s="10" t="s">
        <v>3196</v>
      </c>
      <c r="B1530" s="10" t="s">
        <v>3197</v>
      </c>
      <c r="C1530" s="11">
        <v>0.0</v>
      </c>
      <c r="D1530" s="11">
        <v>0.0</v>
      </c>
      <c r="E1530" s="11">
        <v>0.0</v>
      </c>
      <c r="F1530" s="11">
        <v>0.0</v>
      </c>
      <c r="G1530" s="11">
        <v>0.0</v>
      </c>
      <c r="H1530" s="11">
        <v>0.0</v>
      </c>
      <c r="I1530" s="11">
        <v>0.0</v>
      </c>
      <c r="J1530" s="11">
        <v>65.9</v>
      </c>
      <c r="K1530" s="11">
        <f t="shared" si="1"/>
        <v>65.9</v>
      </c>
      <c r="L1530" s="11">
        <f t="shared" si="2"/>
        <v>16.475</v>
      </c>
    </row>
    <row r="1531" ht="15.75" customHeight="1">
      <c r="A1531" s="10" t="s">
        <v>3198</v>
      </c>
      <c r="B1531" s="10" t="s">
        <v>3199</v>
      </c>
      <c r="C1531" s="11">
        <v>0.0</v>
      </c>
      <c r="D1531" s="11">
        <v>0.0</v>
      </c>
      <c r="E1531" s="11">
        <v>0.0</v>
      </c>
      <c r="F1531" s="11">
        <v>0.0</v>
      </c>
      <c r="G1531" s="11">
        <v>0.0</v>
      </c>
      <c r="H1531" s="11">
        <v>0.0</v>
      </c>
      <c r="I1531" s="11">
        <v>0.0</v>
      </c>
      <c r="J1531" s="11">
        <v>0.0</v>
      </c>
      <c r="K1531" s="11">
        <f t="shared" si="1"/>
        <v>0</v>
      </c>
      <c r="L1531" s="11">
        <f t="shared" si="2"/>
        <v>0</v>
      </c>
    </row>
    <row r="1532" ht="15.75" customHeight="1">
      <c r="A1532" s="10" t="s">
        <v>3200</v>
      </c>
      <c r="B1532" s="10" t="s">
        <v>3201</v>
      </c>
      <c r="C1532" s="11">
        <v>16.0</v>
      </c>
      <c r="D1532" s="11">
        <v>0.0</v>
      </c>
      <c r="E1532" s="11">
        <v>0.0</v>
      </c>
      <c r="F1532" s="11">
        <v>0.0</v>
      </c>
      <c r="G1532" s="11">
        <v>0.0</v>
      </c>
      <c r="H1532" s="11">
        <v>0.0</v>
      </c>
      <c r="I1532" s="11">
        <v>0.0</v>
      </c>
      <c r="J1532" s="11">
        <v>0.0</v>
      </c>
      <c r="K1532" s="11">
        <f t="shared" si="1"/>
        <v>16</v>
      </c>
      <c r="L1532" s="11">
        <f t="shared" si="2"/>
        <v>0</v>
      </c>
    </row>
    <row r="1533" ht="15.75" customHeight="1">
      <c r="A1533" s="10" t="s">
        <v>3202</v>
      </c>
      <c r="B1533" s="10" t="s">
        <v>3203</v>
      </c>
      <c r="C1533" s="11">
        <v>0.0</v>
      </c>
      <c r="D1533" s="11">
        <v>0.0</v>
      </c>
      <c r="E1533" s="11">
        <v>0.0</v>
      </c>
      <c r="F1533" s="11">
        <v>0.0</v>
      </c>
      <c r="G1533" s="11">
        <v>0.0</v>
      </c>
      <c r="H1533" s="11">
        <v>0.0</v>
      </c>
      <c r="I1533" s="11">
        <v>0.0</v>
      </c>
      <c r="J1533" s="11">
        <v>72.0</v>
      </c>
      <c r="K1533" s="11">
        <f t="shared" si="1"/>
        <v>72</v>
      </c>
      <c r="L1533" s="11">
        <f t="shared" si="2"/>
        <v>18</v>
      </c>
    </row>
    <row r="1534" ht="15.75" customHeight="1">
      <c r="A1534" s="10" t="s">
        <v>3204</v>
      </c>
      <c r="B1534" s="10" t="s">
        <v>3205</v>
      </c>
      <c r="C1534" s="11">
        <v>0.0</v>
      </c>
      <c r="D1534" s="11">
        <v>0.0</v>
      </c>
      <c r="E1534" s="11">
        <v>0.0</v>
      </c>
      <c r="F1534" s="11">
        <v>0.0</v>
      </c>
      <c r="G1534" s="11">
        <v>35.0</v>
      </c>
      <c r="H1534" s="11">
        <v>0.0</v>
      </c>
      <c r="I1534" s="11">
        <v>0.0</v>
      </c>
      <c r="J1534" s="11">
        <v>47.0</v>
      </c>
      <c r="K1534" s="11">
        <f t="shared" si="1"/>
        <v>82</v>
      </c>
      <c r="L1534" s="11">
        <f t="shared" si="2"/>
        <v>20.5</v>
      </c>
    </row>
    <row r="1535" ht="15.75" customHeight="1">
      <c r="A1535" s="10" t="s">
        <v>3206</v>
      </c>
      <c r="B1535" s="10" t="s">
        <v>3207</v>
      </c>
      <c r="C1535" s="11">
        <v>0.0</v>
      </c>
      <c r="D1535" s="11">
        <v>0.0</v>
      </c>
      <c r="E1535" s="11">
        <v>0.0</v>
      </c>
      <c r="F1535" s="11">
        <v>0.0</v>
      </c>
      <c r="G1535" s="11">
        <v>0.0</v>
      </c>
      <c r="H1535" s="11">
        <v>0.0</v>
      </c>
      <c r="I1535" s="11">
        <v>0.0</v>
      </c>
      <c r="J1535" s="11">
        <v>0.0</v>
      </c>
      <c r="K1535" s="11">
        <f t="shared" si="1"/>
        <v>0</v>
      </c>
      <c r="L1535" s="11">
        <f t="shared" si="2"/>
        <v>0</v>
      </c>
    </row>
    <row r="1536" ht="15.75" customHeight="1">
      <c r="A1536" s="10" t="s">
        <v>3208</v>
      </c>
      <c r="B1536" s="10" t="s">
        <v>3209</v>
      </c>
      <c r="C1536" s="11">
        <v>38.8</v>
      </c>
      <c r="D1536" s="11">
        <v>0.0</v>
      </c>
      <c r="E1536" s="11">
        <v>0.0</v>
      </c>
      <c r="F1536" s="11">
        <v>0.0</v>
      </c>
      <c r="G1536" s="11">
        <v>40.0</v>
      </c>
      <c r="H1536" s="11">
        <v>17.5</v>
      </c>
      <c r="I1536" s="11">
        <v>0.0</v>
      </c>
      <c r="J1536" s="11">
        <v>92.5</v>
      </c>
      <c r="K1536" s="11">
        <f t="shared" si="1"/>
        <v>188.8</v>
      </c>
      <c r="L1536" s="11">
        <f t="shared" si="2"/>
        <v>37.5</v>
      </c>
    </row>
    <row r="1537" ht="15.75" customHeight="1">
      <c r="A1537" s="10" t="s">
        <v>3210</v>
      </c>
      <c r="B1537" s="10" t="s">
        <v>3211</v>
      </c>
      <c r="C1537" s="11">
        <v>0.0</v>
      </c>
      <c r="D1537" s="11">
        <v>0.0</v>
      </c>
      <c r="E1537" s="11">
        <v>0.0</v>
      </c>
      <c r="F1537" s="11">
        <v>0.0</v>
      </c>
      <c r="G1537" s="11">
        <v>0.0</v>
      </c>
      <c r="H1537" s="11">
        <v>0.0</v>
      </c>
      <c r="I1537" s="11">
        <v>0.0</v>
      </c>
      <c r="J1537" s="11">
        <v>0.0</v>
      </c>
      <c r="K1537" s="11">
        <f t="shared" si="1"/>
        <v>0</v>
      </c>
      <c r="L1537" s="11">
        <f t="shared" si="2"/>
        <v>0</v>
      </c>
    </row>
    <row r="1538" ht="15.75" customHeight="1">
      <c r="A1538" s="10" t="s">
        <v>3212</v>
      </c>
      <c r="B1538" s="10" t="s">
        <v>3213</v>
      </c>
      <c r="C1538" s="11">
        <v>0.0</v>
      </c>
      <c r="D1538" s="11">
        <v>0.0</v>
      </c>
      <c r="E1538" s="11">
        <v>0.0</v>
      </c>
      <c r="F1538" s="11">
        <v>0.0</v>
      </c>
      <c r="G1538" s="11">
        <v>0.0</v>
      </c>
      <c r="H1538" s="11">
        <v>0.0</v>
      </c>
      <c r="I1538" s="11">
        <v>0.0</v>
      </c>
      <c r="J1538" s="11">
        <v>0.0</v>
      </c>
      <c r="K1538" s="11">
        <f t="shared" si="1"/>
        <v>0</v>
      </c>
      <c r="L1538" s="11">
        <f t="shared" si="2"/>
        <v>0</v>
      </c>
    </row>
    <row r="1539" ht="15.75" customHeight="1">
      <c r="A1539" s="10" t="s">
        <v>3214</v>
      </c>
      <c r="B1539" s="10" t="s">
        <v>3215</v>
      </c>
      <c r="C1539" s="11">
        <v>0.0</v>
      </c>
      <c r="D1539" s="11">
        <v>0.0</v>
      </c>
      <c r="E1539" s="11">
        <v>0.0</v>
      </c>
      <c r="F1539" s="11">
        <v>0.0</v>
      </c>
      <c r="G1539" s="11">
        <v>0.0</v>
      </c>
      <c r="H1539" s="11">
        <v>0.0</v>
      </c>
      <c r="I1539" s="11">
        <v>0.0</v>
      </c>
      <c r="J1539" s="11">
        <v>0.0</v>
      </c>
      <c r="K1539" s="11">
        <f t="shared" si="1"/>
        <v>0</v>
      </c>
      <c r="L1539" s="11">
        <f t="shared" si="2"/>
        <v>0</v>
      </c>
    </row>
    <row r="1540" ht="15.75" customHeight="1">
      <c r="A1540" s="10" t="s">
        <v>3216</v>
      </c>
      <c r="B1540" s="10" t="s">
        <v>3217</v>
      </c>
      <c r="C1540" s="11">
        <v>0.0</v>
      </c>
      <c r="D1540" s="11">
        <v>0.0</v>
      </c>
      <c r="E1540" s="11">
        <v>0.0</v>
      </c>
      <c r="F1540" s="11">
        <v>0.0</v>
      </c>
      <c r="G1540" s="11">
        <v>0.0</v>
      </c>
      <c r="H1540" s="11">
        <v>0.0</v>
      </c>
      <c r="I1540" s="11">
        <v>0.0</v>
      </c>
      <c r="J1540" s="11">
        <v>74.0</v>
      </c>
      <c r="K1540" s="11">
        <f t="shared" si="1"/>
        <v>74</v>
      </c>
      <c r="L1540" s="11">
        <f t="shared" si="2"/>
        <v>18.5</v>
      </c>
    </row>
    <row r="1541" ht="15.75" customHeight="1">
      <c r="A1541" s="10" t="s">
        <v>3218</v>
      </c>
      <c r="B1541" s="10" t="s">
        <v>3219</v>
      </c>
      <c r="C1541" s="11">
        <v>0.0</v>
      </c>
      <c r="D1541" s="11">
        <v>0.0</v>
      </c>
      <c r="E1541" s="11">
        <v>0.0</v>
      </c>
      <c r="F1541" s="11">
        <v>0.0</v>
      </c>
      <c r="G1541" s="11">
        <v>0.0</v>
      </c>
      <c r="H1541" s="11">
        <v>15.5</v>
      </c>
      <c r="I1541" s="11">
        <v>40.0</v>
      </c>
      <c r="J1541" s="11">
        <v>0.0</v>
      </c>
      <c r="K1541" s="11">
        <f t="shared" si="1"/>
        <v>55.5</v>
      </c>
      <c r="L1541" s="11">
        <f t="shared" si="2"/>
        <v>13.875</v>
      </c>
    </row>
    <row r="1542" ht="15.75" customHeight="1">
      <c r="A1542" s="10" t="s">
        <v>3220</v>
      </c>
      <c r="B1542" s="10" t="s">
        <v>3221</v>
      </c>
      <c r="C1542" s="11">
        <v>0.0</v>
      </c>
      <c r="D1542" s="11">
        <v>0.0</v>
      </c>
      <c r="E1542" s="11">
        <v>0.0</v>
      </c>
      <c r="F1542" s="11">
        <v>0.0</v>
      </c>
      <c r="G1542" s="11">
        <v>50.0</v>
      </c>
      <c r="H1542" s="11">
        <v>66.5</v>
      </c>
      <c r="I1542" s="11">
        <v>700.0</v>
      </c>
      <c r="J1542" s="11">
        <v>509.0</v>
      </c>
      <c r="K1542" s="11">
        <f t="shared" si="1"/>
        <v>1325.5</v>
      </c>
      <c r="L1542" s="11">
        <f t="shared" si="2"/>
        <v>331.375</v>
      </c>
    </row>
    <row r="1543" ht="15.75" customHeight="1">
      <c r="A1543" s="10" t="s">
        <v>3222</v>
      </c>
      <c r="B1543" s="10" t="s">
        <v>3223</v>
      </c>
      <c r="C1543" s="11">
        <v>0.0</v>
      </c>
      <c r="D1543" s="11">
        <v>50.0</v>
      </c>
      <c r="E1543" s="11">
        <v>50.0</v>
      </c>
      <c r="F1543" s="11">
        <v>260.0</v>
      </c>
      <c r="G1543" s="11">
        <v>300.0</v>
      </c>
      <c r="H1543" s="11">
        <v>100.0</v>
      </c>
      <c r="I1543" s="11">
        <v>516.0</v>
      </c>
      <c r="J1543" s="11">
        <v>400.0</v>
      </c>
      <c r="K1543" s="11">
        <f t="shared" si="1"/>
        <v>1676</v>
      </c>
      <c r="L1543" s="11">
        <f t="shared" si="2"/>
        <v>329</v>
      </c>
    </row>
    <row r="1544" ht="15.75" customHeight="1">
      <c r="A1544" s="10" t="s">
        <v>3224</v>
      </c>
      <c r="B1544" s="10" t="s">
        <v>3225</v>
      </c>
      <c r="C1544" s="11">
        <v>0.0</v>
      </c>
      <c r="D1544" s="11">
        <v>50.0</v>
      </c>
      <c r="E1544" s="11">
        <v>50.0</v>
      </c>
      <c r="F1544" s="11">
        <v>50.0</v>
      </c>
      <c r="G1544" s="11">
        <v>0.0</v>
      </c>
      <c r="H1544" s="11">
        <v>150.0</v>
      </c>
      <c r="I1544" s="11">
        <v>1550.0</v>
      </c>
      <c r="J1544" s="11">
        <v>1850.0</v>
      </c>
      <c r="K1544" s="11">
        <f t="shared" si="1"/>
        <v>3700</v>
      </c>
      <c r="L1544" s="11">
        <f t="shared" si="2"/>
        <v>887.5</v>
      </c>
    </row>
    <row r="1545" ht="15.75" customHeight="1">
      <c r="A1545" s="10" t="s">
        <v>3226</v>
      </c>
      <c r="B1545" s="10" t="s">
        <v>3227</v>
      </c>
      <c r="C1545" s="11">
        <v>0.0</v>
      </c>
      <c r="D1545" s="11">
        <v>50.0</v>
      </c>
      <c r="E1545" s="11">
        <v>0.0</v>
      </c>
      <c r="F1545" s="11">
        <v>50.0</v>
      </c>
      <c r="G1545" s="11">
        <v>50.0</v>
      </c>
      <c r="H1545" s="11">
        <v>50.0</v>
      </c>
      <c r="I1545" s="11">
        <v>200.0</v>
      </c>
      <c r="J1545" s="11">
        <v>650.0</v>
      </c>
      <c r="K1545" s="11">
        <f t="shared" si="1"/>
        <v>1050</v>
      </c>
      <c r="L1545" s="11">
        <f t="shared" si="2"/>
        <v>237.5</v>
      </c>
    </row>
    <row r="1546" ht="15.75" customHeight="1">
      <c r="A1546" s="10" t="s">
        <v>3228</v>
      </c>
      <c r="B1546" s="10" t="s">
        <v>3229</v>
      </c>
      <c r="C1546" s="11">
        <v>0.0</v>
      </c>
      <c r="D1546" s="11">
        <v>0.0</v>
      </c>
      <c r="E1546" s="11">
        <v>0.0</v>
      </c>
      <c r="F1546" s="11">
        <v>0.0</v>
      </c>
      <c r="G1546" s="11">
        <v>0.0</v>
      </c>
      <c r="H1546" s="11">
        <v>0.0</v>
      </c>
      <c r="I1546" s="11">
        <v>0.0</v>
      </c>
      <c r="J1546" s="11">
        <v>0.0</v>
      </c>
      <c r="K1546" s="11">
        <f t="shared" si="1"/>
        <v>0</v>
      </c>
      <c r="L1546" s="11">
        <f t="shared" si="2"/>
        <v>0</v>
      </c>
    </row>
    <row r="1547" ht="15.75" customHeight="1">
      <c r="A1547" s="10" t="s">
        <v>3230</v>
      </c>
      <c r="B1547" s="10" t="s">
        <v>3231</v>
      </c>
      <c r="C1547" s="11">
        <v>0.0</v>
      </c>
      <c r="D1547" s="11">
        <v>0.0</v>
      </c>
      <c r="E1547" s="11">
        <v>0.0</v>
      </c>
      <c r="F1547" s="11">
        <v>0.0</v>
      </c>
      <c r="G1547" s="11">
        <v>0.0</v>
      </c>
      <c r="H1547" s="11">
        <v>0.0</v>
      </c>
      <c r="I1547" s="11">
        <v>0.0</v>
      </c>
      <c r="J1547" s="11">
        <v>0.0</v>
      </c>
      <c r="K1547" s="11">
        <f t="shared" si="1"/>
        <v>0</v>
      </c>
      <c r="L1547" s="11">
        <f t="shared" si="2"/>
        <v>0</v>
      </c>
    </row>
    <row r="1548" ht="15.75" customHeight="1">
      <c r="A1548" s="10" t="s">
        <v>3232</v>
      </c>
      <c r="B1548" s="10" t="s">
        <v>3233</v>
      </c>
      <c r="C1548" s="11">
        <v>0.0</v>
      </c>
      <c r="D1548" s="11">
        <v>0.0</v>
      </c>
      <c r="E1548" s="11">
        <v>0.0</v>
      </c>
      <c r="F1548" s="11">
        <v>0.0</v>
      </c>
      <c r="G1548" s="11">
        <v>0.0</v>
      </c>
      <c r="H1548" s="11">
        <v>0.0</v>
      </c>
      <c r="I1548" s="11">
        <v>0.0</v>
      </c>
      <c r="J1548" s="11">
        <v>0.0</v>
      </c>
      <c r="K1548" s="11">
        <f t="shared" si="1"/>
        <v>0</v>
      </c>
      <c r="L1548" s="11">
        <f t="shared" si="2"/>
        <v>0</v>
      </c>
    </row>
    <row r="1549" ht="15.75" customHeight="1">
      <c r="A1549" s="10" t="s">
        <v>3234</v>
      </c>
      <c r="B1549" s="10" t="s">
        <v>3235</v>
      </c>
      <c r="C1549" s="11">
        <v>0.0</v>
      </c>
      <c r="D1549" s="11">
        <v>0.0</v>
      </c>
      <c r="E1549" s="11">
        <v>0.0</v>
      </c>
      <c r="F1549" s="11">
        <v>0.0</v>
      </c>
      <c r="G1549" s="11">
        <v>0.0</v>
      </c>
      <c r="H1549" s="11">
        <v>0.0</v>
      </c>
      <c r="I1549" s="11">
        <v>0.0</v>
      </c>
      <c r="J1549" s="11">
        <v>0.0</v>
      </c>
      <c r="K1549" s="11">
        <f t="shared" si="1"/>
        <v>0</v>
      </c>
      <c r="L1549" s="11">
        <f t="shared" si="2"/>
        <v>0</v>
      </c>
    </row>
    <row r="1550" ht="15.75" customHeight="1">
      <c r="A1550" s="10" t="s">
        <v>3236</v>
      </c>
      <c r="B1550" s="10" t="s">
        <v>3237</v>
      </c>
      <c r="C1550" s="11">
        <v>0.0</v>
      </c>
      <c r="D1550" s="11">
        <v>0.0</v>
      </c>
      <c r="E1550" s="11">
        <v>0.0</v>
      </c>
      <c r="F1550" s="11">
        <v>0.0</v>
      </c>
      <c r="G1550" s="11">
        <v>0.0</v>
      </c>
      <c r="H1550" s="11">
        <v>0.0</v>
      </c>
      <c r="I1550" s="11">
        <v>200.0</v>
      </c>
      <c r="J1550" s="11">
        <v>0.0</v>
      </c>
      <c r="K1550" s="11">
        <f t="shared" si="1"/>
        <v>200</v>
      </c>
      <c r="L1550" s="11">
        <f t="shared" si="2"/>
        <v>50</v>
      </c>
    </row>
    <row r="1551" ht="15.75" customHeight="1">
      <c r="A1551" s="10" t="s">
        <v>3238</v>
      </c>
      <c r="B1551" s="10" t="s">
        <v>3239</v>
      </c>
      <c r="C1551" s="11">
        <v>0.0</v>
      </c>
      <c r="D1551" s="11">
        <v>0.0</v>
      </c>
      <c r="E1551" s="11">
        <v>0.0</v>
      </c>
      <c r="F1551" s="11">
        <v>0.0</v>
      </c>
      <c r="G1551" s="11">
        <v>0.0</v>
      </c>
      <c r="H1551" s="11">
        <v>0.0</v>
      </c>
      <c r="I1551" s="11">
        <v>0.0</v>
      </c>
      <c r="J1551" s="11">
        <v>0.0</v>
      </c>
      <c r="K1551" s="11">
        <f t="shared" si="1"/>
        <v>0</v>
      </c>
      <c r="L1551" s="11">
        <f t="shared" si="2"/>
        <v>0</v>
      </c>
    </row>
    <row r="1552" ht="15.75" customHeight="1">
      <c r="A1552" s="10" t="s">
        <v>3240</v>
      </c>
      <c r="B1552" s="10" t="s">
        <v>3241</v>
      </c>
      <c r="C1552" s="11">
        <v>0.0</v>
      </c>
      <c r="D1552" s="11">
        <v>50.0</v>
      </c>
      <c r="E1552" s="11">
        <v>50.0</v>
      </c>
      <c r="F1552" s="11">
        <v>550.0</v>
      </c>
      <c r="G1552" s="11">
        <v>100.0</v>
      </c>
      <c r="H1552" s="11">
        <v>500.0</v>
      </c>
      <c r="I1552" s="11">
        <v>1350.0</v>
      </c>
      <c r="J1552" s="11">
        <v>3000.0</v>
      </c>
      <c r="K1552" s="11">
        <f t="shared" si="1"/>
        <v>5600</v>
      </c>
      <c r="L1552" s="11">
        <f t="shared" si="2"/>
        <v>1237.5</v>
      </c>
    </row>
    <row r="1553" ht="15.75" customHeight="1">
      <c r="A1553" s="10" t="s">
        <v>3242</v>
      </c>
      <c r="B1553" s="10" t="s">
        <v>3243</v>
      </c>
      <c r="C1553" s="11">
        <v>0.0</v>
      </c>
      <c r="D1553" s="11">
        <v>100.0</v>
      </c>
      <c r="E1553" s="11">
        <v>50.0</v>
      </c>
      <c r="F1553" s="11">
        <v>150.0</v>
      </c>
      <c r="G1553" s="11">
        <v>150.0</v>
      </c>
      <c r="H1553" s="11">
        <v>650.0</v>
      </c>
      <c r="I1553" s="11">
        <v>1100.0</v>
      </c>
      <c r="J1553" s="11">
        <v>3400.0</v>
      </c>
      <c r="K1553" s="11">
        <f t="shared" si="1"/>
        <v>5600</v>
      </c>
      <c r="L1553" s="11">
        <f t="shared" si="2"/>
        <v>1325</v>
      </c>
    </row>
    <row r="1554" ht="15.75" customHeight="1">
      <c r="A1554" s="10" t="s">
        <v>3244</v>
      </c>
      <c r="B1554" s="10" t="s">
        <v>3245</v>
      </c>
      <c r="C1554" s="11">
        <v>0.0</v>
      </c>
      <c r="D1554" s="11">
        <v>50.0</v>
      </c>
      <c r="E1554" s="11">
        <v>50.0</v>
      </c>
      <c r="F1554" s="11">
        <v>100.0</v>
      </c>
      <c r="G1554" s="11">
        <v>200.0</v>
      </c>
      <c r="H1554" s="11">
        <v>550.0</v>
      </c>
      <c r="I1554" s="11">
        <v>2300.0</v>
      </c>
      <c r="J1554" s="11">
        <v>3950.0</v>
      </c>
      <c r="K1554" s="11">
        <f t="shared" si="1"/>
        <v>7200</v>
      </c>
      <c r="L1554" s="11">
        <f t="shared" si="2"/>
        <v>1750</v>
      </c>
    </row>
    <row r="1555" ht="15.75" customHeight="1">
      <c r="A1555" s="10" t="s">
        <v>3246</v>
      </c>
      <c r="B1555" s="10" t="s">
        <v>3247</v>
      </c>
      <c r="C1555" s="11">
        <v>0.0</v>
      </c>
      <c r="D1555" s="11">
        <v>50.0</v>
      </c>
      <c r="E1555" s="11">
        <v>50.0</v>
      </c>
      <c r="F1555" s="11">
        <v>0.0</v>
      </c>
      <c r="G1555" s="11">
        <v>150.0</v>
      </c>
      <c r="H1555" s="11">
        <v>200.0</v>
      </c>
      <c r="I1555" s="11">
        <v>700.0</v>
      </c>
      <c r="J1555" s="11">
        <v>1450.0</v>
      </c>
      <c r="K1555" s="11">
        <f t="shared" si="1"/>
        <v>2600</v>
      </c>
      <c r="L1555" s="11">
        <f t="shared" si="2"/>
        <v>625</v>
      </c>
    </row>
    <row r="1556" ht="15.75" customHeight="1">
      <c r="A1556" s="10" t="s">
        <v>3248</v>
      </c>
      <c r="B1556" s="10" t="s">
        <v>3249</v>
      </c>
      <c r="C1556" s="11">
        <v>0.0</v>
      </c>
      <c r="D1556" s="11">
        <v>0.0</v>
      </c>
      <c r="E1556" s="11">
        <v>0.0</v>
      </c>
      <c r="F1556" s="11">
        <v>0.0</v>
      </c>
      <c r="G1556" s="11">
        <v>0.0</v>
      </c>
      <c r="H1556" s="11">
        <v>0.0</v>
      </c>
      <c r="I1556" s="11">
        <v>0.0</v>
      </c>
      <c r="J1556" s="11">
        <v>0.0</v>
      </c>
      <c r="K1556" s="11">
        <f t="shared" si="1"/>
        <v>0</v>
      </c>
      <c r="L1556" s="11">
        <f t="shared" si="2"/>
        <v>0</v>
      </c>
    </row>
    <row r="1557" ht="15.75" customHeight="1">
      <c r="A1557" s="10" t="s">
        <v>3250</v>
      </c>
      <c r="B1557" s="10" t="s">
        <v>3251</v>
      </c>
      <c r="C1557" s="11">
        <v>0.0</v>
      </c>
      <c r="D1557" s="11">
        <v>0.0</v>
      </c>
      <c r="E1557" s="11">
        <v>0.0</v>
      </c>
      <c r="F1557" s="11">
        <v>0.0</v>
      </c>
      <c r="G1557" s="11">
        <v>0.0</v>
      </c>
      <c r="H1557" s="11">
        <v>100.0</v>
      </c>
      <c r="I1557" s="11">
        <v>0.0</v>
      </c>
      <c r="J1557" s="11">
        <v>1700.0</v>
      </c>
      <c r="K1557" s="11">
        <f t="shared" si="1"/>
        <v>1800</v>
      </c>
      <c r="L1557" s="11">
        <f t="shared" si="2"/>
        <v>450</v>
      </c>
    </row>
    <row r="1558" ht="15.75" customHeight="1">
      <c r="A1558" s="10" t="s">
        <v>3252</v>
      </c>
      <c r="B1558" s="10" t="s">
        <v>3253</v>
      </c>
      <c r="C1558" s="11">
        <v>0.0</v>
      </c>
      <c r="D1558" s="11">
        <v>0.0</v>
      </c>
      <c r="E1558" s="11">
        <v>0.0</v>
      </c>
      <c r="F1558" s="11">
        <v>0.0</v>
      </c>
      <c r="G1558" s="11">
        <v>0.0</v>
      </c>
      <c r="H1558" s="11">
        <v>100.0</v>
      </c>
      <c r="I1558" s="11">
        <v>200.0</v>
      </c>
      <c r="J1558" s="11">
        <v>1600.0</v>
      </c>
      <c r="K1558" s="11">
        <f t="shared" si="1"/>
        <v>1900</v>
      </c>
      <c r="L1558" s="11">
        <f t="shared" si="2"/>
        <v>475</v>
      </c>
    </row>
    <row r="1559" ht="15.75" customHeight="1">
      <c r="A1559" s="10" t="s">
        <v>3254</v>
      </c>
      <c r="B1559" s="10" t="s">
        <v>3255</v>
      </c>
      <c r="C1559" s="11">
        <v>0.0</v>
      </c>
      <c r="D1559" s="11">
        <v>0.0</v>
      </c>
      <c r="E1559" s="11">
        <v>0.0</v>
      </c>
      <c r="F1559" s="11">
        <v>0.0</v>
      </c>
      <c r="G1559" s="11">
        <v>0.0</v>
      </c>
      <c r="H1559" s="11">
        <v>100.0</v>
      </c>
      <c r="I1559" s="11">
        <v>200.0</v>
      </c>
      <c r="J1559" s="11">
        <v>1946.5</v>
      </c>
      <c r="K1559" s="11">
        <f t="shared" si="1"/>
        <v>2246.5</v>
      </c>
      <c r="L1559" s="11">
        <f t="shared" si="2"/>
        <v>561.625</v>
      </c>
    </row>
    <row r="1560" ht="15.75" customHeight="1">
      <c r="A1560" s="10" t="s">
        <v>3256</v>
      </c>
      <c r="B1560" s="10" t="s">
        <v>3257</v>
      </c>
      <c r="C1560" s="11">
        <v>0.0</v>
      </c>
      <c r="D1560" s="11">
        <v>0.0</v>
      </c>
      <c r="E1560" s="11">
        <v>0.0</v>
      </c>
      <c r="F1560" s="11">
        <v>0.0</v>
      </c>
      <c r="G1560" s="11">
        <v>0.0</v>
      </c>
      <c r="H1560" s="11">
        <v>100.0</v>
      </c>
      <c r="I1560" s="11">
        <v>0.0</v>
      </c>
      <c r="J1560" s="11">
        <v>600.0</v>
      </c>
      <c r="K1560" s="11">
        <f t="shared" si="1"/>
        <v>700</v>
      </c>
      <c r="L1560" s="11">
        <f t="shared" si="2"/>
        <v>175</v>
      </c>
    </row>
    <row r="1561" ht="15.75" customHeight="1">
      <c r="A1561" s="10" t="s">
        <v>3258</v>
      </c>
      <c r="B1561" s="10" t="s">
        <v>3259</v>
      </c>
      <c r="C1561" s="11">
        <v>0.0</v>
      </c>
      <c r="D1561" s="11">
        <v>0.0</v>
      </c>
      <c r="E1561" s="11">
        <v>0.0</v>
      </c>
      <c r="F1561" s="11">
        <v>0.0</v>
      </c>
      <c r="G1561" s="11">
        <v>0.0</v>
      </c>
      <c r="H1561" s="11">
        <v>0.0</v>
      </c>
      <c r="I1561" s="11">
        <v>0.0</v>
      </c>
      <c r="J1561" s="11">
        <v>0.0</v>
      </c>
      <c r="K1561" s="11">
        <f t="shared" si="1"/>
        <v>0</v>
      </c>
      <c r="L1561" s="11">
        <f t="shared" si="2"/>
        <v>0</v>
      </c>
    </row>
    <row r="1562" ht="15.75" customHeight="1">
      <c r="A1562" s="10" t="s">
        <v>3260</v>
      </c>
      <c r="B1562" s="10" t="s">
        <v>3261</v>
      </c>
      <c r="C1562" s="11">
        <v>0.0</v>
      </c>
      <c r="D1562" s="11">
        <v>0.0</v>
      </c>
      <c r="E1562" s="11">
        <v>0.0</v>
      </c>
      <c r="F1562" s="11">
        <v>0.0</v>
      </c>
      <c r="G1562" s="11">
        <v>0.0</v>
      </c>
      <c r="H1562" s="11">
        <v>0.0</v>
      </c>
      <c r="I1562" s="11">
        <v>0.0</v>
      </c>
      <c r="J1562" s="11">
        <v>0.0</v>
      </c>
      <c r="K1562" s="11">
        <f t="shared" si="1"/>
        <v>0</v>
      </c>
      <c r="L1562" s="11">
        <f t="shared" si="2"/>
        <v>0</v>
      </c>
    </row>
    <row r="1563" ht="15.75" customHeight="1">
      <c r="A1563" s="10" t="s">
        <v>3262</v>
      </c>
      <c r="B1563" s="10" t="s">
        <v>3263</v>
      </c>
      <c r="C1563" s="11">
        <v>0.0</v>
      </c>
      <c r="D1563" s="11">
        <v>0.0</v>
      </c>
      <c r="E1563" s="11">
        <v>0.0</v>
      </c>
      <c r="F1563" s="11">
        <v>0.0</v>
      </c>
      <c r="G1563" s="11">
        <v>0.0</v>
      </c>
      <c r="H1563" s="11">
        <v>0.0</v>
      </c>
      <c r="I1563" s="11">
        <v>0.0</v>
      </c>
      <c r="J1563" s="11">
        <v>0.0</v>
      </c>
      <c r="K1563" s="11">
        <f t="shared" si="1"/>
        <v>0</v>
      </c>
      <c r="L1563" s="11">
        <f t="shared" si="2"/>
        <v>0</v>
      </c>
    </row>
    <row r="1564" ht="15.75" customHeight="1">
      <c r="A1564" s="10" t="s">
        <v>3264</v>
      </c>
      <c r="B1564" s="10" t="s">
        <v>3265</v>
      </c>
      <c r="C1564" s="11">
        <v>0.0</v>
      </c>
      <c r="D1564" s="11">
        <v>0.0</v>
      </c>
      <c r="E1564" s="11">
        <v>0.0</v>
      </c>
      <c r="F1564" s="11">
        <v>0.0</v>
      </c>
      <c r="G1564" s="11">
        <v>0.0</v>
      </c>
      <c r="H1564" s="11">
        <v>100.0</v>
      </c>
      <c r="I1564" s="11">
        <v>225.0</v>
      </c>
      <c r="J1564" s="11">
        <v>25.0</v>
      </c>
      <c r="K1564" s="11">
        <f t="shared" si="1"/>
        <v>350</v>
      </c>
      <c r="L1564" s="11">
        <f t="shared" si="2"/>
        <v>87.5</v>
      </c>
    </row>
    <row r="1565" ht="15.75" customHeight="1">
      <c r="A1565" s="10" t="s">
        <v>3266</v>
      </c>
      <c r="B1565" s="10" t="s">
        <v>3267</v>
      </c>
      <c r="C1565" s="11">
        <v>0.0</v>
      </c>
      <c r="D1565" s="11">
        <v>0.0</v>
      </c>
      <c r="E1565" s="11">
        <v>0.0</v>
      </c>
      <c r="F1565" s="11">
        <v>0.0</v>
      </c>
      <c r="G1565" s="11">
        <v>0.0</v>
      </c>
      <c r="H1565" s="11">
        <v>125.0</v>
      </c>
      <c r="I1565" s="11">
        <v>300.0</v>
      </c>
      <c r="J1565" s="11">
        <v>175.0</v>
      </c>
      <c r="K1565" s="11">
        <f t="shared" si="1"/>
        <v>600</v>
      </c>
      <c r="L1565" s="11">
        <f t="shared" si="2"/>
        <v>150</v>
      </c>
    </row>
    <row r="1566" ht="15.75" customHeight="1">
      <c r="A1566" s="10" t="s">
        <v>3268</v>
      </c>
      <c r="B1566" s="10" t="s">
        <v>3269</v>
      </c>
      <c r="C1566" s="11">
        <v>0.0</v>
      </c>
      <c r="D1566" s="11">
        <v>0.0</v>
      </c>
      <c r="E1566" s="11">
        <v>0.0</v>
      </c>
      <c r="F1566" s="11">
        <v>0.0</v>
      </c>
      <c r="G1566" s="11">
        <v>0.0</v>
      </c>
      <c r="H1566" s="11">
        <v>0.0</v>
      </c>
      <c r="I1566" s="11">
        <v>0.0</v>
      </c>
      <c r="J1566" s="11">
        <v>0.0</v>
      </c>
      <c r="K1566" s="11">
        <f t="shared" si="1"/>
        <v>0</v>
      </c>
      <c r="L1566" s="11">
        <f t="shared" si="2"/>
        <v>0</v>
      </c>
    </row>
    <row r="1567" ht="15.75" customHeight="1">
      <c r="A1567" s="10" t="s">
        <v>3270</v>
      </c>
      <c r="B1567" s="10" t="s">
        <v>3271</v>
      </c>
      <c r="C1567" s="11">
        <v>0.0</v>
      </c>
      <c r="D1567" s="11">
        <v>0.0</v>
      </c>
      <c r="E1567" s="11">
        <v>0.0</v>
      </c>
      <c r="F1567" s="11">
        <v>0.0</v>
      </c>
      <c r="G1567" s="11">
        <v>0.0</v>
      </c>
      <c r="H1567" s="11">
        <v>0.0</v>
      </c>
      <c r="I1567" s="11">
        <v>0.0</v>
      </c>
      <c r="J1567" s="11">
        <v>100.0</v>
      </c>
      <c r="K1567" s="11">
        <f t="shared" si="1"/>
        <v>100</v>
      </c>
      <c r="L1567" s="11">
        <f t="shared" si="2"/>
        <v>25</v>
      </c>
    </row>
    <row r="1568" ht="15.75" customHeight="1">
      <c r="A1568" s="10" t="s">
        <v>3272</v>
      </c>
      <c r="B1568" s="10" t="s">
        <v>3273</v>
      </c>
      <c r="C1568" s="11">
        <v>0.0</v>
      </c>
      <c r="D1568" s="11">
        <v>0.0</v>
      </c>
      <c r="E1568" s="11">
        <v>0.0</v>
      </c>
      <c r="F1568" s="11">
        <v>50.0</v>
      </c>
      <c r="G1568" s="11">
        <v>0.0</v>
      </c>
      <c r="H1568" s="11">
        <v>0.0</v>
      </c>
      <c r="I1568" s="11">
        <v>300.0</v>
      </c>
      <c r="J1568" s="11">
        <v>100.0</v>
      </c>
      <c r="K1568" s="11">
        <f t="shared" si="1"/>
        <v>450</v>
      </c>
      <c r="L1568" s="11">
        <f t="shared" si="2"/>
        <v>100</v>
      </c>
    </row>
    <row r="1569" ht="15.75" customHeight="1">
      <c r="A1569" s="10" t="s">
        <v>3274</v>
      </c>
      <c r="B1569" s="10" t="s">
        <v>3275</v>
      </c>
      <c r="C1569" s="11">
        <v>0.0</v>
      </c>
      <c r="D1569" s="11">
        <v>0.0</v>
      </c>
      <c r="E1569" s="11">
        <v>0.0</v>
      </c>
      <c r="F1569" s="11">
        <v>0.0</v>
      </c>
      <c r="G1569" s="11">
        <v>0.0</v>
      </c>
      <c r="H1569" s="11">
        <v>100.0</v>
      </c>
      <c r="I1569" s="11">
        <v>0.0</v>
      </c>
      <c r="J1569" s="11">
        <v>1000.0</v>
      </c>
      <c r="K1569" s="11">
        <f t="shared" si="1"/>
        <v>1100</v>
      </c>
      <c r="L1569" s="11">
        <f t="shared" si="2"/>
        <v>275</v>
      </c>
    </row>
    <row r="1570" ht="15.75" customHeight="1">
      <c r="A1570" s="10" t="s">
        <v>3276</v>
      </c>
      <c r="B1570" s="10" t="s">
        <v>3277</v>
      </c>
      <c r="C1570" s="11">
        <v>0.0</v>
      </c>
      <c r="D1570" s="11">
        <v>0.0</v>
      </c>
      <c r="E1570" s="11">
        <v>0.0</v>
      </c>
      <c r="F1570" s="11">
        <v>0.0</v>
      </c>
      <c r="G1570" s="11">
        <v>0.0</v>
      </c>
      <c r="H1570" s="11">
        <v>0.0</v>
      </c>
      <c r="I1570" s="11">
        <v>100.0</v>
      </c>
      <c r="J1570" s="11">
        <v>350.0</v>
      </c>
      <c r="K1570" s="11">
        <f t="shared" si="1"/>
        <v>450</v>
      </c>
      <c r="L1570" s="11">
        <f t="shared" si="2"/>
        <v>112.5</v>
      </c>
    </row>
    <row r="1571" ht="15.75" customHeight="1">
      <c r="A1571" s="10" t="s">
        <v>3278</v>
      </c>
      <c r="B1571" s="10" t="s">
        <v>3279</v>
      </c>
      <c r="C1571" s="11">
        <v>0.0</v>
      </c>
      <c r="D1571" s="11">
        <v>0.0</v>
      </c>
      <c r="E1571" s="11">
        <v>0.0</v>
      </c>
      <c r="F1571" s="11">
        <v>0.0</v>
      </c>
      <c r="G1571" s="11">
        <v>0.0</v>
      </c>
      <c r="H1571" s="11">
        <v>100.0</v>
      </c>
      <c r="I1571" s="11">
        <v>0.0</v>
      </c>
      <c r="J1571" s="11">
        <v>850.0</v>
      </c>
      <c r="K1571" s="11">
        <f t="shared" si="1"/>
        <v>950</v>
      </c>
      <c r="L1571" s="11">
        <f t="shared" si="2"/>
        <v>237.5</v>
      </c>
    </row>
    <row r="1572" ht="15.75" customHeight="1">
      <c r="A1572" s="10" t="s">
        <v>3281</v>
      </c>
      <c r="B1572" s="10" t="s">
        <v>3282</v>
      </c>
      <c r="C1572" s="11">
        <v>0.0</v>
      </c>
      <c r="D1572" s="11">
        <v>0.0</v>
      </c>
      <c r="E1572" s="11">
        <v>0.0</v>
      </c>
      <c r="F1572" s="11">
        <v>0.0</v>
      </c>
      <c r="G1572" s="11">
        <v>0.0</v>
      </c>
      <c r="H1572" s="11">
        <v>100.0</v>
      </c>
      <c r="I1572" s="11">
        <v>0.0</v>
      </c>
      <c r="J1572" s="11">
        <v>241.0</v>
      </c>
      <c r="K1572" s="11">
        <f t="shared" si="1"/>
        <v>341</v>
      </c>
      <c r="L1572" s="11">
        <f t="shared" si="2"/>
        <v>85.25</v>
      </c>
    </row>
    <row r="1573" ht="15.75" customHeight="1">
      <c r="A1573" s="10" t="s">
        <v>3283</v>
      </c>
      <c r="B1573" s="10" t="s">
        <v>3284</v>
      </c>
      <c r="C1573" s="11">
        <v>0.0</v>
      </c>
      <c r="D1573" s="11">
        <v>25.0</v>
      </c>
      <c r="E1573" s="11">
        <v>0.0</v>
      </c>
      <c r="F1573" s="11">
        <v>0.0</v>
      </c>
      <c r="G1573" s="11">
        <v>0.0</v>
      </c>
      <c r="H1573" s="11">
        <v>50.0</v>
      </c>
      <c r="I1573" s="11">
        <v>150.0</v>
      </c>
      <c r="J1573" s="11">
        <v>125.0</v>
      </c>
      <c r="K1573" s="11">
        <f t="shared" si="1"/>
        <v>350</v>
      </c>
      <c r="L1573" s="11">
        <f t="shared" si="2"/>
        <v>81.25</v>
      </c>
    </row>
    <row r="1574" ht="15.75" customHeight="1">
      <c r="A1574" s="10" t="s">
        <v>3285</v>
      </c>
      <c r="B1574" s="10" t="s">
        <v>3286</v>
      </c>
      <c r="C1574" s="11">
        <v>0.0</v>
      </c>
      <c r="D1574" s="11">
        <v>25.0</v>
      </c>
      <c r="E1574" s="11">
        <v>0.0</v>
      </c>
      <c r="F1574" s="11">
        <v>0.0</v>
      </c>
      <c r="G1574" s="11">
        <v>0.0</v>
      </c>
      <c r="H1574" s="11">
        <v>50.0</v>
      </c>
      <c r="I1574" s="11">
        <v>125.0</v>
      </c>
      <c r="J1574" s="11">
        <v>125.0</v>
      </c>
      <c r="K1574" s="11">
        <f t="shared" si="1"/>
        <v>325</v>
      </c>
      <c r="L1574" s="11">
        <f t="shared" si="2"/>
        <v>75</v>
      </c>
    </row>
    <row r="1575" ht="15.75" customHeight="1">
      <c r="A1575" s="10" t="s">
        <v>3287</v>
      </c>
      <c r="B1575" s="10" t="s">
        <v>3288</v>
      </c>
      <c r="C1575" s="11">
        <v>0.0</v>
      </c>
      <c r="D1575" s="11">
        <v>0.0</v>
      </c>
      <c r="E1575" s="11">
        <v>0.0</v>
      </c>
      <c r="F1575" s="11">
        <v>0.0</v>
      </c>
      <c r="G1575" s="11">
        <v>0.0</v>
      </c>
      <c r="H1575" s="11">
        <v>50.0</v>
      </c>
      <c r="I1575" s="11">
        <v>0.0</v>
      </c>
      <c r="J1575" s="11">
        <v>0.0</v>
      </c>
      <c r="K1575" s="11">
        <f t="shared" si="1"/>
        <v>50</v>
      </c>
      <c r="L1575" s="11">
        <f t="shared" si="2"/>
        <v>12.5</v>
      </c>
    </row>
    <row r="1576" ht="15.75" customHeight="1">
      <c r="A1576" s="10" t="s">
        <v>3289</v>
      </c>
      <c r="B1576" s="10" t="s">
        <v>3290</v>
      </c>
      <c r="C1576" s="11">
        <v>0.0</v>
      </c>
      <c r="D1576" s="11">
        <v>0.0</v>
      </c>
      <c r="E1576" s="11">
        <v>0.0</v>
      </c>
      <c r="F1576" s="11">
        <v>0.0</v>
      </c>
      <c r="G1576" s="11">
        <v>0.0</v>
      </c>
      <c r="H1576" s="11">
        <v>50.0</v>
      </c>
      <c r="I1576" s="11">
        <v>0.0</v>
      </c>
      <c r="J1576" s="11">
        <v>0.0</v>
      </c>
      <c r="K1576" s="11">
        <f t="shared" si="1"/>
        <v>50</v>
      </c>
      <c r="L1576" s="11">
        <f t="shared" si="2"/>
        <v>12.5</v>
      </c>
    </row>
    <row r="1577" ht="15.75" customHeight="1">
      <c r="A1577" s="10" t="s">
        <v>3291</v>
      </c>
      <c r="B1577" s="10" t="s">
        <v>3292</v>
      </c>
      <c r="C1577" s="11">
        <v>0.0</v>
      </c>
      <c r="D1577" s="11">
        <v>0.0</v>
      </c>
      <c r="E1577" s="11">
        <v>0.0</v>
      </c>
      <c r="F1577" s="11">
        <v>0.0</v>
      </c>
      <c r="G1577" s="11">
        <v>0.0</v>
      </c>
      <c r="H1577" s="11">
        <v>50.0</v>
      </c>
      <c r="I1577" s="11">
        <v>0.0</v>
      </c>
      <c r="J1577" s="11">
        <v>200.0</v>
      </c>
      <c r="K1577" s="11">
        <f t="shared" si="1"/>
        <v>250</v>
      </c>
      <c r="L1577" s="11">
        <f t="shared" si="2"/>
        <v>62.5</v>
      </c>
    </row>
    <row r="1578" ht="15.75" customHeight="1">
      <c r="A1578" s="10" t="s">
        <v>3293</v>
      </c>
      <c r="B1578" s="10" t="s">
        <v>3294</v>
      </c>
      <c r="C1578" s="11">
        <v>0.0</v>
      </c>
      <c r="D1578" s="11">
        <v>0.0</v>
      </c>
      <c r="E1578" s="11">
        <v>0.0</v>
      </c>
      <c r="F1578" s="11">
        <v>0.0</v>
      </c>
      <c r="G1578" s="11">
        <v>0.0</v>
      </c>
      <c r="H1578" s="11">
        <v>100.0</v>
      </c>
      <c r="I1578" s="11">
        <v>0.0</v>
      </c>
      <c r="J1578" s="11">
        <v>0.0</v>
      </c>
      <c r="K1578" s="11">
        <f t="shared" si="1"/>
        <v>100</v>
      </c>
      <c r="L1578" s="11">
        <f t="shared" si="2"/>
        <v>25</v>
      </c>
    </row>
    <row r="1579" ht="15.75" customHeight="1">
      <c r="A1579" s="10" t="s">
        <v>3295</v>
      </c>
      <c r="B1579" s="10" t="s">
        <v>3296</v>
      </c>
      <c r="C1579" s="11">
        <v>0.0</v>
      </c>
      <c r="D1579" s="11">
        <v>0.0</v>
      </c>
      <c r="E1579" s="11">
        <v>0.0</v>
      </c>
      <c r="F1579" s="11">
        <v>0.0</v>
      </c>
      <c r="G1579" s="11">
        <v>0.0</v>
      </c>
      <c r="H1579" s="11">
        <v>150.0</v>
      </c>
      <c r="I1579" s="11">
        <v>50.0</v>
      </c>
      <c r="J1579" s="11">
        <v>400.0</v>
      </c>
      <c r="K1579" s="11">
        <f t="shared" si="1"/>
        <v>600</v>
      </c>
      <c r="L1579" s="11">
        <f t="shared" si="2"/>
        <v>150</v>
      </c>
    </row>
    <row r="1580" ht="15.75" customHeight="1">
      <c r="A1580" s="10" t="s">
        <v>3297</v>
      </c>
      <c r="B1580" s="10" t="s">
        <v>3298</v>
      </c>
      <c r="C1580" s="11">
        <v>0.0</v>
      </c>
      <c r="D1580" s="11">
        <v>0.0</v>
      </c>
      <c r="E1580" s="11">
        <v>0.0</v>
      </c>
      <c r="F1580" s="11">
        <v>0.0</v>
      </c>
      <c r="G1580" s="11">
        <v>0.0</v>
      </c>
      <c r="H1580" s="11">
        <v>100.0</v>
      </c>
      <c r="I1580" s="11">
        <v>1000.0</v>
      </c>
      <c r="J1580" s="11">
        <v>100.0</v>
      </c>
      <c r="K1580" s="11">
        <f t="shared" si="1"/>
        <v>1200</v>
      </c>
      <c r="L1580" s="11">
        <f t="shared" si="2"/>
        <v>300</v>
      </c>
    </row>
    <row r="1581" ht="15.75" customHeight="1">
      <c r="A1581" s="10" t="s">
        <v>3299</v>
      </c>
      <c r="B1581" s="10" t="s">
        <v>3300</v>
      </c>
      <c r="C1581" s="11">
        <v>0.0</v>
      </c>
      <c r="D1581" s="11">
        <v>0.0</v>
      </c>
      <c r="E1581" s="11">
        <v>0.0</v>
      </c>
      <c r="F1581" s="11">
        <v>0.0</v>
      </c>
      <c r="G1581" s="11">
        <v>0.0</v>
      </c>
      <c r="H1581" s="11">
        <v>0.0</v>
      </c>
      <c r="I1581" s="11">
        <v>0.0</v>
      </c>
      <c r="J1581" s="11">
        <v>0.0</v>
      </c>
      <c r="K1581" s="11">
        <f t="shared" si="1"/>
        <v>0</v>
      </c>
      <c r="L1581" s="11">
        <f t="shared" si="2"/>
        <v>0</v>
      </c>
    </row>
    <row r="1582" ht="15.75" customHeight="1">
      <c r="A1582" s="10" t="s">
        <v>3301</v>
      </c>
      <c r="B1582" s="10" t="s">
        <v>3302</v>
      </c>
      <c r="C1582" s="11">
        <v>0.0</v>
      </c>
      <c r="D1582" s="11">
        <v>0.0</v>
      </c>
      <c r="E1582" s="11">
        <v>0.0</v>
      </c>
      <c r="F1582" s="11">
        <v>0.0</v>
      </c>
      <c r="G1582" s="11">
        <v>0.0</v>
      </c>
      <c r="H1582" s="11">
        <v>0.0</v>
      </c>
      <c r="I1582" s="11">
        <v>0.0</v>
      </c>
      <c r="J1582" s="11">
        <v>0.0</v>
      </c>
      <c r="K1582" s="11">
        <f t="shared" si="1"/>
        <v>0</v>
      </c>
      <c r="L1582" s="11">
        <f t="shared" si="2"/>
        <v>0</v>
      </c>
    </row>
    <row r="1583" ht="15.75" customHeight="1">
      <c r="A1583" s="10" t="s">
        <v>3303</v>
      </c>
      <c r="B1583" s="10" t="s">
        <v>3304</v>
      </c>
      <c r="C1583" s="11">
        <v>0.0</v>
      </c>
      <c r="D1583" s="11">
        <v>0.0</v>
      </c>
      <c r="E1583" s="11">
        <v>0.0</v>
      </c>
      <c r="F1583" s="11">
        <v>0.0</v>
      </c>
      <c r="G1583" s="11">
        <v>0.0</v>
      </c>
      <c r="H1583" s="11">
        <v>100.0</v>
      </c>
      <c r="I1583" s="11">
        <v>200.0</v>
      </c>
      <c r="J1583" s="11">
        <v>200.0</v>
      </c>
      <c r="K1583" s="11">
        <f t="shared" si="1"/>
        <v>500</v>
      </c>
      <c r="L1583" s="11">
        <f t="shared" si="2"/>
        <v>125</v>
      </c>
    </row>
    <row r="1584" ht="15.75" customHeight="1">
      <c r="A1584" s="10" t="s">
        <v>3305</v>
      </c>
      <c r="B1584" s="10" t="s">
        <v>3306</v>
      </c>
      <c r="C1584" s="11">
        <v>0.0</v>
      </c>
      <c r="D1584" s="11">
        <v>0.0</v>
      </c>
      <c r="E1584" s="11">
        <v>0.0</v>
      </c>
      <c r="F1584" s="11">
        <v>0.0</v>
      </c>
      <c r="G1584" s="11">
        <v>0.0</v>
      </c>
      <c r="H1584" s="11">
        <v>21.0</v>
      </c>
      <c r="I1584" s="11">
        <v>0.0</v>
      </c>
      <c r="J1584" s="11">
        <v>35.0</v>
      </c>
      <c r="K1584" s="11">
        <f t="shared" si="1"/>
        <v>56</v>
      </c>
      <c r="L1584" s="11">
        <f t="shared" si="2"/>
        <v>14</v>
      </c>
    </row>
    <row r="1585" ht="15.75" customHeight="1">
      <c r="A1585" s="10" t="s">
        <v>3307</v>
      </c>
      <c r="B1585" s="10" t="s">
        <v>3308</v>
      </c>
      <c r="C1585" s="11">
        <v>0.0</v>
      </c>
      <c r="D1585" s="11">
        <v>0.0</v>
      </c>
      <c r="E1585" s="11">
        <v>0.0</v>
      </c>
      <c r="F1585" s="11">
        <v>100.0</v>
      </c>
      <c r="G1585" s="11">
        <v>0.0</v>
      </c>
      <c r="H1585" s="11">
        <v>50.0</v>
      </c>
      <c r="I1585" s="11">
        <v>200.0</v>
      </c>
      <c r="J1585" s="11">
        <v>250.0</v>
      </c>
      <c r="K1585" s="11">
        <f t="shared" si="1"/>
        <v>600</v>
      </c>
      <c r="L1585" s="11">
        <f t="shared" si="2"/>
        <v>125</v>
      </c>
    </row>
    <row r="1586" ht="15.75" customHeight="1">
      <c r="A1586" s="10" t="s">
        <v>3309</v>
      </c>
      <c r="B1586" s="10" t="s">
        <v>3310</v>
      </c>
      <c r="C1586" s="11">
        <v>0.0</v>
      </c>
      <c r="D1586" s="11">
        <v>50.0</v>
      </c>
      <c r="E1586" s="11">
        <v>50.0</v>
      </c>
      <c r="F1586" s="11">
        <v>0.0</v>
      </c>
      <c r="G1586" s="11">
        <v>0.0</v>
      </c>
      <c r="H1586" s="11">
        <v>0.0</v>
      </c>
      <c r="I1586" s="11">
        <v>50.0</v>
      </c>
      <c r="J1586" s="11">
        <v>50.0</v>
      </c>
      <c r="K1586" s="11">
        <f t="shared" si="1"/>
        <v>200</v>
      </c>
      <c r="L1586" s="11">
        <f t="shared" si="2"/>
        <v>25</v>
      </c>
    </row>
    <row r="1587" ht="15.75" customHeight="1">
      <c r="A1587" s="10" t="s">
        <v>3311</v>
      </c>
      <c r="B1587" s="10" t="s">
        <v>3312</v>
      </c>
      <c r="C1587" s="11">
        <v>0.0</v>
      </c>
      <c r="D1587" s="11">
        <v>0.0</v>
      </c>
      <c r="E1587" s="11">
        <v>50.0</v>
      </c>
      <c r="F1587" s="11">
        <v>0.0</v>
      </c>
      <c r="G1587" s="11">
        <v>0.0</v>
      </c>
      <c r="H1587" s="11">
        <v>50.0</v>
      </c>
      <c r="I1587" s="11">
        <v>100.0</v>
      </c>
      <c r="J1587" s="11">
        <v>100.0</v>
      </c>
      <c r="K1587" s="11">
        <f t="shared" si="1"/>
        <v>300</v>
      </c>
      <c r="L1587" s="11">
        <f t="shared" si="2"/>
        <v>62.5</v>
      </c>
    </row>
    <row r="1588" ht="15.75" customHeight="1">
      <c r="A1588" s="10" t="s">
        <v>3313</v>
      </c>
      <c r="B1588" s="10" t="s">
        <v>3314</v>
      </c>
      <c r="C1588" s="11">
        <v>0.0</v>
      </c>
      <c r="D1588" s="11">
        <v>50.0</v>
      </c>
      <c r="E1588" s="11">
        <v>50.0</v>
      </c>
      <c r="F1588" s="11">
        <v>100.0</v>
      </c>
      <c r="G1588" s="11">
        <v>0.0</v>
      </c>
      <c r="H1588" s="11">
        <v>0.0</v>
      </c>
      <c r="I1588" s="11">
        <v>300.0</v>
      </c>
      <c r="J1588" s="11">
        <v>650.0</v>
      </c>
      <c r="K1588" s="11">
        <f t="shared" si="1"/>
        <v>1150</v>
      </c>
      <c r="L1588" s="11">
        <f t="shared" si="2"/>
        <v>237.5</v>
      </c>
    </row>
    <row r="1589" ht="15.75" customHeight="1">
      <c r="A1589" s="10" t="s">
        <v>3315</v>
      </c>
      <c r="B1589" s="10" t="s">
        <v>3316</v>
      </c>
      <c r="C1589" s="11">
        <v>0.0</v>
      </c>
      <c r="D1589" s="11">
        <v>0.0</v>
      </c>
      <c r="E1589" s="11">
        <v>0.0</v>
      </c>
      <c r="F1589" s="11">
        <v>0.0</v>
      </c>
      <c r="G1589" s="11">
        <v>0.0</v>
      </c>
      <c r="H1589" s="11">
        <v>0.0</v>
      </c>
      <c r="I1589" s="11">
        <v>50.0</v>
      </c>
      <c r="J1589" s="11">
        <v>0.0</v>
      </c>
      <c r="K1589" s="11">
        <f t="shared" si="1"/>
        <v>50</v>
      </c>
      <c r="L1589" s="11">
        <f t="shared" si="2"/>
        <v>12.5</v>
      </c>
    </row>
    <row r="1590" ht="15.75" customHeight="1">
      <c r="A1590" s="10" t="s">
        <v>3317</v>
      </c>
      <c r="B1590" s="10" t="s">
        <v>3318</v>
      </c>
      <c r="C1590" s="11">
        <v>0.0</v>
      </c>
      <c r="D1590" s="11">
        <v>0.0</v>
      </c>
      <c r="E1590" s="11">
        <v>0.0</v>
      </c>
      <c r="F1590" s="11">
        <v>0.0</v>
      </c>
      <c r="G1590" s="11">
        <v>0.0</v>
      </c>
      <c r="H1590" s="11">
        <v>0.0</v>
      </c>
      <c r="I1590" s="11">
        <v>50.0</v>
      </c>
      <c r="J1590" s="11">
        <v>0.0</v>
      </c>
      <c r="K1590" s="11">
        <f t="shared" si="1"/>
        <v>50</v>
      </c>
      <c r="L1590" s="11">
        <f t="shared" si="2"/>
        <v>12.5</v>
      </c>
    </row>
    <row r="1591" ht="15.75" customHeight="1">
      <c r="A1591" s="10" t="s">
        <v>3319</v>
      </c>
      <c r="B1591" s="10" t="s">
        <v>3320</v>
      </c>
      <c r="C1591" s="11">
        <v>0.0</v>
      </c>
      <c r="D1591" s="11">
        <v>0.0</v>
      </c>
      <c r="E1591" s="11">
        <v>0.0</v>
      </c>
      <c r="F1591" s="11">
        <v>0.0</v>
      </c>
      <c r="G1591" s="11">
        <v>0.0</v>
      </c>
      <c r="H1591" s="11">
        <v>10.0</v>
      </c>
      <c r="I1591" s="11">
        <v>20.0</v>
      </c>
      <c r="J1591" s="11">
        <v>200.0</v>
      </c>
      <c r="K1591" s="11">
        <f t="shared" si="1"/>
        <v>230</v>
      </c>
      <c r="L1591" s="11">
        <f t="shared" si="2"/>
        <v>57.5</v>
      </c>
    </row>
    <row r="1592" ht="15.75" customHeight="1">
      <c r="A1592" s="10" t="s">
        <v>3321</v>
      </c>
      <c r="B1592" s="10" t="s">
        <v>3322</v>
      </c>
      <c r="C1592" s="11">
        <v>0.0</v>
      </c>
      <c r="D1592" s="11">
        <v>0.0</v>
      </c>
      <c r="E1592" s="11">
        <v>0.0</v>
      </c>
      <c r="F1592" s="11">
        <v>0.0</v>
      </c>
      <c r="G1592" s="11">
        <v>0.0</v>
      </c>
      <c r="H1592" s="11">
        <v>13.0</v>
      </c>
      <c r="I1592" s="11">
        <v>10.0</v>
      </c>
      <c r="J1592" s="11">
        <v>0.0</v>
      </c>
      <c r="K1592" s="11">
        <f t="shared" si="1"/>
        <v>23</v>
      </c>
      <c r="L1592" s="11">
        <f t="shared" si="2"/>
        <v>5.75</v>
      </c>
    </row>
    <row r="1593" ht="15.75" customHeight="1">
      <c r="A1593" s="10" t="s">
        <v>3323</v>
      </c>
      <c r="B1593" s="10" t="s">
        <v>3324</v>
      </c>
      <c r="C1593" s="11">
        <v>0.0</v>
      </c>
      <c r="D1593" s="11">
        <v>0.0</v>
      </c>
      <c r="E1593" s="11">
        <v>0.0</v>
      </c>
      <c r="F1593" s="11">
        <v>0.0</v>
      </c>
      <c r="G1593" s="11">
        <v>0.0</v>
      </c>
      <c r="H1593" s="11">
        <v>50.0</v>
      </c>
      <c r="I1593" s="11">
        <v>0.0</v>
      </c>
      <c r="J1593" s="11">
        <v>0.0</v>
      </c>
      <c r="K1593" s="11">
        <f t="shared" si="1"/>
        <v>50</v>
      </c>
      <c r="L1593" s="11">
        <f t="shared" si="2"/>
        <v>12.5</v>
      </c>
    </row>
    <row r="1594" ht="15.75" customHeight="1">
      <c r="A1594" s="10" t="s">
        <v>3325</v>
      </c>
      <c r="B1594" s="10" t="s">
        <v>3326</v>
      </c>
      <c r="C1594" s="11">
        <v>0.0</v>
      </c>
      <c r="D1594" s="11">
        <v>0.0</v>
      </c>
      <c r="E1594" s="11">
        <v>0.0</v>
      </c>
      <c r="F1594" s="11">
        <v>0.0</v>
      </c>
      <c r="G1594" s="11">
        <v>0.0</v>
      </c>
      <c r="H1594" s="11">
        <v>0.0</v>
      </c>
      <c r="I1594" s="11">
        <v>0.0</v>
      </c>
      <c r="J1594" s="11">
        <v>0.0</v>
      </c>
      <c r="K1594" s="11">
        <f t="shared" si="1"/>
        <v>0</v>
      </c>
      <c r="L1594" s="11">
        <f t="shared" si="2"/>
        <v>0</v>
      </c>
    </row>
    <row r="1595" ht="15.75" customHeight="1">
      <c r="A1595" s="10" t="s">
        <v>3327</v>
      </c>
      <c r="B1595" s="10" t="s">
        <v>3328</v>
      </c>
      <c r="C1595" s="11">
        <v>0.0</v>
      </c>
      <c r="D1595" s="11">
        <v>0.0</v>
      </c>
      <c r="E1595" s="11">
        <v>0.0</v>
      </c>
      <c r="F1595" s="11">
        <v>0.0</v>
      </c>
      <c r="G1595" s="11">
        <v>0.0</v>
      </c>
      <c r="H1595" s="11">
        <v>0.0</v>
      </c>
      <c r="I1595" s="11">
        <v>0.0</v>
      </c>
      <c r="J1595" s="11">
        <v>0.0</v>
      </c>
      <c r="K1595" s="11">
        <f t="shared" si="1"/>
        <v>0</v>
      </c>
      <c r="L1595" s="11">
        <f t="shared" si="2"/>
        <v>0</v>
      </c>
    </row>
    <row r="1596" ht="15.75" customHeight="1">
      <c r="A1596" s="10" t="s">
        <v>3329</v>
      </c>
      <c r="B1596" s="10" t="s">
        <v>3330</v>
      </c>
      <c r="C1596" s="11">
        <v>0.0</v>
      </c>
      <c r="D1596" s="11">
        <v>0.0</v>
      </c>
      <c r="E1596" s="11">
        <v>0.0</v>
      </c>
      <c r="F1596" s="11">
        <v>0.0</v>
      </c>
      <c r="G1596" s="11">
        <v>0.0</v>
      </c>
      <c r="H1596" s="11">
        <v>25.0</v>
      </c>
      <c r="I1596" s="11">
        <v>0.0</v>
      </c>
      <c r="J1596" s="11">
        <v>50.0</v>
      </c>
      <c r="K1596" s="11">
        <f t="shared" si="1"/>
        <v>75</v>
      </c>
      <c r="L1596" s="11">
        <f t="shared" si="2"/>
        <v>18.75</v>
      </c>
    </row>
    <row r="1597" ht="15.75" customHeight="1">
      <c r="A1597" s="10" t="s">
        <v>3331</v>
      </c>
      <c r="B1597" s="10" t="s">
        <v>3332</v>
      </c>
      <c r="C1597" s="11">
        <v>0.0</v>
      </c>
      <c r="D1597" s="11">
        <v>0.0</v>
      </c>
      <c r="E1597" s="11">
        <v>0.0</v>
      </c>
      <c r="F1597" s="11">
        <v>0.0</v>
      </c>
      <c r="G1597" s="11">
        <v>0.0</v>
      </c>
      <c r="H1597" s="11">
        <v>0.0</v>
      </c>
      <c r="I1597" s="11">
        <v>0.0</v>
      </c>
      <c r="J1597" s="11">
        <v>0.0</v>
      </c>
      <c r="K1597" s="11">
        <f t="shared" si="1"/>
        <v>0</v>
      </c>
      <c r="L1597" s="11">
        <f t="shared" si="2"/>
        <v>0</v>
      </c>
    </row>
    <row r="1598" ht="15.75" customHeight="1">
      <c r="A1598" s="10" t="s">
        <v>3333</v>
      </c>
      <c r="B1598" s="10" t="s">
        <v>3334</v>
      </c>
      <c r="C1598" s="11">
        <v>0.0</v>
      </c>
      <c r="D1598" s="11">
        <v>0.0</v>
      </c>
      <c r="E1598" s="11">
        <v>0.0</v>
      </c>
      <c r="F1598" s="11">
        <v>0.0</v>
      </c>
      <c r="G1598" s="11">
        <v>36.4</v>
      </c>
      <c r="H1598" s="11">
        <v>47.4</v>
      </c>
      <c r="I1598" s="11">
        <v>63.2</v>
      </c>
      <c r="J1598" s="11">
        <v>199.0</v>
      </c>
      <c r="K1598" s="11">
        <f t="shared" si="1"/>
        <v>346</v>
      </c>
      <c r="L1598" s="11">
        <f t="shared" si="2"/>
        <v>86.5</v>
      </c>
    </row>
    <row r="1599" ht="15.75" customHeight="1">
      <c r="A1599" s="10" t="s">
        <v>3335</v>
      </c>
      <c r="B1599" s="10" t="s">
        <v>3336</v>
      </c>
      <c r="C1599" s="11">
        <v>0.0</v>
      </c>
      <c r="D1599" s="11">
        <v>0.0</v>
      </c>
      <c r="E1599" s="11">
        <v>0.0</v>
      </c>
      <c r="F1599" s="11">
        <v>0.0</v>
      </c>
      <c r="G1599" s="11">
        <v>23.5</v>
      </c>
      <c r="H1599" s="11">
        <v>41.22</v>
      </c>
      <c r="I1599" s="11">
        <v>54.4</v>
      </c>
      <c r="J1599" s="11">
        <v>167.6</v>
      </c>
      <c r="K1599" s="11">
        <f t="shared" si="1"/>
        <v>286.72</v>
      </c>
      <c r="L1599" s="11">
        <f t="shared" si="2"/>
        <v>71.68</v>
      </c>
    </row>
    <row r="1600" ht="15.75" customHeight="1">
      <c r="A1600" s="10" t="s">
        <v>3337</v>
      </c>
      <c r="B1600" s="10" t="s">
        <v>3338</v>
      </c>
      <c r="C1600" s="11">
        <v>0.0</v>
      </c>
      <c r="D1600" s="11">
        <v>0.0</v>
      </c>
      <c r="E1600" s="11">
        <v>0.0</v>
      </c>
      <c r="F1600" s="11">
        <v>0.0</v>
      </c>
      <c r="G1600" s="11">
        <v>14.4</v>
      </c>
      <c r="H1600" s="11">
        <v>31.1</v>
      </c>
      <c r="I1600" s="11">
        <v>49.6</v>
      </c>
      <c r="J1600" s="11">
        <v>107.4</v>
      </c>
      <c r="K1600" s="11">
        <f t="shared" si="1"/>
        <v>202.5</v>
      </c>
      <c r="L1600" s="11">
        <f t="shared" si="2"/>
        <v>50.625</v>
      </c>
    </row>
    <row r="1601" ht="15.75" customHeight="1">
      <c r="A1601" s="10" t="s">
        <v>3339</v>
      </c>
      <c r="B1601" s="10" t="s">
        <v>3340</v>
      </c>
      <c r="C1601" s="11">
        <v>0.0</v>
      </c>
      <c r="D1601" s="11">
        <v>0.0</v>
      </c>
      <c r="E1601" s="11">
        <v>0.0</v>
      </c>
      <c r="F1601" s="11">
        <v>0.0</v>
      </c>
      <c r="G1601" s="11">
        <v>27.0</v>
      </c>
      <c r="H1601" s="11">
        <v>10.64</v>
      </c>
      <c r="I1601" s="11">
        <v>0.0</v>
      </c>
      <c r="J1601" s="11">
        <v>0.0</v>
      </c>
      <c r="K1601" s="11">
        <f t="shared" si="1"/>
        <v>37.64</v>
      </c>
      <c r="L1601" s="11">
        <f t="shared" si="2"/>
        <v>9.41</v>
      </c>
    </row>
    <row r="1602" ht="15.75" customHeight="1">
      <c r="A1602" s="10" t="s">
        <v>3341</v>
      </c>
      <c r="B1602" s="10" t="s">
        <v>3342</v>
      </c>
      <c r="C1602" s="11">
        <v>0.0</v>
      </c>
      <c r="D1602" s="11">
        <v>0.0</v>
      </c>
      <c r="E1602" s="11">
        <v>0.0</v>
      </c>
      <c r="F1602" s="11">
        <v>0.0</v>
      </c>
      <c r="G1602" s="11">
        <v>21.5</v>
      </c>
      <c r="H1602" s="11">
        <v>10.88</v>
      </c>
      <c r="I1602" s="11">
        <v>0.0</v>
      </c>
      <c r="J1602" s="11">
        <v>0.0</v>
      </c>
      <c r="K1602" s="11">
        <f t="shared" si="1"/>
        <v>32.38</v>
      </c>
      <c r="L1602" s="11">
        <f t="shared" si="2"/>
        <v>8.095</v>
      </c>
    </row>
    <row r="1603" ht="15.75" customHeight="1">
      <c r="A1603" s="10" t="s">
        <v>3343</v>
      </c>
      <c r="B1603" s="10" t="s">
        <v>3344</v>
      </c>
      <c r="C1603" s="11">
        <v>0.0</v>
      </c>
      <c r="D1603" s="11">
        <v>0.0</v>
      </c>
      <c r="E1603" s="11">
        <v>0.0</v>
      </c>
      <c r="F1603" s="11">
        <v>0.0</v>
      </c>
      <c r="G1603" s="11">
        <v>20.0</v>
      </c>
      <c r="H1603" s="11">
        <v>7.29</v>
      </c>
      <c r="I1603" s="11">
        <v>0.0</v>
      </c>
      <c r="J1603" s="11">
        <v>0.0</v>
      </c>
      <c r="K1603" s="11">
        <f t="shared" si="1"/>
        <v>27.29</v>
      </c>
      <c r="L1603" s="11">
        <f t="shared" si="2"/>
        <v>6.8225</v>
      </c>
    </row>
    <row r="1604" ht="15.75" customHeight="1">
      <c r="A1604" s="10" t="s">
        <v>3345</v>
      </c>
      <c r="B1604" s="10" t="s">
        <v>3346</v>
      </c>
      <c r="C1604" s="11">
        <v>0.0</v>
      </c>
      <c r="D1604" s="11">
        <v>0.0</v>
      </c>
      <c r="E1604" s="11">
        <v>0.0</v>
      </c>
      <c r="F1604" s="11">
        <v>0.0</v>
      </c>
      <c r="G1604" s="11">
        <v>19.0</v>
      </c>
      <c r="H1604" s="11">
        <v>7.15</v>
      </c>
      <c r="I1604" s="11">
        <v>0.0</v>
      </c>
      <c r="J1604" s="11">
        <v>0.0</v>
      </c>
      <c r="K1604" s="11">
        <f t="shared" si="1"/>
        <v>26.15</v>
      </c>
      <c r="L1604" s="11">
        <f t="shared" si="2"/>
        <v>6.5375</v>
      </c>
    </row>
    <row r="1605" ht="15.75" customHeight="1">
      <c r="A1605" s="10" t="s">
        <v>3347</v>
      </c>
      <c r="B1605" s="10" t="s">
        <v>3348</v>
      </c>
      <c r="C1605" s="11">
        <v>0.0</v>
      </c>
      <c r="D1605" s="11">
        <v>0.0</v>
      </c>
      <c r="E1605" s="11">
        <v>0.0</v>
      </c>
      <c r="F1605" s="11">
        <v>0.0</v>
      </c>
      <c r="G1605" s="11">
        <v>21.0</v>
      </c>
      <c r="H1605" s="11">
        <v>7.92</v>
      </c>
      <c r="I1605" s="11">
        <v>0.0</v>
      </c>
      <c r="J1605" s="11">
        <v>0.0</v>
      </c>
      <c r="K1605" s="11">
        <f t="shared" si="1"/>
        <v>28.92</v>
      </c>
      <c r="L1605" s="11">
        <f t="shared" si="2"/>
        <v>7.23</v>
      </c>
    </row>
    <row r="1606" ht="15.75" customHeight="1">
      <c r="A1606" s="10" t="s">
        <v>3349</v>
      </c>
      <c r="B1606" s="10" t="s">
        <v>3350</v>
      </c>
      <c r="C1606" s="11">
        <v>0.0</v>
      </c>
      <c r="D1606" s="11">
        <v>0.0</v>
      </c>
      <c r="E1606" s="11">
        <v>0.0</v>
      </c>
      <c r="F1606" s="11">
        <v>0.0</v>
      </c>
      <c r="G1606" s="11">
        <v>0.0</v>
      </c>
      <c r="H1606" s="11">
        <v>0.0</v>
      </c>
      <c r="I1606" s="11">
        <v>0.0</v>
      </c>
      <c r="J1606" s="11">
        <v>0.0</v>
      </c>
      <c r="K1606" s="11">
        <f t="shared" si="1"/>
        <v>0</v>
      </c>
      <c r="L1606" s="11">
        <f t="shared" si="2"/>
        <v>0</v>
      </c>
    </row>
    <row r="1607" ht="15.75" customHeight="1">
      <c r="A1607" s="10" t="s">
        <v>3351</v>
      </c>
      <c r="B1607" s="10" t="s">
        <v>3352</v>
      </c>
      <c r="C1607" s="11">
        <v>0.0</v>
      </c>
      <c r="D1607" s="11">
        <v>0.0</v>
      </c>
      <c r="E1607" s="11">
        <v>0.0</v>
      </c>
      <c r="F1607" s="11">
        <v>0.0</v>
      </c>
      <c r="G1607" s="11">
        <v>0.0</v>
      </c>
      <c r="H1607" s="11">
        <v>50.0</v>
      </c>
      <c r="I1607" s="11">
        <v>0.0</v>
      </c>
      <c r="J1607" s="11">
        <v>0.0</v>
      </c>
      <c r="K1607" s="11">
        <f t="shared" si="1"/>
        <v>50</v>
      </c>
      <c r="L1607" s="11">
        <f t="shared" si="2"/>
        <v>12.5</v>
      </c>
    </row>
    <row r="1608" ht="15.75" customHeight="1">
      <c r="A1608" s="10" t="s">
        <v>3353</v>
      </c>
      <c r="B1608" s="10" t="s">
        <v>3354</v>
      </c>
      <c r="C1608" s="11">
        <v>0.0</v>
      </c>
      <c r="D1608" s="11">
        <v>0.0</v>
      </c>
      <c r="E1608" s="11">
        <v>0.0</v>
      </c>
      <c r="F1608" s="11">
        <v>0.0</v>
      </c>
      <c r="G1608" s="11">
        <v>0.0</v>
      </c>
      <c r="H1608" s="11">
        <v>50.0</v>
      </c>
      <c r="I1608" s="11">
        <v>0.0</v>
      </c>
      <c r="J1608" s="11">
        <v>300.0</v>
      </c>
      <c r="K1608" s="11">
        <f t="shared" si="1"/>
        <v>350</v>
      </c>
      <c r="L1608" s="11">
        <f t="shared" si="2"/>
        <v>87.5</v>
      </c>
    </row>
    <row r="1609" ht="15.75" customHeight="1">
      <c r="A1609" s="10" t="s">
        <v>3355</v>
      </c>
      <c r="B1609" s="10" t="s">
        <v>3356</v>
      </c>
      <c r="C1609" s="11">
        <v>0.0</v>
      </c>
      <c r="D1609" s="11">
        <v>0.0</v>
      </c>
      <c r="E1609" s="11">
        <v>0.0</v>
      </c>
      <c r="F1609" s="11">
        <v>0.0</v>
      </c>
      <c r="G1609" s="11">
        <v>0.0</v>
      </c>
      <c r="H1609" s="11">
        <v>50.0</v>
      </c>
      <c r="I1609" s="11">
        <v>0.0</v>
      </c>
      <c r="J1609" s="11">
        <v>100.0</v>
      </c>
      <c r="K1609" s="11">
        <f t="shared" si="1"/>
        <v>150</v>
      </c>
      <c r="L1609" s="11">
        <f t="shared" si="2"/>
        <v>37.5</v>
      </c>
    </row>
    <row r="1610" ht="15.75" customHeight="1">
      <c r="A1610" s="10" t="s">
        <v>3357</v>
      </c>
      <c r="B1610" s="10" t="s">
        <v>3358</v>
      </c>
      <c r="C1610" s="11">
        <v>0.0</v>
      </c>
      <c r="D1610" s="11">
        <v>0.0</v>
      </c>
      <c r="E1610" s="11">
        <v>0.0</v>
      </c>
      <c r="F1610" s="11">
        <v>0.0</v>
      </c>
      <c r="G1610" s="11">
        <v>0.0</v>
      </c>
      <c r="H1610" s="11">
        <v>50.0</v>
      </c>
      <c r="I1610" s="11">
        <v>0.0</v>
      </c>
      <c r="J1610" s="11">
        <v>0.0</v>
      </c>
      <c r="K1610" s="11">
        <f t="shared" si="1"/>
        <v>50</v>
      </c>
      <c r="L1610" s="11">
        <f t="shared" si="2"/>
        <v>12.5</v>
      </c>
    </row>
    <row r="1611" ht="15.75" customHeight="1">
      <c r="A1611" s="10" t="s">
        <v>3359</v>
      </c>
      <c r="B1611" s="10" t="s">
        <v>3360</v>
      </c>
      <c r="C1611" s="11">
        <v>0.0</v>
      </c>
      <c r="D1611" s="11">
        <v>0.0</v>
      </c>
      <c r="E1611" s="11">
        <v>0.0</v>
      </c>
      <c r="F1611" s="11">
        <v>0.0</v>
      </c>
      <c r="G1611" s="11">
        <v>0.0</v>
      </c>
      <c r="H1611" s="11">
        <v>0.0</v>
      </c>
      <c r="I1611" s="11">
        <v>0.0</v>
      </c>
      <c r="J1611" s="11">
        <v>0.0</v>
      </c>
      <c r="K1611" s="11">
        <f t="shared" si="1"/>
        <v>0</v>
      </c>
      <c r="L1611" s="11">
        <f t="shared" si="2"/>
        <v>0</v>
      </c>
    </row>
    <row r="1612" ht="15.75" customHeight="1">
      <c r="A1612" s="10" t="s">
        <v>3362</v>
      </c>
      <c r="B1612" s="10" t="s">
        <v>3363</v>
      </c>
      <c r="C1612" s="11">
        <v>0.0</v>
      </c>
      <c r="D1612" s="11">
        <v>0.0</v>
      </c>
      <c r="E1612" s="11">
        <v>0.0</v>
      </c>
      <c r="F1612" s="11">
        <v>0.0</v>
      </c>
      <c r="G1612" s="11">
        <v>0.0</v>
      </c>
      <c r="H1612" s="11">
        <v>0.0</v>
      </c>
      <c r="I1612" s="11">
        <v>139.6</v>
      </c>
      <c r="J1612" s="11">
        <v>174.9</v>
      </c>
      <c r="K1612" s="11">
        <f t="shared" si="1"/>
        <v>314.5</v>
      </c>
      <c r="L1612" s="11">
        <f t="shared" si="2"/>
        <v>78.625</v>
      </c>
    </row>
    <row r="1613" ht="15.75" customHeight="1">
      <c r="A1613" s="10" t="s">
        <v>3364</v>
      </c>
      <c r="B1613" s="10" t="s">
        <v>3365</v>
      </c>
      <c r="C1613" s="11">
        <v>0.0</v>
      </c>
      <c r="D1613" s="11">
        <v>0.0</v>
      </c>
      <c r="E1613" s="11">
        <v>0.0</v>
      </c>
      <c r="F1613" s="11">
        <v>0.0</v>
      </c>
      <c r="G1613" s="11">
        <v>68.5</v>
      </c>
      <c r="H1613" s="11">
        <v>45.6</v>
      </c>
      <c r="I1613" s="11">
        <v>31.8</v>
      </c>
      <c r="J1613" s="11">
        <v>0.0</v>
      </c>
      <c r="K1613" s="11">
        <f t="shared" si="1"/>
        <v>145.9</v>
      </c>
      <c r="L1613" s="11">
        <f t="shared" si="2"/>
        <v>36.475</v>
      </c>
    </row>
    <row r="1614" ht="15.75" customHeight="1">
      <c r="A1614" s="10" t="s">
        <v>3366</v>
      </c>
      <c r="B1614" s="10" t="s">
        <v>3367</v>
      </c>
      <c r="C1614" s="11">
        <v>0.0</v>
      </c>
      <c r="D1614" s="11">
        <v>0.0</v>
      </c>
      <c r="E1614" s="11">
        <v>0.0</v>
      </c>
      <c r="F1614" s="11">
        <v>0.0</v>
      </c>
      <c r="G1614" s="11">
        <v>0.0</v>
      </c>
      <c r="H1614" s="11">
        <v>0.0</v>
      </c>
      <c r="I1614" s="11">
        <v>43.0</v>
      </c>
      <c r="J1614" s="11">
        <v>101.9</v>
      </c>
      <c r="K1614" s="11">
        <f t="shared" si="1"/>
        <v>144.9</v>
      </c>
      <c r="L1614" s="11">
        <f t="shared" si="2"/>
        <v>36.225</v>
      </c>
    </row>
    <row r="1615" ht="15.75" customHeight="1">
      <c r="A1615" s="10" t="s">
        <v>3368</v>
      </c>
      <c r="B1615" s="10" t="s">
        <v>3369</v>
      </c>
      <c r="C1615" s="11">
        <v>0.0</v>
      </c>
      <c r="D1615" s="11">
        <v>0.0</v>
      </c>
      <c r="E1615" s="11">
        <v>50.0</v>
      </c>
      <c r="F1615" s="11">
        <v>0.0</v>
      </c>
      <c r="G1615" s="11">
        <v>0.0</v>
      </c>
      <c r="H1615" s="11">
        <v>0.0</v>
      </c>
      <c r="I1615" s="11">
        <v>0.0</v>
      </c>
      <c r="J1615" s="11">
        <v>0.0</v>
      </c>
      <c r="K1615" s="11">
        <f t="shared" si="1"/>
        <v>50</v>
      </c>
      <c r="L1615" s="11">
        <f t="shared" si="2"/>
        <v>0</v>
      </c>
    </row>
    <row r="1616" ht="15.75" customHeight="1">
      <c r="A1616" s="10" t="s">
        <v>3370</v>
      </c>
      <c r="B1616" s="10" t="s">
        <v>3371</v>
      </c>
      <c r="C1616" s="11">
        <v>0.0</v>
      </c>
      <c r="D1616" s="11">
        <v>0.0</v>
      </c>
      <c r="E1616" s="11">
        <v>45.7</v>
      </c>
      <c r="F1616" s="11">
        <v>0.0</v>
      </c>
      <c r="G1616" s="11">
        <v>0.0</v>
      </c>
      <c r="H1616" s="11">
        <v>45.7</v>
      </c>
      <c r="I1616" s="11">
        <v>0.0</v>
      </c>
      <c r="J1616" s="11">
        <v>0.0</v>
      </c>
      <c r="K1616" s="11">
        <f t="shared" si="1"/>
        <v>91.4</v>
      </c>
      <c r="L1616" s="11">
        <f t="shared" si="2"/>
        <v>11.425</v>
      </c>
    </row>
    <row r="1617" ht="15.75" customHeight="1">
      <c r="A1617" s="10" t="s">
        <v>3372</v>
      </c>
      <c r="B1617" s="10" t="s">
        <v>3373</v>
      </c>
      <c r="C1617" s="11">
        <v>0.0</v>
      </c>
      <c r="D1617" s="11">
        <v>0.0</v>
      </c>
      <c r="E1617" s="11">
        <v>0.0</v>
      </c>
      <c r="F1617" s="11">
        <v>0.0</v>
      </c>
      <c r="G1617" s="11">
        <v>0.0</v>
      </c>
      <c r="H1617" s="11">
        <v>45.7</v>
      </c>
      <c r="I1617" s="11">
        <v>50.0</v>
      </c>
      <c r="J1617" s="11">
        <v>0.0</v>
      </c>
      <c r="K1617" s="11">
        <f t="shared" si="1"/>
        <v>95.7</v>
      </c>
      <c r="L1617" s="11">
        <f t="shared" si="2"/>
        <v>23.925</v>
      </c>
    </row>
    <row r="1618" ht="15.75" customHeight="1">
      <c r="A1618" s="10" t="s">
        <v>3374</v>
      </c>
      <c r="B1618" s="10" t="s">
        <v>3375</v>
      </c>
      <c r="C1618" s="11">
        <v>0.0</v>
      </c>
      <c r="D1618" s="11">
        <v>0.0</v>
      </c>
      <c r="E1618" s="11">
        <v>0.0</v>
      </c>
      <c r="F1618" s="11">
        <v>0.0</v>
      </c>
      <c r="G1618" s="11">
        <v>0.0</v>
      </c>
      <c r="H1618" s="11">
        <v>25.0</v>
      </c>
      <c r="I1618" s="11">
        <v>115.0</v>
      </c>
      <c r="J1618" s="11">
        <v>50.0</v>
      </c>
      <c r="K1618" s="11">
        <f t="shared" si="1"/>
        <v>190</v>
      </c>
      <c r="L1618" s="11">
        <f t="shared" si="2"/>
        <v>47.5</v>
      </c>
    </row>
    <row r="1619" ht="15.75" customHeight="1">
      <c r="A1619" s="10" t="s">
        <v>3376</v>
      </c>
      <c r="B1619" s="10" t="s">
        <v>3377</v>
      </c>
      <c r="C1619" s="11">
        <v>0.0</v>
      </c>
      <c r="D1619" s="11">
        <v>0.0</v>
      </c>
      <c r="E1619" s="11">
        <v>0.0</v>
      </c>
      <c r="F1619" s="11">
        <v>0.0</v>
      </c>
      <c r="G1619" s="11">
        <v>0.0</v>
      </c>
      <c r="H1619" s="11">
        <v>25.0</v>
      </c>
      <c r="I1619" s="11">
        <v>235.0</v>
      </c>
      <c r="J1619" s="11">
        <v>360.0</v>
      </c>
      <c r="K1619" s="11">
        <f t="shared" si="1"/>
        <v>620</v>
      </c>
      <c r="L1619" s="11">
        <f t="shared" si="2"/>
        <v>155</v>
      </c>
    </row>
    <row r="1620" ht="15.75" customHeight="1">
      <c r="A1620" s="10" t="s">
        <v>3378</v>
      </c>
      <c r="B1620" s="10" t="s">
        <v>3379</v>
      </c>
      <c r="C1620" s="11">
        <v>0.0</v>
      </c>
      <c r="D1620" s="11">
        <v>0.0</v>
      </c>
      <c r="E1620" s="11">
        <v>0.0</v>
      </c>
      <c r="F1620" s="11">
        <v>0.0</v>
      </c>
      <c r="G1620" s="11">
        <v>0.0</v>
      </c>
      <c r="H1620" s="11">
        <v>0.0</v>
      </c>
      <c r="I1620" s="11">
        <v>0.0</v>
      </c>
      <c r="J1620" s="11">
        <v>60.0</v>
      </c>
      <c r="K1620" s="11">
        <f t="shared" si="1"/>
        <v>60</v>
      </c>
      <c r="L1620" s="11">
        <f t="shared" si="2"/>
        <v>15</v>
      </c>
    </row>
    <row r="1621" ht="15.75" customHeight="1">
      <c r="A1621" s="10" t="s">
        <v>3380</v>
      </c>
      <c r="B1621" s="10" t="s">
        <v>3381</v>
      </c>
      <c r="C1621" s="11">
        <v>0.0</v>
      </c>
      <c r="D1621" s="11">
        <v>0.0</v>
      </c>
      <c r="E1621" s="11">
        <v>0.0</v>
      </c>
      <c r="F1621" s="11">
        <v>0.0</v>
      </c>
      <c r="G1621" s="11">
        <v>54.6</v>
      </c>
      <c r="H1621" s="11">
        <v>0.0</v>
      </c>
      <c r="I1621" s="11">
        <v>91.39</v>
      </c>
      <c r="J1621" s="11">
        <v>266.0</v>
      </c>
      <c r="K1621" s="11">
        <f t="shared" si="1"/>
        <v>411.99</v>
      </c>
      <c r="L1621" s="11">
        <f t="shared" si="2"/>
        <v>102.9975</v>
      </c>
    </row>
    <row r="1622" ht="15.75" customHeight="1">
      <c r="A1622" s="10" t="s">
        <v>3382</v>
      </c>
      <c r="B1622" s="10" t="s">
        <v>3383</v>
      </c>
      <c r="C1622" s="11">
        <v>0.0</v>
      </c>
      <c r="D1622" s="11">
        <v>0.0</v>
      </c>
      <c r="E1622" s="11">
        <v>0.0</v>
      </c>
      <c r="F1622" s="11">
        <v>0.0</v>
      </c>
      <c r="G1622" s="11">
        <v>0.0</v>
      </c>
      <c r="H1622" s="11">
        <v>0.0</v>
      </c>
      <c r="I1622" s="11">
        <v>0.0</v>
      </c>
      <c r="J1622" s="11">
        <v>0.0</v>
      </c>
      <c r="K1622" s="11">
        <f t="shared" si="1"/>
        <v>0</v>
      </c>
      <c r="L1622" s="11">
        <f t="shared" si="2"/>
        <v>0</v>
      </c>
    </row>
    <row r="1623" ht="15.75" customHeight="1">
      <c r="A1623" s="10" t="s">
        <v>3384</v>
      </c>
      <c r="B1623" s="10" t="s">
        <v>3385</v>
      </c>
      <c r="C1623" s="11">
        <v>0.0</v>
      </c>
      <c r="D1623" s="11">
        <v>0.0</v>
      </c>
      <c r="E1623" s="11">
        <v>0.0</v>
      </c>
      <c r="F1623" s="11">
        <v>0.0</v>
      </c>
      <c r="G1623" s="11">
        <v>114.0</v>
      </c>
      <c r="H1623" s="11">
        <v>0.0</v>
      </c>
      <c r="I1623" s="11">
        <v>0.0</v>
      </c>
      <c r="J1623" s="11">
        <v>0.0</v>
      </c>
      <c r="K1623" s="11">
        <f t="shared" si="1"/>
        <v>114</v>
      </c>
      <c r="L1623" s="11">
        <f t="shared" si="2"/>
        <v>28.5</v>
      </c>
    </row>
    <row r="1624" ht="15.75" customHeight="1">
      <c r="A1624" s="10" t="s">
        <v>3386</v>
      </c>
      <c r="B1624" s="10" t="s">
        <v>3387</v>
      </c>
      <c r="C1624" s="11">
        <v>0.0</v>
      </c>
      <c r="D1624" s="11">
        <v>0.0</v>
      </c>
      <c r="E1624" s="11">
        <v>0.0</v>
      </c>
      <c r="F1624" s="11">
        <v>0.0</v>
      </c>
      <c r="G1624" s="11">
        <v>111.0</v>
      </c>
      <c r="H1624" s="11">
        <v>24.0</v>
      </c>
      <c r="I1624" s="11">
        <v>63.0</v>
      </c>
      <c r="J1624" s="11">
        <v>21.0</v>
      </c>
      <c r="K1624" s="11">
        <f t="shared" si="1"/>
        <v>219</v>
      </c>
      <c r="L1624" s="11">
        <f t="shared" si="2"/>
        <v>54.75</v>
      </c>
    </row>
    <row r="1625" ht="15.75" customHeight="1">
      <c r="A1625" s="10" t="s">
        <v>3388</v>
      </c>
      <c r="B1625" s="10" t="s">
        <v>3389</v>
      </c>
      <c r="C1625" s="11">
        <v>0.0</v>
      </c>
      <c r="D1625" s="11">
        <v>0.0</v>
      </c>
      <c r="E1625" s="11">
        <v>0.0</v>
      </c>
      <c r="F1625" s="11">
        <v>0.0</v>
      </c>
      <c r="G1625" s="11">
        <v>121.6</v>
      </c>
      <c r="H1625" s="11">
        <v>96.8</v>
      </c>
      <c r="I1625" s="11">
        <v>0.0</v>
      </c>
      <c r="J1625" s="11">
        <v>47.3</v>
      </c>
      <c r="K1625" s="11">
        <f t="shared" si="1"/>
        <v>265.7</v>
      </c>
      <c r="L1625" s="11">
        <f t="shared" si="2"/>
        <v>66.425</v>
      </c>
    </row>
    <row r="1626" ht="15.75" customHeight="1">
      <c r="A1626" s="10" t="s">
        <v>3390</v>
      </c>
      <c r="B1626" s="10" t="s">
        <v>3391</v>
      </c>
      <c r="C1626" s="11">
        <v>0.0</v>
      </c>
      <c r="D1626" s="11">
        <v>0.0</v>
      </c>
      <c r="E1626" s="11">
        <v>0.0</v>
      </c>
      <c r="F1626" s="11">
        <v>0.0</v>
      </c>
      <c r="G1626" s="11">
        <v>0.0</v>
      </c>
      <c r="H1626" s="11">
        <v>0.0</v>
      </c>
      <c r="I1626" s="11">
        <v>0.0</v>
      </c>
      <c r="J1626" s="11">
        <v>0.0</v>
      </c>
      <c r="K1626" s="11">
        <f t="shared" si="1"/>
        <v>0</v>
      </c>
      <c r="L1626" s="11">
        <f t="shared" si="2"/>
        <v>0</v>
      </c>
    </row>
    <row r="1627" ht="15.75" customHeight="1">
      <c r="A1627" s="10" t="s">
        <v>3392</v>
      </c>
      <c r="B1627" s="10" t="s">
        <v>3393</v>
      </c>
      <c r="C1627" s="11">
        <v>0.0</v>
      </c>
      <c r="D1627" s="11">
        <v>0.0</v>
      </c>
      <c r="E1627" s="11">
        <v>0.0</v>
      </c>
      <c r="F1627" s="11">
        <v>0.0</v>
      </c>
      <c r="G1627" s="11">
        <v>0.0</v>
      </c>
      <c r="H1627" s="11">
        <v>0.0</v>
      </c>
      <c r="I1627" s="11">
        <v>0.0</v>
      </c>
      <c r="J1627" s="11">
        <v>81.0</v>
      </c>
      <c r="K1627" s="11">
        <f t="shared" si="1"/>
        <v>81</v>
      </c>
      <c r="L1627" s="11">
        <f t="shared" si="2"/>
        <v>20.25</v>
      </c>
    </row>
    <row r="1628" ht="15.75" customHeight="1">
      <c r="A1628" s="10" t="s">
        <v>3394</v>
      </c>
      <c r="B1628" s="10" t="s">
        <v>3395</v>
      </c>
      <c r="C1628" s="11">
        <v>0.0</v>
      </c>
      <c r="D1628" s="11">
        <v>44.0</v>
      </c>
      <c r="E1628" s="11">
        <v>0.0</v>
      </c>
      <c r="F1628" s="11">
        <v>0.0</v>
      </c>
      <c r="G1628" s="11">
        <v>0.0</v>
      </c>
      <c r="H1628" s="11">
        <v>88.0</v>
      </c>
      <c r="I1628" s="11">
        <v>40.0</v>
      </c>
      <c r="J1628" s="11">
        <v>134.8</v>
      </c>
      <c r="K1628" s="11">
        <f t="shared" si="1"/>
        <v>306.8</v>
      </c>
      <c r="L1628" s="11">
        <f t="shared" si="2"/>
        <v>65.7</v>
      </c>
    </row>
    <row r="1629" ht="15.75" customHeight="1">
      <c r="A1629" s="10" t="s">
        <v>3396</v>
      </c>
      <c r="B1629" s="10" t="s">
        <v>3397</v>
      </c>
      <c r="C1629" s="11">
        <v>0.0</v>
      </c>
      <c r="D1629" s="11">
        <v>0.0</v>
      </c>
      <c r="E1629" s="11">
        <v>0.0</v>
      </c>
      <c r="F1629" s="11">
        <v>0.0</v>
      </c>
      <c r="G1629" s="11">
        <v>0.0</v>
      </c>
      <c r="H1629" s="11">
        <v>0.0</v>
      </c>
      <c r="I1629" s="11">
        <v>42.0</v>
      </c>
      <c r="J1629" s="11">
        <v>111.0</v>
      </c>
      <c r="K1629" s="11">
        <f t="shared" si="1"/>
        <v>153</v>
      </c>
      <c r="L1629" s="11">
        <f t="shared" si="2"/>
        <v>38.25</v>
      </c>
    </row>
    <row r="1630" ht="15.75" customHeight="1">
      <c r="A1630" s="10" t="s">
        <v>3398</v>
      </c>
      <c r="B1630" s="10" t="s">
        <v>3399</v>
      </c>
      <c r="C1630" s="11">
        <v>0.0</v>
      </c>
      <c r="D1630" s="11">
        <v>0.0</v>
      </c>
      <c r="E1630" s="11">
        <v>0.0</v>
      </c>
      <c r="F1630" s="11">
        <v>0.0</v>
      </c>
      <c r="G1630" s="11">
        <v>0.0</v>
      </c>
      <c r="H1630" s="11">
        <v>44.0</v>
      </c>
      <c r="I1630" s="11">
        <v>30.0</v>
      </c>
      <c r="J1630" s="11">
        <v>43.0</v>
      </c>
      <c r="K1630" s="11">
        <f t="shared" si="1"/>
        <v>117</v>
      </c>
      <c r="L1630" s="11">
        <f t="shared" si="2"/>
        <v>29.25</v>
      </c>
    </row>
    <row r="1631" ht="15.75" customHeight="1">
      <c r="A1631" s="10" t="s">
        <v>3400</v>
      </c>
      <c r="B1631" s="10" t="s">
        <v>3401</v>
      </c>
      <c r="C1631" s="11">
        <v>0.0</v>
      </c>
      <c r="D1631" s="11">
        <v>0.0</v>
      </c>
      <c r="E1631" s="11">
        <v>0.0</v>
      </c>
      <c r="F1631" s="11">
        <v>0.0</v>
      </c>
      <c r="G1631" s="11">
        <v>0.0</v>
      </c>
      <c r="H1631" s="11">
        <v>0.0</v>
      </c>
      <c r="I1631" s="11">
        <v>0.0</v>
      </c>
      <c r="J1631" s="11">
        <v>0.0</v>
      </c>
      <c r="K1631" s="11">
        <f t="shared" si="1"/>
        <v>0</v>
      </c>
      <c r="L1631" s="11">
        <f t="shared" si="2"/>
        <v>0</v>
      </c>
    </row>
    <row r="1632" ht="15.75" customHeight="1">
      <c r="A1632" s="10" t="s">
        <v>3402</v>
      </c>
      <c r="B1632" s="10" t="s">
        <v>3403</v>
      </c>
      <c r="C1632" s="11">
        <v>0.0</v>
      </c>
      <c r="D1632" s="11">
        <v>0.0</v>
      </c>
      <c r="E1632" s="11">
        <v>0.0</v>
      </c>
      <c r="F1632" s="11">
        <v>0.0</v>
      </c>
      <c r="G1632" s="11">
        <v>0.0</v>
      </c>
      <c r="H1632" s="11">
        <v>36.0</v>
      </c>
      <c r="I1632" s="11">
        <v>60.7</v>
      </c>
      <c r="J1632" s="11">
        <v>37.0</v>
      </c>
      <c r="K1632" s="11">
        <f t="shared" si="1"/>
        <v>133.7</v>
      </c>
      <c r="L1632" s="11">
        <f t="shared" si="2"/>
        <v>33.425</v>
      </c>
    </row>
    <row r="1633" ht="15.75" customHeight="1">
      <c r="A1633" s="10" t="s">
        <v>3404</v>
      </c>
      <c r="B1633" s="10" t="s">
        <v>3405</v>
      </c>
      <c r="C1633" s="11">
        <v>0.0</v>
      </c>
      <c r="D1633" s="11">
        <v>0.0</v>
      </c>
      <c r="E1633" s="11">
        <v>0.0</v>
      </c>
      <c r="F1633" s="11">
        <v>0.0</v>
      </c>
      <c r="G1633" s="11">
        <v>41.4</v>
      </c>
      <c r="H1633" s="11">
        <v>0.0</v>
      </c>
      <c r="I1633" s="11">
        <v>0.0</v>
      </c>
      <c r="J1633" s="11">
        <v>45.0</v>
      </c>
      <c r="K1633" s="11">
        <f t="shared" si="1"/>
        <v>86.4</v>
      </c>
      <c r="L1633" s="11">
        <f t="shared" si="2"/>
        <v>21.6</v>
      </c>
    </row>
    <row r="1634" ht="15.75" customHeight="1">
      <c r="A1634" s="10" t="s">
        <v>3406</v>
      </c>
      <c r="B1634" s="10" t="s">
        <v>3407</v>
      </c>
      <c r="C1634" s="11">
        <v>0.0</v>
      </c>
      <c r="D1634" s="11">
        <v>0.0</v>
      </c>
      <c r="E1634" s="11">
        <v>0.0</v>
      </c>
      <c r="F1634" s="11">
        <v>0.0</v>
      </c>
      <c r="G1634" s="11">
        <v>0.0</v>
      </c>
      <c r="H1634" s="11">
        <v>0.0</v>
      </c>
      <c r="I1634" s="11">
        <v>0.0</v>
      </c>
      <c r="J1634" s="11">
        <v>0.0</v>
      </c>
      <c r="K1634" s="11">
        <f t="shared" si="1"/>
        <v>0</v>
      </c>
      <c r="L1634" s="11">
        <f t="shared" si="2"/>
        <v>0</v>
      </c>
    </row>
    <row r="1635" ht="15.75" customHeight="1">
      <c r="A1635" s="10" t="s">
        <v>3408</v>
      </c>
      <c r="B1635" s="10" t="s">
        <v>3409</v>
      </c>
      <c r="C1635" s="11">
        <v>0.0</v>
      </c>
      <c r="D1635" s="11">
        <v>0.0</v>
      </c>
      <c r="E1635" s="11">
        <v>0.0</v>
      </c>
      <c r="F1635" s="11">
        <v>0.0</v>
      </c>
      <c r="G1635" s="11">
        <v>0.0</v>
      </c>
      <c r="H1635" s="11">
        <v>0.0</v>
      </c>
      <c r="I1635" s="11">
        <v>0.0</v>
      </c>
      <c r="J1635" s="11">
        <v>0.0</v>
      </c>
      <c r="K1635" s="11">
        <f t="shared" si="1"/>
        <v>0</v>
      </c>
      <c r="L1635" s="11">
        <f t="shared" si="2"/>
        <v>0</v>
      </c>
    </row>
    <row r="1636" ht="15.75" customHeight="1">
      <c r="A1636" s="10" t="s">
        <v>3410</v>
      </c>
      <c r="B1636" s="10" t="s">
        <v>3411</v>
      </c>
      <c r="C1636" s="11">
        <v>0.0</v>
      </c>
      <c r="D1636" s="11">
        <v>0.0</v>
      </c>
      <c r="E1636" s="11">
        <v>0.0</v>
      </c>
      <c r="F1636" s="11">
        <v>0.0</v>
      </c>
      <c r="G1636" s="11">
        <v>0.0</v>
      </c>
      <c r="H1636" s="11">
        <v>98.3</v>
      </c>
      <c r="I1636" s="11">
        <v>175.0</v>
      </c>
      <c r="J1636" s="11">
        <v>42.0</v>
      </c>
      <c r="K1636" s="11">
        <f t="shared" si="1"/>
        <v>315.3</v>
      </c>
      <c r="L1636" s="11">
        <f t="shared" si="2"/>
        <v>78.825</v>
      </c>
    </row>
    <row r="1637" ht="15.75" customHeight="1">
      <c r="A1637" s="10" t="s">
        <v>3412</v>
      </c>
      <c r="B1637" s="10" t="s">
        <v>3413</v>
      </c>
      <c r="C1637" s="11">
        <v>0.0</v>
      </c>
      <c r="D1637" s="11">
        <v>25.0</v>
      </c>
      <c r="E1637" s="11">
        <v>0.0</v>
      </c>
      <c r="F1637" s="11">
        <v>0.0</v>
      </c>
      <c r="G1637" s="11">
        <v>0.0</v>
      </c>
      <c r="H1637" s="11">
        <v>0.0</v>
      </c>
      <c r="I1637" s="11">
        <v>0.0</v>
      </c>
      <c r="J1637" s="11">
        <v>14.0</v>
      </c>
      <c r="K1637" s="11">
        <f t="shared" si="1"/>
        <v>39</v>
      </c>
      <c r="L1637" s="11">
        <f t="shared" si="2"/>
        <v>3.5</v>
      </c>
    </row>
    <row r="1638" ht="15.75" customHeight="1">
      <c r="A1638" s="10" t="s">
        <v>3414</v>
      </c>
      <c r="B1638" s="10" t="s">
        <v>3415</v>
      </c>
      <c r="C1638" s="11">
        <v>0.0</v>
      </c>
      <c r="D1638" s="11">
        <v>0.0</v>
      </c>
      <c r="E1638" s="11">
        <v>0.0</v>
      </c>
      <c r="F1638" s="11">
        <v>0.0</v>
      </c>
      <c r="G1638" s="11">
        <v>0.0</v>
      </c>
      <c r="H1638" s="11">
        <v>0.0</v>
      </c>
      <c r="I1638" s="11">
        <v>0.0</v>
      </c>
      <c r="J1638" s="11">
        <v>0.0</v>
      </c>
      <c r="K1638" s="11">
        <f t="shared" si="1"/>
        <v>0</v>
      </c>
      <c r="L1638" s="11">
        <f t="shared" si="2"/>
        <v>0</v>
      </c>
    </row>
    <row r="1639" ht="15.75" customHeight="1">
      <c r="A1639" s="10" t="s">
        <v>3416</v>
      </c>
      <c r="B1639" s="10" t="s">
        <v>3417</v>
      </c>
      <c r="C1639" s="11">
        <v>0.0</v>
      </c>
      <c r="D1639" s="11">
        <v>0.0</v>
      </c>
      <c r="E1639" s="11">
        <v>0.0</v>
      </c>
      <c r="F1639" s="11">
        <v>0.0</v>
      </c>
      <c r="G1639" s="11">
        <v>41.0</v>
      </c>
      <c r="H1639" s="11">
        <v>58.8</v>
      </c>
      <c r="I1639" s="11">
        <v>0.0</v>
      </c>
      <c r="J1639" s="11">
        <v>259.0</v>
      </c>
      <c r="K1639" s="11">
        <f t="shared" si="1"/>
        <v>358.8</v>
      </c>
      <c r="L1639" s="11">
        <f t="shared" si="2"/>
        <v>89.7</v>
      </c>
    </row>
    <row r="1640" ht="15.75" customHeight="1">
      <c r="A1640" s="10" t="s">
        <v>3418</v>
      </c>
      <c r="B1640" s="10" t="s">
        <v>3419</v>
      </c>
      <c r="C1640" s="11">
        <v>0.0</v>
      </c>
      <c r="D1640" s="11">
        <v>0.0</v>
      </c>
      <c r="E1640" s="11">
        <v>0.0</v>
      </c>
      <c r="F1640" s="11">
        <v>0.0</v>
      </c>
      <c r="G1640" s="11">
        <v>0.0</v>
      </c>
      <c r="H1640" s="11">
        <v>14.9</v>
      </c>
      <c r="I1640" s="11">
        <v>0.0</v>
      </c>
      <c r="J1640" s="11">
        <v>0.0</v>
      </c>
      <c r="K1640" s="11">
        <f t="shared" si="1"/>
        <v>14.9</v>
      </c>
      <c r="L1640" s="11">
        <f t="shared" si="2"/>
        <v>3.725</v>
      </c>
    </row>
    <row r="1641" ht="15.75" customHeight="1">
      <c r="A1641" s="10" t="s">
        <v>3420</v>
      </c>
      <c r="B1641" s="10" t="s">
        <v>3421</v>
      </c>
      <c r="C1641" s="11">
        <v>75.0</v>
      </c>
      <c r="D1641" s="11">
        <v>0.0</v>
      </c>
      <c r="E1641" s="11">
        <v>0.0</v>
      </c>
      <c r="F1641" s="11">
        <v>0.0</v>
      </c>
      <c r="G1641" s="11">
        <v>31.2</v>
      </c>
      <c r="H1641" s="11">
        <v>44.0</v>
      </c>
      <c r="I1641" s="11">
        <v>263.5</v>
      </c>
      <c r="J1641" s="11">
        <v>269.1</v>
      </c>
      <c r="K1641" s="11">
        <f t="shared" si="1"/>
        <v>682.8</v>
      </c>
      <c r="L1641" s="11">
        <f t="shared" si="2"/>
        <v>151.95</v>
      </c>
    </row>
    <row r="1642" ht="15.75" customHeight="1">
      <c r="A1642" s="10" t="s">
        <v>3422</v>
      </c>
      <c r="B1642" s="10" t="s">
        <v>3423</v>
      </c>
      <c r="C1642" s="11">
        <v>0.0</v>
      </c>
      <c r="D1642" s="11">
        <v>0.0</v>
      </c>
      <c r="E1642" s="11">
        <v>0.0</v>
      </c>
      <c r="F1642" s="11">
        <v>0.0</v>
      </c>
      <c r="G1642" s="11">
        <v>0.0</v>
      </c>
      <c r="H1642" s="11">
        <v>0.0</v>
      </c>
      <c r="I1642" s="11">
        <v>0.0</v>
      </c>
      <c r="J1642" s="11">
        <v>0.0</v>
      </c>
      <c r="K1642" s="11">
        <f t="shared" si="1"/>
        <v>0</v>
      </c>
      <c r="L1642" s="11">
        <f t="shared" si="2"/>
        <v>0</v>
      </c>
    </row>
    <row r="1643" ht="15.75" customHeight="1">
      <c r="A1643" s="10" t="s">
        <v>3424</v>
      </c>
      <c r="B1643" s="10" t="s">
        <v>3425</v>
      </c>
      <c r="C1643" s="11">
        <v>0.0</v>
      </c>
      <c r="D1643" s="11">
        <v>0.0</v>
      </c>
      <c r="E1643" s="11">
        <v>0.0</v>
      </c>
      <c r="F1643" s="11">
        <v>0.0</v>
      </c>
      <c r="G1643" s="11">
        <v>0.0</v>
      </c>
      <c r="H1643" s="11">
        <v>0.0</v>
      </c>
      <c r="I1643" s="11">
        <v>0.0</v>
      </c>
      <c r="J1643" s="11">
        <v>0.0</v>
      </c>
      <c r="K1643" s="11">
        <f t="shared" si="1"/>
        <v>0</v>
      </c>
      <c r="L1643" s="11">
        <f t="shared" si="2"/>
        <v>0</v>
      </c>
    </row>
    <row r="1644" ht="15.75" customHeight="1">
      <c r="A1644" s="10" t="s">
        <v>3426</v>
      </c>
      <c r="B1644" s="10" t="s">
        <v>3427</v>
      </c>
      <c r="C1644" s="11">
        <v>0.0</v>
      </c>
      <c r="D1644" s="11">
        <v>0.0</v>
      </c>
      <c r="E1644" s="11">
        <v>0.0</v>
      </c>
      <c r="F1644" s="11">
        <v>0.0</v>
      </c>
      <c r="G1644" s="11">
        <v>0.0</v>
      </c>
      <c r="H1644" s="11">
        <v>0.0</v>
      </c>
      <c r="I1644" s="11">
        <v>0.0</v>
      </c>
      <c r="J1644" s="11">
        <v>0.0</v>
      </c>
      <c r="K1644" s="11">
        <f t="shared" si="1"/>
        <v>0</v>
      </c>
      <c r="L1644" s="11">
        <f t="shared" si="2"/>
        <v>0</v>
      </c>
    </row>
    <row r="1645" ht="15.75" customHeight="1">
      <c r="A1645" s="10" t="s">
        <v>3429</v>
      </c>
      <c r="B1645" s="10" t="s">
        <v>3430</v>
      </c>
      <c r="C1645" s="11">
        <v>0.0</v>
      </c>
      <c r="D1645" s="11">
        <v>0.0</v>
      </c>
      <c r="E1645" s="11">
        <v>0.0</v>
      </c>
      <c r="F1645" s="11">
        <v>0.0</v>
      </c>
      <c r="G1645" s="11">
        <v>0.0</v>
      </c>
      <c r="H1645" s="11">
        <v>0.0</v>
      </c>
      <c r="I1645" s="11">
        <v>0.0</v>
      </c>
      <c r="J1645" s="11">
        <v>0.0</v>
      </c>
      <c r="K1645" s="11">
        <f t="shared" si="1"/>
        <v>0</v>
      </c>
      <c r="L1645" s="11">
        <f t="shared" si="2"/>
        <v>0</v>
      </c>
    </row>
    <row r="1646" ht="15.75" customHeight="1">
      <c r="A1646" s="10" t="s">
        <v>3431</v>
      </c>
      <c r="B1646" s="10" t="s">
        <v>3432</v>
      </c>
      <c r="C1646" s="11">
        <v>0.0</v>
      </c>
      <c r="D1646" s="11">
        <v>0.0</v>
      </c>
      <c r="E1646" s="11">
        <v>0.0</v>
      </c>
      <c r="F1646" s="11">
        <v>0.0</v>
      </c>
      <c r="G1646" s="11">
        <v>0.0</v>
      </c>
      <c r="H1646" s="11">
        <v>0.0</v>
      </c>
      <c r="I1646" s="11">
        <v>0.0</v>
      </c>
      <c r="J1646" s="11">
        <v>0.0</v>
      </c>
      <c r="K1646" s="11">
        <f t="shared" si="1"/>
        <v>0</v>
      </c>
      <c r="L1646" s="11">
        <f t="shared" si="2"/>
        <v>0</v>
      </c>
    </row>
    <row r="1647" ht="15.75" customHeight="1">
      <c r="A1647" s="10" t="s">
        <v>3433</v>
      </c>
      <c r="B1647" s="10" t="s">
        <v>3434</v>
      </c>
      <c r="C1647" s="11">
        <v>0.0</v>
      </c>
      <c r="D1647" s="11">
        <v>0.0</v>
      </c>
      <c r="E1647" s="11">
        <v>0.0</v>
      </c>
      <c r="F1647" s="11">
        <v>0.0</v>
      </c>
      <c r="G1647" s="11">
        <v>0.0</v>
      </c>
      <c r="H1647" s="11">
        <v>0.0</v>
      </c>
      <c r="I1647" s="11">
        <v>0.0</v>
      </c>
      <c r="J1647" s="11">
        <v>0.0</v>
      </c>
      <c r="K1647" s="11">
        <f t="shared" si="1"/>
        <v>0</v>
      </c>
      <c r="L1647" s="11">
        <f t="shared" si="2"/>
        <v>0</v>
      </c>
    </row>
    <row r="1648" ht="15.75" customHeight="1">
      <c r="A1648" s="10" t="s">
        <v>3435</v>
      </c>
      <c r="B1648" s="10" t="s">
        <v>3436</v>
      </c>
      <c r="C1648" s="11">
        <v>0.0</v>
      </c>
      <c r="D1648" s="11">
        <v>0.0</v>
      </c>
      <c r="E1648" s="11">
        <v>0.0</v>
      </c>
      <c r="F1648" s="11">
        <v>0.0</v>
      </c>
      <c r="G1648" s="11">
        <v>0.0</v>
      </c>
      <c r="H1648" s="11">
        <v>0.0</v>
      </c>
      <c r="I1648" s="11">
        <v>0.0</v>
      </c>
      <c r="J1648" s="11">
        <v>0.0</v>
      </c>
      <c r="K1648" s="11">
        <f t="shared" si="1"/>
        <v>0</v>
      </c>
      <c r="L1648" s="11">
        <f t="shared" si="2"/>
        <v>0</v>
      </c>
    </row>
    <row r="1649" ht="15.75" customHeight="1">
      <c r="A1649" s="10" t="s">
        <v>3437</v>
      </c>
      <c r="B1649" s="10" t="s">
        <v>3438</v>
      </c>
      <c r="C1649" s="11">
        <v>0.0</v>
      </c>
      <c r="D1649" s="11">
        <v>0.0</v>
      </c>
      <c r="E1649" s="11">
        <v>0.0</v>
      </c>
      <c r="F1649" s="11">
        <v>0.0</v>
      </c>
      <c r="G1649" s="11">
        <v>0.0</v>
      </c>
      <c r="H1649" s="11">
        <v>0.0</v>
      </c>
      <c r="I1649" s="11">
        <v>0.0</v>
      </c>
      <c r="J1649" s="11">
        <v>100.0</v>
      </c>
      <c r="K1649" s="11">
        <f t="shared" si="1"/>
        <v>100</v>
      </c>
      <c r="L1649" s="11">
        <f t="shared" si="2"/>
        <v>25</v>
      </c>
    </row>
    <row r="1650" ht="15.75" customHeight="1">
      <c r="A1650" s="10" t="s">
        <v>3439</v>
      </c>
      <c r="B1650" s="10" t="s">
        <v>3440</v>
      </c>
      <c r="C1650" s="11">
        <v>0.0</v>
      </c>
      <c r="D1650" s="11">
        <v>0.0</v>
      </c>
      <c r="E1650" s="11">
        <v>0.0</v>
      </c>
      <c r="F1650" s="11">
        <v>0.0</v>
      </c>
      <c r="G1650" s="11">
        <v>0.0</v>
      </c>
      <c r="H1650" s="11">
        <v>0.0</v>
      </c>
      <c r="I1650" s="11">
        <v>0.0</v>
      </c>
      <c r="J1650" s="11">
        <v>0.0</v>
      </c>
      <c r="K1650" s="11">
        <f t="shared" si="1"/>
        <v>0</v>
      </c>
      <c r="L1650" s="11">
        <f t="shared" si="2"/>
        <v>0</v>
      </c>
    </row>
    <row r="1651" ht="15.75" customHeight="1">
      <c r="A1651" s="10" t="s">
        <v>3441</v>
      </c>
      <c r="B1651" s="10" t="s">
        <v>3442</v>
      </c>
      <c r="C1651" s="11">
        <v>0.0</v>
      </c>
      <c r="D1651" s="11">
        <v>0.0</v>
      </c>
      <c r="E1651" s="11">
        <v>0.0</v>
      </c>
      <c r="F1651" s="11">
        <v>0.0</v>
      </c>
      <c r="G1651" s="11">
        <v>0.0</v>
      </c>
      <c r="H1651" s="11">
        <v>0.0</v>
      </c>
      <c r="I1651" s="11">
        <v>0.0</v>
      </c>
      <c r="J1651" s="11">
        <v>0.0</v>
      </c>
      <c r="K1651" s="11">
        <f t="shared" si="1"/>
        <v>0</v>
      </c>
      <c r="L1651" s="11">
        <f t="shared" si="2"/>
        <v>0</v>
      </c>
    </row>
    <row r="1652" ht="15.75" customHeight="1">
      <c r="A1652" s="10" t="s">
        <v>3443</v>
      </c>
      <c r="B1652" s="10" t="s">
        <v>3444</v>
      </c>
      <c r="C1652" s="11">
        <v>0.0</v>
      </c>
      <c r="D1652" s="11">
        <v>0.0</v>
      </c>
      <c r="E1652" s="11">
        <v>0.0</v>
      </c>
      <c r="F1652" s="11">
        <v>0.0</v>
      </c>
      <c r="G1652" s="11">
        <v>0.0</v>
      </c>
      <c r="H1652" s="11">
        <v>0.0</v>
      </c>
      <c r="I1652" s="11">
        <v>0.0</v>
      </c>
      <c r="J1652" s="11">
        <v>0.0</v>
      </c>
      <c r="K1652" s="11">
        <f t="shared" si="1"/>
        <v>0</v>
      </c>
      <c r="L1652" s="11">
        <f t="shared" si="2"/>
        <v>0</v>
      </c>
    </row>
    <row r="1653" ht="15.75" customHeight="1">
      <c r="A1653" s="10" t="s">
        <v>3445</v>
      </c>
      <c r="B1653" s="10" t="s">
        <v>3446</v>
      </c>
      <c r="C1653" s="11">
        <v>0.0</v>
      </c>
      <c r="D1653" s="11">
        <v>0.0</v>
      </c>
      <c r="E1653" s="11">
        <v>0.0</v>
      </c>
      <c r="F1653" s="11">
        <v>0.0</v>
      </c>
      <c r="G1653" s="11">
        <v>0.0</v>
      </c>
      <c r="H1653" s="11">
        <v>0.0</v>
      </c>
      <c r="I1653" s="11">
        <v>0.0</v>
      </c>
      <c r="J1653" s="11">
        <v>0.0</v>
      </c>
      <c r="K1653" s="11">
        <f t="shared" si="1"/>
        <v>0</v>
      </c>
      <c r="L1653" s="11">
        <f t="shared" si="2"/>
        <v>0</v>
      </c>
    </row>
    <row r="1654" ht="15.75" customHeight="1">
      <c r="A1654" s="10" t="s">
        <v>3447</v>
      </c>
      <c r="B1654" s="10" t="s">
        <v>3448</v>
      </c>
      <c r="C1654" s="11">
        <v>0.0</v>
      </c>
      <c r="D1654" s="11">
        <v>0.0</v>
      </c>
      <c r="E1654" s="11">
        <v>0.0</v>
      </c>
      <c r="F1654" s="11">
        <v>0.0</v>
      </c>
      <c r="G1654" s="11">
        <v>0.0</v>
      </c>
      <c r="H1654" s="11">
        <v>0.0</v>
      </c>
      <c r="I1654" s="11">
        <v>0.0</v>
      </c>
      <c r="J1654" s="11">
        <v>0.0</v>
      </c>
      <c r="K1654" s="11">
        <f t="shared" si="1"/>
        <v>0</v>
      </c>
      <c r="L1654" s="11">
        <f t="shared" si="2"/>
        <v>0</v>
      </c>
    </row>
    <row r="1655" ht="15.75" customHeight="1">
      <c r="A1655" s="10" t="s">
        <v>3449</v>
      </c>
      <c r="B1655" s="10" t="s">
        <v>3450</v>
      </c>
      <c r="C1655" s="11">
        <v>0.0</v>
      </c>
      <c r="D1655" s="11">
        <v>0.0</v>
      </c>
      <c r="E1655" s="11">
        <v>0.0</v>
      </c>
      <c r="F1655" s="11">
        <v>0.0</v>
      </c>
      <c r="G1655" s="11">
        <v>0.0</v>
      </c>
      <c r="H1655" s="11">
        <v>0.0</v>
      </c>
      <c r="I1655" s="11">
        <v>0.0</v>
      </c>
      <c r="J1655" s="11">
        <v>0.0</v>
      </c>
      <c r="K1655" s="11">
        <f t="shared" si="1"/>
        <v>0</v>
      </c>
      <c r="L1655" s="11">
        <f t="shared" si="2"/>
        <v>0</v>
      </c>
    </row>
    <row r="1656" ht="15.75" customHeight="1">
      <c r="A1656" s="10" t="s">
        <v>3451</v>
      </c>
      <c r="B1656" s="10" t="s">
        <v>3452</v>
      </c>
      <c r="C1656" s="11">
        <v>0.0</v>
      </c>
      <c r="D1656" s="11">
        <v>0.0</v>
      </c>
      <c r="E1656" s="11">
        <v>0.0</v>
      </c>
      <c r="F1656" s="11">
        <v>0.0</v>
      </c>
      <c r="G1656" s="11">
        <v>0.0</v>
      </c>
      <c r="H1656" s="11">
        <v>0.0</v>
      </c>
      <c r="I1656" s="11">
        <v>0.0</v>
      </c>
      <c r="J1656" s="11">
        <v>0.0</v>
      </c>
      <c r="K1656" s="11">
        <f t="shared" si="1"/>
        <v>0</v>
      </c>
      <c r="L1656" s="11">
        <f t="shared" si="2"/>
        <v>0</v>
      </c>
    </row>
    <row r="1657" ht="15.75" customHeight="1">
      <c r="A1657" s="10" t="s">
        <v>3453</v>
      </c>
      <c r="B1657" s="10" t="s">
        <v>3454</v>
      </c>
      <c r="C1657" s="11">
        <v>0.0</v>
      </c>
      <c r="D1657" s="11">
        <v>0.0</v>
      </c>
      <c r="E1657" s="11">
        <v>0.0</v>
      </c>
      <c r="F1657" s="11">
        <v>0.0</v>
      </c>
      <c r="G1657" s="11">
        <v>0.0</v>
      </c>
      <c r="H1657" s="11">
        <v>0.0</v>
      </c>
      <c r="I1657" s="11">
        <v>0.0</v>
      </c>
      <c r="J1657" s="11">
        <v>0.0</v>
      </c>
      <c r="K1657" s="11">
        <f t="shared" si="1"/>
        <v>0</v>
      </c>
      <c r="L1657" s="11">
        <f t="shared" si="2"/>
        <v>0</v>
      </c>
    </row>
    <row r="1658" ht="15.75" customHeight="1">
      <c r="A1658" s="10" t="s">
        <v>3455</v>
      </c>
      <c r="B1658" s="10" t="s">
        <v>3456</v>
      </c>
      <c r="C1658" s="11">
        <v>0.0</v>
      </c>
      <c r="D1658" s="11">
        <v>0.0</v>
      </c>
      <c r="E1658" s="11">
        <v>0.0</v>
      </c>
      <c r="F1658" s="11">
        <v>0.0</v>
      </c>
      <c r="G1658" s="11">
        <v>0.0</v>
      </c>
      <c r="H1658" s="11">
        <v>0.0</v>
      </c>
      <c r="I1658" s="11">
        <v>0.0</v>
      </c>
      <c r="J1658" s="11">
        <v>0.0</v>
      </c>
      <c r="K1658" s="11">
        <f t="shared" si="1"/>
        <v>0</v>
      </c>
      <c r="L1658" s="11">
        <f t="shared" si="2"/>
        <v>0</v>
      </c>
    </row>
    <row r="1659" ht="15.75" customHeight="1">
      <c r="A1659" s="10" t="s">
        <v>3457</v>
      </c>
      <c r="B1659" s="10" t="s">
        <v>3458</v>
      </c>
      <c r="C1659" s="11">
        <v>0.0</v>
      </c>
      <c r="D1659" s="11">
        <v>0.0</v>
      </c>
      <c r="E1659" s="11">
        <v>0.0</v>
      </c>
      <c r="F1659" s="11">
        <v>0.0</v>
      </c>
      <c r="G1659" s="11">
        <v>0.0</v>
      </c>
      <c r="H1659" s="11">
        <v>178.0</v>
      </c>
      <c r="I1659" s="11">
        <v>126.0</v>
      </c>
      <c r="J1659" s="11">
        <v>70.7</v>
      </c>
      <c r="K1659" s="11">
        <f t="shared" si="1"/>
        <v>374.7</v>
      </c>
      <c r="L1659" s="11">
        <f t="shared" si="2"/>
        <v>93.675</v>
      </c>
    </row>
    <row r="1660" ht="15.75" customHeight="1">
      <c r="A1660" s="10" t="s">
        <v>3459</v>
      </c>
      <c r="B1660" s="10" t="s">
        <v>3460</v>
      </c>
      <c r="C1660" s="11">
        <v>0.0</v>
      </c>
      <c r="D1660" s="11">
        <v>0.0</v>
      </c>
      <c r="E1660" s="11">
        <v>0.0</v>
      </c>
      <c r="F1660" s="11">
        <v>0.0</v>
      </c>
      <c r="G1660" s="11">
        <v>0.0</v>
      </c>
      <c r="H1660" s="11">
        <v>0.0</v>
      </c>
      <c r="I1660" s="11">
        <v>0.0</v>
      </c>
      <c r="J1660" s="11">
        <v>135.0</v>
      </c>
      <c r="K1660" s="11">
        <f t="shared" si="1"/>
        <v>135</v>
      </c>
      <c r="L1660" s="11">
        <f t="shared" si="2"/>
        <v>33.75</v>
      </c>
    </row>
    <row r="1661" ht="15.75" customHeight="1">
      <c r="A1661" s="10" t="s">
        <v>3461</v>
      </c>
      <c r="B1661" s="10" t="s">
        <v>3462</v>
      </c>
      <c r="C1661" s="11">
        <v>0.0</v>
      </c>
      <c r="D1661" s="11">
        <v>0.0</v>
      </c>
      <c r="E1661" s="11">
        <v>0.0</v>
      </c>
      <c r="F1661" s="11">
        <v>0.0</v>
      </c>
      <c r="G1661" s="11">
        <v>0.0</v>
      </c>
      <c r="H1661" s="11">
        <v>0.0</v>
      </c>
      <c r="I1661" s="11">
        <v>0.0</v>
      </c>
      <c r="J1661" s="11">
        <v>46.0</v>
      </c>
      <c r="K1661" s="11">
        <f t="shared" si="1"/>
        <v>46</v>
      </c>
      <c r="L1661" s="11">
        <f t="shared" si="2"/>
        <v>11.5</v>
      </c>
    </row>
    <row r="1662" ht="15.75" customHeight="1">
      <c r="A1662" s="10" t="s">
        <v>3463</v>
      </c>
      <c r="B1662" s="10" t="s">
        <v>3464</v>
      </c>
      <c r="C1662" s="11">
        <v>0.0</v>
      </c>
      <c r="D1662" s="11">
        <v>0.0</v>
      </c>
      <c r="E1662" s="11">
        <v>0.0</v>
      </c>
      <c r="F1662" s="11">
        <v>0.0</v>
      </c>
      <c r="G1662" s="11">
        <v>0.0</v>
      </c>
      <c r="H1662" s="11">
        <v>0.0</v>
      </c>
      <c r="I1662" s="11">
        <v>123.0</v>
      </c>
      <c r="J1662" s="11">
        <v>24.6</v>
      </c>
      <c r="K1662" s="11">
        <f t="shared" si="1"/>
        <v>147.6</v>
      </c>
      <c r="L1662" s="11">
        <f t="shared" si="2"/>
        <v>36.9</v>
      </c>
    </row>
    <row r="1663" ht="15.75" customHeight="1">
      <c r="A1663" s="10" t="s">
        <v>3465</v>
      </c>
      <c r="B1663" s="10" t="s">
        <v>3466</v>
      </c>
      <c r="C1663" s="11">
        <v>0.0</v>
      </c>
      <c r="D1663" s="11">
        <v>0.0</v>
      </c>
      <c r="E1663" s="11">
        <v>0.0</v>
      </c>
      <c r="F1663" s="11">
        <v>0.0</v>
      </c>
      <c r="G1663" s="11">
        <v>0.0</v>
      </c>
      <c r="H1663" s="11">
        <v>0.0</v>
      </c>
      <c r="I1663" s="11">
        <v>0.0</v>
      </c>
      <c r="J1663" s="11">
        <v>0.0</v>
      </c>
      <c r="K1663" s="11">
        <f t="shared" si="1"/>
        <v>0</v>
      </c>
      <c r="L1663" s="11">
        <f t="shared" si="2"/>
        <v>0</v>
      </c>
    </row>
    <row r="1664" ht="15.75" customHeight="1">
      <c r="A1664" s="10" t="s">
        <v>3467</v>
      </c>
      <c r="B1664" s="10" t="s">
        <v>3468</v>
      </c>
      <c r="C1664" s="11">
        <v>0.0</v>
      </c>
      <c r="D1664" s="11">
        <v>0.0</v>
      </c>
      <c r="E1664" s="11">
        <v>0.0</v>
      </c>
      <c r="F1664" s="11">
        <v>0.0</v>
      </c>
      <c r="G1664" s="11">
        <v>23.2</v>
      </c>
      <c r="H1664" s="11">
        <v>55.5</v>
      </c>
      <c r="I1664" s="11">
        <v>396.4</v>
      </c>
      <c r="J1664" s="11">
        <v>613.7</v>
      </c>
      <c r="K1664" s="11">
        <f t="shared" si="1"/>
        <v>1088.8</v>
      </c>
      <c r="L1664" s="11">
        <f t="shared" si="2"/>
        <v>272.2</v>
      </c>
    </row>
    <row r="1665" ht="15.75" customHeight="1">
      <c r="A1665" s="10" t="s">
        <v>3469</v>
      </c>
      <c r="B1665" s="10" t="s">
        <v>3470</v>
      </c>
      <c r="C1665" s="11">
        <v>0.0</v>
      </c>
      <c r="D1665" s="11">
        <v>0.0</v>
      </c>
      <c r="E1665" s="11">
        <v>0.0</v>
      </c>
      <c r="F1665" s="11">
        <v>0.0</v>
      </c>
      <c r="G1665" s="11">
        <v>0.0</v>
      </c>
      <c r="H1665" s="11">
        <v>0.0</v>
      </c>
      <c r="I1665" s="11">
        <v>0.0</v>
      </c>
      <c r="J1665" s="11">
        <v>0.0</v>
      </c>
      <c r="K1665" s="11">
        <f t="shared" si="1"/>
        <v>0</v>
      </c>
      <c r="L1665" s="11">
        <f t="shared" si="2"/>
        <v>0</v>
      </c>
    </row>
    <row r="1666" ht="15.75" customHeight="1">
      <c r="A1666" s="10" t="s">
        <v>3471</v>
      </c>
      <c r="B1666" s="10" t="s">
        <v>3472</v>
      </c>
      <c r="C1666" s="11">
        <v>0.0</v>
      </c>
      <c r="D1666" s="11">
        <v>0.0</v>
      </c>
      <c r="E1666" s="11">
        <v>0.0</v>
      </c>
      <c r="F1666" s="11">
        <v>0.0</v>
      </c>
      <c r="G1666" s="11">
        <v>0.0</v>
      </c>
      <c r="H1666" s="11">
        <v>0.0</v>
      </c>
      <c r="I1666" s="11">
        <v>0.0</v>
      </c>
      <c r="J1666" s="11">
        <v>20.5</v>
      </c>
      <c r="K1666" s="11">
        <f t="shared" si="1"/>
        <v>20.5</v>
      </c>
      <c r="L1666" s="11">
        <f t="shared" si="2"/>
        <v>5.125</v>
      </c>
    </row>
    <row r="1667" ht="15.75" customHeight="1">
      <c r="A1667" s="10" t="s">
        <v>3473</v>
      </c>
      <c r="B1667" s="10" t="s">
        <v>3474</v>
      </c>
      <c r="C1667" s="11">
        <v>20.0</v>
      </c>
      <c r="D1667" s="11">
        <v>0.0</v>
      </c>
      <c r="E1667" s="11">
        <v>0.0</v>
      </c>
      <c r="F1667" s="11">
        <v>0.0</v>
      </c>
      <c r="G1667" s="11">
        <v>159.0</v>
      </c>
      <c r="H1667" s="11">
        <v>91.2</v>
      </c>
      <c r="I1667" s="11">
        <v>394.0</v>
      </c>
      <c r="J1667" s="11">
        <v>565.6</v>
      </c>
      <c r="K1667" s="11">
        <f t="shared" si="1"/>
        <v>1229.8</v>
      </c>
      <c r="L1667" s="11">
        <f t="shared" si="2"/>
        <v>302.45</v>
      </c>
    </row>
    <row r="1668" ht="15.75" customHeight="1">
      <c r="A1668" s="10" t="s">
        <v>3475</v>
      </c>
      <c r="B1668" s="10" t="s">
        <v>3476</v>
      </c>
      <c r="C1668" s="11">
        <v>0.0</v>
      </c>
      <c r="D1668" s="11">
        <v>0.0</v>
      </c>
      <c r="E1668" s="11">
        <v>0.0</v>
      </c>
      <c r="F1668" s="11">
        <v>0.0</v>
      </c>
      <c r="G1668" s="11">
        <v>0.0</v>
      </c>
      <c r="H1668" s="11">
        <v>0.0</v>
      </c>
      <c r="I1668" s="11">
        <v>0.0</v>
      </c>
      <c r="J1668" s="11">
        <v>0.0</v>
      </c>
      <c r="K1668" s="11">
        <f t="shared" si="1"/>
        <v>0</v>
      </c>
      <c r="L1668" s="11">
        <f t="shared" si="2"/>
        <v>0</v>
      </c>
    </row>
    <row r="1669" ht="15.75" customHeight="1">
      <c r="A1669" s="10" t="s">
        <v>3477</v>
      </c>
      <c r="B1669" s="10" t="s">
        <v>3478</v>
      </c>
      <c r="C1669" s="11">
        <v>0.0</v>
      </c>
      <c r="D1669" s="11">
        <v>0.0</v>
      </c>
      <c r="E1669" s="11">
        <v>0.0</v>
      </c>
      <c r="F1669" s="11">
        <v>0.0</v>
      </c>
      <c r="G1669" s="11">
        <v>0.0</v>
      </c>
      <c r="H1669" s="11">
        <v>0.0</v>
      </c>
      <c r="I1669" s="11">
        <v>17.5</v>
      </c>
      <c r="J1669" s="11">
        <v>40.0</v>
      </c>
      <c r="K1669" s="11">
        <f t="shared" si="1"/>
        <v>57.5</v>
      </c>
      <c r="L1669" s="11">
        <f t="shared" si="2"/>
        <v>14.375</v>
      </c>
    </row>
    <row r="1670" ht="15.75" customHeight="1">
      <c r="A1670" s="10" t="s">
        <v>3479</v>
      </c>
      <c r="B1670" s="10" t="s">
        <v>3480</v>
      </c>
      <c r="C1670" s="11">
        <v>0.0</v>
      </c>
      <c r="D1670" s="11">
        <v>0.0</v>
      </c>
      <c r="E1670" s="11">
        <v>0.0</v>
      </c>
      <c r="F1670" s="11">
        <v>0.0</v>
      </c>
      <c r="G1670" s="11">
        <v>0.0</v>
      </c>
      <c r="H1670" s="11">
        <v>0.0</v>
      </c>
      <c r="I1670" s="11">
        <v>203.0</v>
      </c>
      <c r="J1670" s="11">
        <v>58.6</v>
      </c>
      <c r="K1670" s="11">
        <f t="shared" si="1"/>
        <v>261.6</v>
      </c>
      <c r="L1670" s="11">
        <f t="shared" si="2"/>
        <v>65.4</v>
      </c>
    </row>
    <row r="1671" ht="15.75" customHeight="1">
      <c r="A1671" s="10" t="s">
        <v>3481</v>
      </c>
      <c r="B1671" s="10" t="s">
        <v>3482</v>
      </c>
      <c r="C1671" s="11">
        <v>0.0</v>
      </c>
      <c r="D1671" s="11">
        <v>0.0</v>
      </c>
      <c r="E1671" s="11">
        <v>0.0</v>
      </c>
      <c r="F1671" s="11">
        <v>0.0</v>
      </c>
      <c r="G1671" s="11">
        <v>0.0</v>
      </c>
      <c r="H1671" s="11">
        <v>0.0</v>
      </c>
      <c r="I1671" s="11">
        <v>0.0</v>
      </c>
      <c r="J1671" s="11">
        <v>0.0</v>
      </c>
      <c r="K1671" s="11">
        <f t="shared" si="1"/>
        <v>0</v>
      </c>
      <c r="L1671" s="11">
        <f t="shared" si="2"/>
        <v>0</v>
      </c>
    </row>
    <row r="1672" ht="15.75" customHeight="1">
      <c r="A1672" s="10" t="s">
        <v>3483</v>
      </c>
      <c r="B1672" s="10" t="s">
        <v>3484</v>
      </c>
      <c r="C1672" s="11">
        <v>0.0</v>
      </c>
      <c r="D1672" s="11">
        <v>0.0</v>
      </c>
      <c r="E1672" s="11">
        <v>0.0</v>
      </c>
      <c r="F1672" s="11">
        <v>0.0</v>
      </c>
      <c r="G1672" s="11">
        <v>0.0</v>
      </c>
      <c r="H1672" s="11">
        <v>0.0</v>
      </c>
      <c r="I1672" s="11">
        <v>0.0</v>
      </c>
      <c r="J1672" s="11">
        <v>0.0</v>
      </c>
      <c r="K1672" s="11">
        <f t="shared" si="1"/>
        <v>0</v>
      </c>
      <c r="L1672" s="11">
        <f t="shared" si="2"/>
        <v>0</v>
      </c>
    </row>
    <row r="1673" ht="15.75" customHeight="1">
      <c r="A1673" s="10" t="s">
        <v>3485</v>
      </c>
      <c r="B1673" s="10" t="s">
        <v>3486</v>
      </c>
      <c r="C1673" s="11">
        <v>0.0</v>
      </c>
      <c r="D1673" s="11">
        <v>0.0</v>
      </c>
      <c r="E1673" s="11">
        <v>0.0</v>
      </c>
      <c r="F1673" s="11">
        <v>0.0</v>
      </c>
      <c r="G1673" s="11">
        <v>0.0</v>
      </c>
      <c r="H1673" s="11">
        <v>0.0</v>
      </c>
      <c r="I1673" s="11">
        <v>0.0</v>
      </c>
      <c r="J1673" s="11">
        <v>0.0</v>
      </c>
      <c r="K1673" s="11">
        <f t="shared" si="1"/>
        <v>0</v>
      </c>
      <c r="L1673" s="11">
        <f t="shared" si="2"/>
        <v>0</v>
      </c>
    </row>
    <row r="1674" ht="15.75" customHeight="1">
      <c r="A1674" s="10" t="s">
        <v>3487</v>
      </c>
      <c r="B1674" s="10" t="s">
        <v>3488</v>
      </c>
      <c r="C1674" s="11">
        <v>0.0</v>
      </c>
      <c r="D1674" s="11">
        <v>0.0</v>
      </c>
      <c r="E1674" s="11">
        <v>0.0</v>
      </c>
      <c r="F1674" s="11">
        <v>0.0</v>
      </c>
      <c r="G1674" s="11">
        <v>0.0</v>
      </c>
      <c r="H1674" s="11">
        <v>0.0</v>
      </c>
      <c r="I1674" s="11">
        <v>0.0</v>
      </c>
      <c r="J1674" s="11">
        <v>0.0</v>
      </c>
      <c r="K1674" s="11">
        <f t="shared" si="1"/>
        <v>0</v>
      </c>
      <c r="L1674" s="11">
        <f t="shared" si="2"/>
        <v>0</v>
      </c>
    </row>
    <row r="1675" ht="15.75" customHeight="1">
      <c r="A1675" s="10" t="s">
        <v>3489</v>
      </c>
      <c r="B1675" s="10" t="s">
        <v>3490</v>
      </c>
      <c r="C1675" s="11">
        <v>0.0</v>
      </c>
      <c r="D1675" s="11">
        <v>0.0</v>
      </c>
      <c r="E1675" s="11">
        <v>0.0</v>
      </c>
      <c r="F1675" s="11">
        <v>0.0</v>
      </c>
      <c r="G1675" s="11">
        <v>0.0</v>
      </c>
      <c r="H1675" s="11">
        <v>64.8</v>
      </c>
      <c r="I1675" s="11">
        <v>0.0</v>
      </c>
      <c r="J1675" s="11">
        <v>84.8</v>
      </c>
      <c r="K1675" s="11">
        <f t="shared" si="1"/>
        <v>149.6</v>
      </c>
      <c r="L1675" s="11">
        <f t="shared" si="2"/>
        <v>37.4</v>
      </c>
    </row>
    <row r="1676" ht="15.75" customHeight="1">
      <c r="A1676" s="10" t="s">
        <v>3491</v>
      </c>
      <c r="B1676" s="10" t="s">
        <v>3492</v>
      </c>
      <c r="C1676" s="11">
        <v>0.0</v>
      </c>
      <c r="D1676" s="11">
        <v>0.0</v>
      </c>
      <c r="E1676" s="11">
        <v>0.0</v>
      </c>
      <c r="F1676" s="11">
        <v>0.0</v>
      </c>
      <c r="G1676" s="11">
        <v>0.0</v>
      </c>
      <c r="H1676" s="11">
        <v>47.5</v>
      </c>
      <c r="I1676" s="11">
        <v>0.0</v>
      </c>
      <c r="J1676" s="11">
        <v>237.5</v>
      </c>
      <c r="K1676" s="11">
        <f t="shared" si="1"/>
        <v>285</v>
      </c>
      <c r="L1676" s="11">
        <f t="shared" si="2"/>
        <v>71.25</v>
      </c>
    </row>
    <row r="1677" ht="15.75" customHeight="1">
      <c r="A1677" s="10" t="s">
        <v>3493</v>
      </c>
      <c r="B1677" s="10" t="s">
        <v>3494</v>
      </c>
      <c r="C1677" s="11">
        <v>0.0</v>
      </c>
      <c r="D1677" s="11">
        <v>0.0</v>
      </c>
      <c r="E1677" s="11">
        <v>0.0</v>
      </c>
      <c r="F1677" s="11">
        <v>0.0</v>
      </c>
      <c r="G1677" s="11">
        <v>0.0</v>
      </c>
      <c r="H1677" s="11">
        <v>47.5</v>
      </c>
      <c r="I1677" s="11">
        <v>0.0</v>
      </c>
      <c r="J1677" s="11">
        <v>95.0</v>
      </c>
      <c r="K1677" s="11">
        <f t="shared" si="1"/>
        <v>142.5</v>
      </c>
      <c r="L1677" s="11">
        <f t="shared" si="2"/>
        <v>35.625</v>
      </c>
    </row>
    <row r="1678" ht="15.75" customHeight="1">
      <c r="A1678" s="10" t="s">
        <v>3495</v>
      </c>
      <c r="B1678" s="10" t="s">
        <v>3496</v>
      </c>
      <c r="C1678" s="11">
        <v>0.0</v>
      </c>
      <c r="D1678" s="11">
        <v>0.0</v>
      </c>
      <c r="E1678" s="11">
        <v>0.0</v>
      </c>
      <c r="F1678" s="11">
        <v>0.0</v>
      </c>
      <c r="G1678" s="11">
        <v>0.0</v>
      </c>
      <c r="H1678" s="11">
        <v>47.5</v>
      </c>
      <c r="I1678" s="11">
        <v>0.0</v>
      </c>
      <c r="J1678" s="11">
        <v>190.0</v>
      </c>
      <c r="K1678" s="11">
        <f t="shared" si="1"/>
        <v>237.5</v>
      </c>
      <c r="L1678" s="11">
        <f t="shared" si="2"/>
        <v>59.375</v>
      </c>
    </row>
    <row r="1679" ht="15.75" customHeight="1">
      <c r="A1679" s="10" t="s">
        <v>3497</v>
      </c>
      <c r="B1679" s="10" t="s">
        <v>3498</v>
      </c>
      <c r="C1679" s="11">
        <v>0.0</v>
      </c>
      <c r="D1679" s="11">
        <v>0.0</v>
      </c>
      <c r="E1679" s="11">
        <v>0.0</v>
      </c>
      <c r="F1679" s="11">
        <v>0.0</v>
      </c>
      <c r="G1679" s="11">
        <v>0.0</v>
      </c>
      <c r="H1679" s="11">
        <v>100.0</v>
      </c>
      <c r="I1679" s="11">
        <v>0.0</v>
      </c>
      <c r="J1679" s="11">
        <v>0.0</v>
      </c>
      <c r="K1679" s="11">
        <f t="shared" si="1"/>
        <v>100</v>
      </c>
      <c r="L1679" s="11">
        <f t="shared" si="2"/>
        <v>25</v>
      </c>
    </row>
    <row r="1680" ht="15.75" customHeight="1">
      <c r="A1680" s="10" t="s">
        <v>3499</v>
      </c>
      <c r="B1680" s="10" t="s">
        <v>3500</v>
      </c>
      <c r="C1680" s="11">
        <v>0.0</v>
      </c>
      <c r="D1680" s="11">
        <v>0.0</v>
      </c>
      <c r="E1680" s="11">
        <v>0.0</v>
      </c>
      <c r="F1680" s="11">
        <v>0.0</v>
      </c>
      <c r="G1680" s="11">
        <v>0.0</v>
      </c>
      <c r="H1680" s="11">
        <v>50.0</v>
      </c>
      <c r="I1680" s="11">
        <v>0.0</v>
      </c>
      <c r="J1680" s="11">
        <v>0.0</v>
      </c>
      <c r="K1680" s="11">
        <f t="shared" si="1"/>
        <v>50</v>
      </c>
      <c r="L1680" s="11">
        <f t="shared" si="2"/>
        <v>12.5</v>
      </c>
    </row>
    <row r="1681" ht="15.75" customHeight="1">
      <c r="A1681" s="10" t="s">
        <v>3501</v>
      </c>
      <c r="B1681" s="10" t="s">
        <v>3502</v>
      </c>
      <c r="C1681" s="11">
        <v>0.0</v>
      </c>
      <c r="D1681" s="11">
        <v>0.0</v>
      </c>
      <c r="E1681" s="11">
        <v>0.0</v>
      </c>
      <c r="F1681" s="11">
        <v>0.0</v>
      </c>
      <c r="G1681" s="11">
        <v>0.0</v>
      </c>
      <c r="H1681" s="11">
        <v>50.0</v>
      </c>
      <c r="I1681" s="11">
        <v>0.0</v>
      </c>
      <c r="J1681" s="11">
        <v>200.0</v>
      </c>
      <c r="K1681" s="11">
        <f t="shared" si="1"/>
        <v>250</v>
      </c>
      <c r="L1681" s="11">
        <f t="shared" si="2"/>
        <v>62.5</v>
      </c>
    </row>
    <row r="1682" ht="15.75" customHeight="1">
      <c r="A1682" s="10" t="s">
        <v>2948</v>
      </c>
      <c r="B1682" s="10" t="s">
        <v>3503</v>
      </c>
      <c r="C1682" s="11">
        <v>0.0</v>
      </c>
      <c r="D1682" s="11">
        <v>0.0</v>
      </c>
      <c r="E1682" s="11">
        <v>0.0</v>
      </c>
      <c r="F1682" s="11">
        <v>0.0</v>
      </c>
      <c r="G1682" s="11">
        <v>0.0</v>
      </c>
      <c r="H1682" s="11">
        <v>0.0</v>
      </c>
      <c r="I1682" s="11">
        <v>0.0</v>
      </c>
      <c r="J1682" s="11">
        <v>0.0</v>
      </c>
      <c r="K1682" s="11">
        <f t="shared" si="1"/>
        <v>0</v>
      </c>
      <c r="L1682" s="11">
        <f t="shared" si="2"/>
        <v>0</v>
      </c>
    </row>
    <row r="1683" ht="15.75" customHeight="1">
      <c r="A1683" s="10" t="s">
        <v>2510</v>
      </c>
      <c r="B1683" s="10" t="s">
        <v>3504</v>
      </c>
      <c r="C1683" s="11">
        <v>795.0</v>
      </c>
      <c r="D1683" s="11">
        <v>80.0</v>
      </c>
      <c r="E1683" s="11">
        <v>139.0</v>
      </c>
      <c r="F1683" s="11">
        <v>650.0</v>
      </c>
      <c r="G1683" s="11">
        <v>280.0</v>
      </c>
      <c r="H1683" s="11">
        <v>356.0</v>
      </c>
      <c r="I1683" s="11">
        <v>1190.0</v>
      </c>
      <c r="J1683" s="11">
        <v>800.0</v>
      </c>
      <c r="K1683" s="11">
        <f t="shared" si="1"/>
        <v>4290</v>
      </c>
      <c r="L1683" s="11">
        <f t="shared" si="2"/>
        <v>656.5</v>
      </c>
    </row>
    <row r="1684" ht="15.75" customHeight="1">
      <c r="A1684" s="10" t="s">
        <v>3505</v>
      </c>
      <c r="B1684" s="10" t="s">
        <v>3506</v>
      </c>
      <c r="C1684" s="11">
        <v>0.0</v>
      </c>
      <c r="D1684" s="11">
        <v>0.0</v>
      </c>
      <c r="E1684" s="11">
        <v>0.0</v>
      </c>
      <c r="F1684" s="11">
        <v>0.0</v>
      </c>
      <c r="G1684" s="11">
        <v>0.0</v>
      </c>
      <c r="H1684" s="11">
        <v>0.0</v>
      </c>
      <c r="I1684" s="11">
        <v>0.0</v>
      </c>
      <c r="J1684" s="11">
        <v>0.0</v>
      </c>
      <c r="K1684" s="11">
        <f t="shared" si="1"/>
        <v>0</v>
      </c>
      <c r="L1684" s="11">
        <f t="shared" si="2"/>
        <v>0</v>
      </c>
    </row>
    <row r="1685" ht="15.75" customHeight="1">
      <c r="A1685" s="10" t="s">
        <v>2819</v>
      </c>
      <c r="B1685" s="10" t="s">
        <v>3507</v>
      </c>
      <c r="C1685" s="11">
        <v>40.0</v>
      </c>
      <c r="D1685" s="11">
        <v>0.0</v>
      </c>
      <c r="E1685" s="11">
        <v>0.0</v>
      </c>
      <c r="F1685" s="11">
        <v>0.0</v>
      </c>
      <c r="G1685" s="11">
        <v>40.0</v>
      </c>
      <c r="H1685" s="11">
        <v>40.0</v>
      </c>
      <c r="I1685" s="11">
        <v>0.0</v>
      </c>
      <c r="J1685" s="11">
        <v>80.0</v>
      </c>
      <c r="K1685" s="11">
        <f t="shared" si="1"/>
        <v>200</v>
      </c>
      <c r="L1685" s="11">
        <f t="shared" si="2"/>
        <v>40</v>
      </c>
    </row>
    <row r="1686" ht="15.75" customHeight="1">
      <c r="A1686" s="10" t="s">
        <v>1669</v>
      </c>
      <c r="B1686" s="10" t="s">
        <v>3508</v>
      </c>
      <c r="C1686" s="11">
        <v>0.0</v>
      </c>
      <c r="D1686" s="11">
        <v>40.0</v>
      </c>
      <c r="E1686" s="11">
        <v>0.0</v>
      </c>
      <c r="F1686" s="11">
        <v>40.0</v>
      </c>
      <c r="G1686" s="11">
        <v>60.0</v>
      </c>
      <c r="H1686" s="11">
        <v>40.0</v>
      </c>
      <c r="I1686" s="11">
        <v>0.0</v>
      </c>
      <c r="J1686" s="11">
        <v>20.0</v>
      </c>
      <c r="K1686" s="11">
        <f t="shared" si="1"/>
        <v>200</v>
      </c>
      <c r="L1686" s="11">
        <f t="shared" si="2"/>
        <v>30</v>
      </c>
    </row>
    <row r="1687" ht="15.75" customHeight="1">
      <c r="A1687" s="10" t="s">
        <v>1498</v>
      </c>
      <c r="B1687" s="10" t="s">
        <v>3509</v>
      </c>
      <c r="C1687" s="11">
        <v>0.0</v>
      </c>
      <c r="D1687" s="11">
        <v>0.0</v>
      </c>
      <c r="E1687" s="11">
        <v>1205.0</v>
      </c>
      <c r="F1687" s="11">
        <v>0.0</v>
      </c>
      <c r="G1687" s="11">
        <v>0.0</v>
      </c>
      <c r="H1687" s="11">
        <v>0.0</v>
      </c>
      <c r="I1687" s="11">
        <v>0.0</v>
      </c>
      <c r="J1687" s="11">
        <v>0.0</v>
      </c>
      <c r="K1687" s="11">
        <f t="shared" si="1"/>
        <v>1205</v>
      </c>
      <c r="L1687" s="11">
        <f t="shared" si="2"/>
        <v>0</v>
      </c>
    </row>
    <row r="1688" ht="15.75" customHeight="1">
      <c r="A1688" s="10" t="s">
        <v>3013</v>
      </c>
      <c r="B1688" s="10" t="s">
        <v>3510</v>
      </c>
      <c r="C1688" s="11">
        <v>0.0</v>
      </c>
      <c r="D1688" s="11">
        <v>0.0</v>
      </c>
      <c r="E1688" s="11">
        <v>31.0</v>
      </c>
      <c r="F1688" s="11">
        <v>40.0</v>
      </c>
      <c r="G1688" s="11">
        <v>0.0</v>
      </c>
      <c r="H1688" s="11">
        <v>0.0</v>
      </c>
      <c r="I1688" s="11">
        <v>0.0</v>
      </c>
      <c r="J1688" s="11">
        <v>0.0</v>
      </c>
      <c r="K1688" s="11">
        <f t="shared" si="1"/>
        <v>71</v>
      </c>
      <c r="L1688" s="11">
        <f t="shared" si="2"/>
        <v>0</v>
      </c>
    </row>
    <row r="1689" ht="15.75" customHeight="1">
      <c r="A1689" s="10" t="s">
        <v>2689</v>
      </c>
      <c r="B1689" s="10" t="s">
        <v>3511</v>
      </c>
      <c r="C1689" s="11">
        <v>80.0</v>
      </c>
      <c r="D1689" s="11">
        <v>0.0</v>
      </c>
      <c r="E1689" s="11">
        <v>0.0</v>
      </c>
      <c r="F1689" s="11">
        <v>0.0</v>
      </c>
      <c r="G1689" s="11">
        <v>0.0</v>
      </c>
      <c r="H1689" s="11">
        <v>80.0</v>
      </c>
      <c r="I1689" s="11">
        <v>0.0</v>
      </c>
      <c r="J1689" s="11">
        <v>40.0</v>
      </c>
      <c r="K1689" s="11">
        <f t="shared" si="1"/>
        <v>200</v>
      </c>
      <c r="L1689" s="11">
        <f t="shared" si="2"/>
        <v>30</v>
      </c>
    </row>
    <row r="1690" ht="15.75" customHeight="1">
      <c r="A1690" s="10" t="s">
        <v>2879</v>
      </c>
      <c r="B1690" s="10" t="s">
        <v>3512</v>
      </c>
      <c r="C1690" s="11">
        <v>0.0</v>
      </c>
      <c r="D1690" s="11">
        <v>0.0</v>
      </c>
      <c r="E1690" s="11">
        <v>0.0</v>
      </c>
      <c r="F1690" s="11">
        <v>0.0</v>
      </c>
      <c r="G1690" s="11">
        <v>0.0</v>
      </c>
      <c r="H1690" s="11">
        <v>80.0</v>
      </c>
      <c r="I1690" s="11">
        <v>280.0</v>
      </c>
      <c r="J1690" s="11">
        <v>259.0</v>
      </c>
      <c r="K1690" s="11">
        <f t="shared" si="1"/>
        <v>619</v>
      </c>
      <c r="L1690" s="11">
        <f t="shared" si="2"/>
        <v>154.75</v>
      </c>
    </row>
    <row r="1691" ht="15.75" customHeight="1">
      <c r="A1691" s="10" t="s">
        <v>2627</v>
      </c>
      <c r="B1691" s="10" t="s">
        <v>3513</v>
      </c>
      <c r="C1691" s="11">
        <v>40.0</v>
      </c>
      <c r="D1691" s="11">
        <v>0.0</v>
      </c>
      <c r="E1691" s="11">
        <v>0.0</v>
      </c>
      <c r="F1691" s="11">
        <v>0.0</v>
      </c>
      <c r="G1691" s="11">
        <v>0.0</v>
      </c>
      <c r="H1691" s="11">
        <v>0.0</v>
      </c>
      <c r="I1691" s="11">
        <v>0.0</v>
      </c>
      <c r="J1691" s="11">
        <v>0.0</v>
      </c>
      <c r="K1691" s="11">
        <f t="shared" si="1"/>
        <v>40</v>
      </c>
      <c r="L1691" s="11">
        <f t="shared" si="2"/>
        <v>0</v>
      </c>
    </row>
    <row r="1692" ht="15.75" customHeight="1">
      <c r="A1692" s="10" t="s">
        <v>2371</v>
      </c>
      <c r="B1692" s="10" t="s">
        <v>3514</v>
      </c>
      <c r="C1692" s="11">
        <v>120.0</v>
      </c>
      <c r="D1692" s="11">
        <v>38.0</v>
      </c>
      <c r="E1692" s="11">
        <v>3161.0</v>
      </c>
      <c r="F1692" s="11">
        <v>2880.0</v>
      </c>
      <c r="G1692" s="11">
        <v>2602.0</v>
      </c>
      <c r="H1692" s="11">
        <v>1466.0</v>
      </c>
      <c r="I1692" s="11">
        <v>2836.0</v>
      </c>
      <c r="J1692" s="11">
        <v>2319.0</v>
      </c>
      <c r="K1692" s="11">
        <f t="shared" si="1"/>
        <v>15422</v>
      </c>
      <c r="L1692" s="11">
        <f t="shared" si="2"/>
        <v>2305.75</v>
      </c>
    </row>
    <row r="1693" ht="15.75" customHeight="1">
      <c r="A1693" s="10" t="s">
        <v>2445</v>
      </c>
      <c r="B1693" s="10" t="s">
        <v>3515</v>
      </c>
      <c r="C1693" s="11">
        <v>400.0</v>
      </c>
      <c r="D1693" s="11">
        <v>0.0</v>
      </c>
      <c r="E1693" s="11">
        <v>40.0</v>
      </c>
      <c r="F1693" s="11">
        <v>40.0</v>
      </c>
      <c r="G1693" s="11">
        <v>0.0</v>
      </c>
      <c r="H1693" s="11">
        <v>0.0</v>
      </c>
      <c r="I1693" s="11">
        <v>15.9</v>
      </c>
      <c r="J1693" s="11">
        <v>28.0</v>
      </c>
      <c r="K1693" s="11">
        <f t="shared" si="1"/>
        <v>523.9</v>
      </c>
      <c r="L1693" s="11">
        <f t="shared" si="2"/>
        <v>10.975</v>
      </c>
    </row>
    <row r="1694" ht="15.75" customHeight="1">
      <c r="A1694" s="10" t="s">
        <v>2571</v>
      </c>
      <c r="B1694" s="10" t="s">
        <v>3516</v>
      </c>
      <c r="C1694" s="11">
        <v>0.0</v>
      </c>
      <c r="D1694" s="11">
        <v>0.0</v>
      </c>
      <c r="E1694" s="11">
        <v>87.0</v>
      </c>
      <c r="F1694" s="11">
        <v>0.0</v>
      </c>
      <c r="G1694" s="11">
        <v>0.0</v>
      </c>
      <c r="H1694" s="11">
        <v>120.0</v>
      </c>
      <c r="I1694" s="11">
        <v>0.0</v>
      </c>
      <c r="J1694" s="11">
        <v>0.0</v>
      </c>
      <c r="K1694" s="11">
        <f t="shared" si="1"/>
        <v>207</v>
      </c>
      <c r="L1694" s="11">
        <f t="shared" si="2"/>
        <v>30</v>
      </c>
    </row>
    <row r="1695" ht="15.75" customHeight="1">
      <c r="A1695" s="10" t="s">
        <v>2753</v>
      </c>
      <c r="B1695" s="10" t="s">
        <v>3517</v>
      </c>
      <c r="C1695" s="11">
        <v>80.0</v>
      </c>
      <c r="D1695" s="11">
        <v>0.0</v>
      </c>
      <c r="E1695" s="11">
        <v>40.0</v>
      </c>
      <c r="F1695" s="11">
        <v>0.0</v>
      </c>
      <c r="G1695" s="11">
        <v>0.0</v>
      </c>
      <c r="H1695" s="11">
        <v>0.0</v>
      </c>
      <c r="I1695" s="11">
        <v>40.0</v>
      </c>
      <c r="J1695" s="11">
        <v>91.0</v>
      </c>
      <c r="K1695" s="11">
        <f t="shared" si="1"/>
        <v>251</v>
      </c>
      <c r="L1695" s="11">
        <f t="shared" si="2"/>
        <v>32.75</v>
      </c>
    </row>
    <row r="1696" ht="15.75" customHeight="1">
      <c r="A1696" s="10" t="s">
        <v>3518</v>
      </c>
      <c r="B1696" s="10" t="s">
        <v>3519</v>
      </c>
      <c r="C1696" s="11">
        <v>150.0</v>
      </c>
      <c r="D1696" s="11">
        <v>0.0</v>
      </c>
      <c r="E1696" s="11">
        <v>0.0</v>
      </c>
      <c r="F1696" s="11">
        <v>0.0</v>
      </c>
      <c r="G1696" s="11">
        <v>50.0</v>
      </c>
      <c r="H1696" s="11">
        <v>0.0</v>
      </c>
      <c r="I1696" s="11">
        <v>100.0</v>
      </c>
      <c r="J1696" s="11">
        <v>50.0</v>
      </c>
      <c r="K1696" s="11">
        <f t="shared" si="1"/>
        <v>350</v>
      </c>
      <c r="L1696" s="11">
        <f t="shared" si="2"/>
        <v>50</v>
      </c>
    </row>
    <row r="1697" ht="15.75" customHeight="1">
      <c r="A1697" s="10" t="s">
        <v>3520</v>
      </c>
      <c r="B1697" s="10" t="s">
        <v>3521</v>
      </c>
      <c r="C1697" s="11">
        <v>100.0</v>
      </c>
      <c r="D1697" s="11">
        <v>27.0</v>
      </c>
      <c r="E1697" s="11">
        <v>0.0</v>
      </c>
      <c r="F1697" s="11">
        <v>0.0</v>
      </c>
      <c r="G1697" s="11">
        <v>0.0</v>
      </c>
      <c r="H1697" s="11">
        <v>0.0</v>
      </c>
      <c r="I1697" s="11">
        <v>50.0</v>
      </c>
      <c r="J1697" s="11">
        <v>68.0</v>
      </c>
      <c r="K1697" s="11">
        <f t="shared" si="1"/>
        <v>245</v>
      </c>
      <c r="L1697" s="11">
        <f t="shared" si="2"/>
        <v>29.5</v>
      </c>
    </row>
    <row r="1698" ht="15.75" customHeight="1">
      <c r="A1698" s="10" t="s">
        <v>3522</v>
      </c>
      <c r="B1698" s="10" t="s">
        <v>3523</v>
      </c>
      <c r="C1698" s="11">
        <v>0.0</v>
      </c>
      <c r="D1698" s="11">
        <v>0.0</v>
      </c>
      <c r="E1698" s="11">
        <v>0.0</v>
      </c>
      <c r="F1698" s="11">
        <v>0.0</v>
      </c>
      <c r="G1698" s="11">
        <v>0.0</v>
      </c>
      <c r="H1698" s="11">
        <v>0.0</v>
      </c>
      <c r="I1698" s="11">
        <v>0.0</v>
      </c>
      <c r="J1698" s="11">
        <v>0.0</v>
      </c>
      <c r="K1698" s="11">
        <f t="shared" si="1"/>
        <v>0</v>
      </c>
      <c r="L1698" s="11">
        <f t="shared" si="2"/>
        <v>0</v>
      </c>
    </row>
    <row r="1699" ht="15.75" customHeight="1">
      <c r="A1699" s="10" t="s">
        <v>3524</v>
      </c>
      <c r="B1699" s="10" t="s">
        <v>3525</v>
      </c>
      <c r="C1699" s="11">
        <v>0.0</v>
      </c>
      <c r="D1699" s="11">
        <v>0.0</v>
      </c>
      <c r="E1699" s="11">
        <v>0.0</v>
      </c>
      <c r="F1699" s="11">
        <v>0.0</v>
      </c>
      <c r="G1699" s="11">
        <v>0.0</v>
      </c>
      <c r="H1699" s="11">
        <v>0.0</v>
      </c>
      <c r="I1699" s="11">
        <v>0.0</v>
      </c>
      <c r="J1699" s="11">
        <v>0.0</v>
      </c>
      <c r="K1699" s="11">
        <f t="shared" si="1"/>
        <v>0</v>
      </c>
      <c r="L1699" s="11">
        <f t="shared" si="2"/>
        <v>0</v>
      </c>
    </row>
    <row r="1700" ht="15.75" customHeight="1">
      <c r="A1700" s="10" t="s">
        <v>3526</v>
      </c>
      <c r="B1700" s="10" t="s">
        <v>3527</v>
      </c>
      <c r="C1700" s="11">
        <v>0.0</v>
      </c>
      <c r="D1700" s="11">
        <v>0.0</v>
      </c>
      <c r="E1700" s="11">
        <v>0.0</v>
      </c>
      <c r="F1700" s="11">
        <v>0.0</v>
      </c>
      <c r="G1700" s="11">
        <v>0.0</v>
      </c>
      <c r="H1700" s="11">
        <v>0.0</v>
      </c>
      <c r="I1700" s="11">
        <v>0.0</v>
      </c>
      <c r="J1700" s="11">
        <v>0.0</v>
      </c>
      <c r="K1700" s="11">
        <f t="shared" si="1"/>
        <v>0</v>
      </c>
      <c r="L1700" s="11">
        <f t="shared" si="2"/>
        <v>0</v>
      </c>
    </row>
    <row r="1701" ht="15.75" customHeight="1">
      <c r="A1701" s="10" t="s">
        <v>3528</v>
      </c>
      <c r="B1701" s="10" t="s">
        <v>3529</v>
      </c>
      <c r="C1701" s="11">
        <v>0.0</v>
      </c>
      <c r="D1701" s="11">
        <v>0.0</v>
      </c>
      <c r="E1701" s="11">
        <v>0.0</v>
      </c>
      <c r="F1701" s="11">
        <v>0.0</v>
      </c>
      <c r="G1701" s="11">
        <v>0.0</v>
      </c>
      <c r="H1701" s="11">
        <v>0.0</v>
      </c>
      <c r="I1701" s="11">
        <v>0.0</v>
      </c>
      <c r="J1701" s="11">
        <v>0.0</v>
      </c>
      <c r="K1701" s="11">
        <f t="shared" si="1"/>
        <v>0</v>
      </c>
      <c r="L1701" s="11">
        <f t="shared" si="2"/>
        <v>0</v>
      </c>
    </row>
    <row r="1702" ht="15.75" customHeight="1">
      <c r="A1702" s="10" t="s">
        <v>3530</v>
      </c>
      <c r="B1702" s="10" t="s">
        <v>3531</v>
      </c>
      <c r="C1702" s="11">
        <v>0.0</v>
      </c>
      <c r="D1702" s="11">
        <v>0.0</v>
      </c>
      <c r="E1702" s="11">
        <v>0.0</v>
      </c>
      <c r="F1702" s="11">
        <v>0.0</v>
      </c>
      <c r="G1702" s="11">
        <v>40.0</v>
      </c>
      <c r="H1702" s="11">
        <v>20.0</v>
      </c>
      <c r="I1702" s="11">
        <v>12.0</v>
      </c>
      <c r="J1702" s="11">
        <v>40.0</v>
      </c>
      <c r="K1702" s="11">
        <f t="shared" si="1"/>
        <v>112</v>
      </c>
      <c r="L1702" s="11">
        <f t="shared" si="2"/>
        <v>28</v>
      </c>
    </row>
    <row r="1703" ht="15.75" customHeight="1">
      <c r="A1703" s="10" t="s">
        <v>3532</v>
      </c>
      <c r="B1703" s="10" t="s">
        <v>3533</v>
      </c>
      <c r="C1703" s="11">
        <v>0.0</v>
      </c>
      <c r="D1703" s="11">
        <v>0.0</v>
      </c>
      <c r="E1703" s="11">
        <v>0.0</v>
      </c>
      <c r="F1703" s="11">
        <v>0.0</v>
      </c>
      <c r="G1703" s="11">
        <v>0.0</v>
      </c>
      <c r="H1703" s="11">
        <v>260.0</v>
      </c>
      <c r="I1703" s="11">
        <v>162.0</v>
      </c>
      <c r="J1703" s="11">
        <v>250.0</v>
      </c>
      <c r="K1703" s="11">
        <f t="shared" si="1"/>
        <v>672</v>
      </c>
      <c r="L1703" s="11">
        <f t="shared" si="2"/>
        <v>168</v>
      </c>
    </row>
    <row r="1704" ht="15.75" customHeight="1">
      <c r="A1704" s="10" t="s">
        <v>3534</v>
      </c>
      <c r="B1704" s="10" t="s">
        <v>3535</v>
      </c>
      <c r="C1704" s="11">
        <v>0.0</v>
      </c>
      <c r="D1704" s="11">
        <v>0.0</v>
      </c>
      <c r="E1704" s="11">
        <v>0.0</v>
      </c>
      <c r="F1704" s="11">
        <v>0.0</v>
      </c>
      <c r="G1704" s="11">
        <v>0.0</v>
      </c>
      <c r="H1704" s="11">
        <v>502.0</v>
      </c>
      <c r="I1704" s="11">
        <v>116.0</v>
      </c>
      <c r="J1704" s="11">
        <v>14.0</v>
      </c>
      <c r="K1704" s="11">
        <f t="shared" si="1"/>
        <v>632</v>
      </c>
      <c r="L1704" s="11">
        <f t="shared" si="2"/>
        <v>158</v>
      </c>
    </row>
    <row r="1705" ht="15.75" customHeight="1">
      <c r="A1705" s="10" t="s">
        <v>3536</v>
      </c>
      <c r="B1705" s="10" t="s">
        <v>3537</v>
      </c>
      <c r="C1705" s="11">
        <v>0.0</v>
      </c>
      <c r="D1705" s="11">
        <v>0.0</v>
      </c>
      <c r="E1705" s="11">
        <v>0.0</v>
      </c>
      <c r="F1705" s="11">
        <v>0.0</v>
      </c>
      <c r="G1705" s="11">
        <v>24.0</v>
      </c>
      <c r="H1705" s="11">
        <v>0.0</v>
      </c>
      <c r="I1705" s="11">
        <v>24.0</v>
      </c>
      <c r="J1705" s="11">
        <v>166.0</v>
      </c>
      <c r="K1705" s="11">
        <f t="shared" si="1"/>
        <v>214</v>
      </c>
      <c r="L1705" s="11">
        <f t="shared" si="2"/>
        <v>53.5</v>
      </c>
    </row>
    <row r="1706" ht="15.75" customHeight="1">
      <c r="A1706" s="10" t="s">
        <v>3538</v>
      </c>
      <c r="B1706" s="10" t="s">
        <v>3539</v>
      </c>
      <c r="C1706" s="11">
        <v>0.0</v>
      </c>
      <c r="D1706" s="11">
        <v>0.0</v>
      </c>
      <c r="E1706" s="11">
        <v>0.0</v>
      </c>
      <c r="F1706" s="11">
        <v>0.0</v>
      </c>
      <c r="G1706" s="11">
        <v>0.0</v>
      </c>
      <c r="H1706" s="11">
        <v>0.0</v>
      </c>
      <c r="I1706" s="11">
        <v>0.0</v>
      </c>
      <c r="J1706" s="11">
        <v>0.0</v>
      </c>
      <c r="K1706" s="11">
        <f t="shared" si="1"/>
        <v>0</v>
      </c>
      <c r="L1706" s="11">
        <f t="shared" si="2"/>
        <v>0</v>
      </c>
    </row>
    <row r="1707" ht="15.75" customHeight="1">
      <c r="A1707" s="10" t="s">
        <v>3540</v>
      </c>
      <c r="B1707" s="10" t="s">
        <v>3541</v>
      </c>
      <c r="C1707" s="11">
        <v>0.0</v>
      </c>
      <c r="D1707" s="11">
        <v>0.0</v>
      </c>
      <c r="E1707" s="11">
        <v>0.0</v>
      </c>
      <c r="F1707" s="11">
        <v>0.0</v>
      </c>
      <c r="G1707" s="11">
        <v>0.0</v>
      </c>
      <c r="H1707" s="11">
        <v>0.0</v>
      </c>
      <c r="I1707" s="11">
        <v>0.0</v>
      </c>
      <c r="J1707" s="11">
        <v>0.0</v>
      </c>
      <c r="K1707" s="11">
        <f t="shared" si="1"/>
        <v>0</v>
      </c>
      <c r="L1707" s="11">
        <f t="shared" si="2"/>
        <v>0</v>
      </c>
    </row>
    <row r="1708" ht="15.75" customHeight="1">
      <c r="A1708" s="10" t="s">
        <v>3542</v>
      </c>
      <c r="B1708" s="10" t="s">
        <v>3543</v>
      </c>
      <c r="C1708" s="11">
        <v>0.0</v>
      </c>
      <c r="D1708" s="11">
        <v>0.0</v>
      </c>
      <c r="E1708" s="11">
        <v>0.0</v>
      </c>
      <c r="F1708" s="11">
        <v>0.0</v>
      </c>
      <c r="G1708" s="11">
        <v>0.0</v>
      </c>
      <c r="H1708" s="11">
        <v>0.0</v>
      </c>
      <c r="I1708" s="11">
        <v>0.0</v>
      </c>
      <c r="J1708" s="11">
        <v>0.0</v>
      </c>
      <c r="K1708" s="11">
        <f t="shared" si="1"/>
        <v>0</v>
      </c>
      <c r="L1708" s="11">
        <f t="shared" si="2"/>
        <v>0</v>
      </c>
    </row>
    <row r="1709" ht="15.75" customHeight="1">
      <c r="A1709" s="10" t="s">
        <v>3544</v>
      </c>
      <c r="B1709" s="10" t="s">
        <v>3545</v>
      </c>
      <c r="C1709" s="11">
        <v>0.0</v>
      </c>
      <c r="D1709" s="11">
        <v>0.0</v>
      </c>
      <c r="E1709" s="11">
        <v>0.0</v>
      </c>
      <c r="F1709" s="11">
        <v>0.0</v>
      </c>
      <c r="G1709" s="11">
        <v>0.0</v>
      </c>
      <c r="H1709" s="11">
        <v>0.0</v>
      </c>
      <c r="I1709" s="11">
        <v>0.0</v>
      </c>
      <c r="J1709" s="11">
        <v>0.0</v>
      </c>
      <c r="K1709" s="11">
        <f t="shared" si="1"/>
        <v>0</v>
      </c>
      <c r="L1709" s="11">
        <f t="shared" si="2"/>
        <v>0</v>
      </c>
    </row>
    <row r="1710" ht="15.75" customHeight="1">
      <c r="A1710" s="10" t="s">
        <v>3546</v>
      </c>
      <c r="B1710" s="10" t="s">
        <v>3547</v>
      </c>
      <c r="C1710" s="11">
        <v>0.0</v>
      </c>
      <c r="D1710" s="11">
        <v>0.0</v>
      </c>
      <c r="E1710" s="11">
        <v>0.0</v>
      </c>
      <c r="F1710" s="11">
        <v>0.0</v>
      </c>
      <c r="G1710" s="11">
        <v>0.0</v>
      </c>
      <c r="H1710" s="11">
        <v>0.0</v>
      </c>
      <c r="I1710" s="11">
        <v>0.0</v>
      </c>
      <c r="J1710" s="11">
        <v>0.0</v>
      </c>
      <c r="K1710" s="11">
        <f t="shared" si="1"/>
        <v>0</v>
      </c>
      <c r="L1710" s="11">
        <f t="shared" si="2"/>
        <v>0</v>
      </c>
    </row>
    <row r="1711" ht="15.75" customHeight="1">
      <c r="A1711" s="10" t="s">
        <v>3548</v>
      </c>
      <c r="B1711" s="10" t="s">
        <v>3549</v>
      </c>
      <c r="C1711" s="11">
        <v>0.0</v>
      </c>
      <c r="D1711" s="11">
        <v>0.0</v>
      </c>
      <c r="E1711" s="11">
        <v>0.0</v>
      </c>
      <c r="F1711" s="11">
        <v>0.0</v>
      </c>
      <c r="G1711" s="11">
        <v>0.0</v>
      </c>
      <c r="H1711" s="11">
        <v>0.0</v>
      </c>
      <c r="I1711" s="11">
        <v>0.0</v>
      </c>
      <c r="J1711" s="11">
        <v>0.0</v>
      </c>
      <c r="K1711" s="11">
        <f t="shared" si="1"/>
        <v>0</v>
      </c>
      <c r="L1711" s="11">
        <f t="shared" si="2"/>
        <v>0</v>
      </c>
    </row>
    <row r="1712" ht="15.75" customHeight="1">
      <c r="A1712" s="10" t="s">
        <v>3550</v>
      </c>
      <c r="B1712" s="10" t="s">
        <v>3551</v>
      </c>
      <c r="C1712" s="11">
        <v>0.0</v>
      </c>
      <c r="D1712" s="11">
        <v>0.0</v>
      </c>
      <c r="E1712" s="11">
        <v>0.0</v>
      </c>
      <c r="F1712" s="11">
        <v>0.0</v>
      </c>
      <c r="G1712" s="11">
        <v>0.0</v>
      </c>
      <c r="H1712" s="11">
        <v>0.0</v>
      </c>
      <c r="I1712" s="11">
        <v>0.0</v>
      </c>
      <c r="J1712" s="11">
        <v>0.0</v>
      </c>
      <c r="K1712" s="11">
        <f t="shared" si="1"/>
        <v>0</v>
      </c>
      <c r="L1712" s="11">
        <f t="shared" si="2"/>
        <v>0</v>
      </c>
    </row>
    <row r="1713" ht="15.75" customHeight="1">
      <c r="A1713" s="10" t="s">
        <v>3552</v>
      </c>
      <c r="B1713" s="10" t="s">
        <v>3553</v>
      </c>
      <c r="C1713" s="11">
        <v>0.0</v>
      </c>
      <c r="D1713" s="11">
        <v>0.0</v>
      </c>
      <c r="E1713" s="11">
        <v>0.0</v>
      </c>
      <c r="F1713" s="11">
        <v>0.0</v>
      </c>
      <c r="G1713" s="11">
        <v>0.0</v>
      </c>
      <c r="H1713" s="11">
        <v>0.0</v>
      </c>
      <c r="I1713" s="11">
        <v>0.0</v>
      </c>
      <c r="J1713" s="11">
        <v>0.0</v>
      </c>
      <c r="K1713" s="11">
        <f t="shared" si="1"/>
        <v>0</v>
      </c>
      <c r="L1713" s="11">
        <f t="shared" si="2"/>
        <v>0</v>
      </c>
    </row>
    <row r="1714" ht="15.75" customHeight="1">
      <c r="A1714" s="10" t="s">
        <v>3554</v>
      </c>
      <c r="B1714" s="10" t="s">
        <v>3555</v>
      </c>
      <c r="C1714" s="11">
        <v>0.0</v>
      </c>
      <c r="D1714" s="11">
        <v>0.0</v>
      </c>
      <c r="E1714" s="11">
        <v>0.0</v>
      </c>
      <c r="F1714" s="11">
        <v>0.0</v>
      </c>
      <c r="G1714" s="11">
        <v>0.0</v>
      </c>
      <c r="H1714" s="11">
        <v>0.0</v>
      </c>
      <c r="I1714" s="11">
        <v>0.0</v>
      </c>
      <c r="J1714" s="11">
        <v>0.0</v>
      </c>
      <c r="K1714" s="11">
        <f t="shared" si="1"/>
        <v>0</v>
      </c>
      <c r="L1714" s="11">
        <f t="shared" si="2"/>
        <v>0</v>
      </c>
    </row>
    <row r="1715" ht="15.75" customHeight="1">
      <c r="A1715" s="10" t="s">
        <v>3556</v>
      </c>
      <c r="B1715" s="10" t="s">
        <v>3557</v>
      </c>
      <c r="C1715" s="11">
        <v>0.0</v>
      </c>
      <c r="D1715" s="11">
        <v>35.0</v>
      </c>
      <c r="E1715" s="11">
        <v>0.0</v>
      </c>
      <c r="F1715" s="11">
        <v>30.0</v>
      </c>
      <c r="G1715" s="11">
        <v>35.0</v>
      </c>
      <c r="H1715" s="11">
        <v>34.4</v>
      </c>
      <c r="I1715" s="11">
        <v>35.0</v>
      </c>
      <c r="J1715" s="11">
        <v>35.0</v>
      </c>
      <c r="K1715" s="11">
        <f t="shared" si="1"/>
        <v>204.4</v>
      </c>
      <c r="L1715" s="11">
        <f t="shared" si="2"/>
        <v>34.85</v>
      </c>
    </row>
    <row r="1716" ht="15.75" customHeight="1">
      <c r="A1716" s="10" t="s">
        <v>1372</v>
      </c>
      <c r="B1716" s="10" t="s">
        <v>3558</v>
      </c>
      <c r="C1716" s="11">
        <v>19.0</v>
      </c>
      <c r="D1716" s="11">
        <v>0.0</v>
      </c>
      <c r="E1716" s="11">
        <v>0.0</v>
      </c>
      <c r="F1716" s="11">
        <v>20.0</v>
      </c>
      <c r="G1716" s="11">
        <v>0.0</v>
      </c>
      <c r="H1716" s="11">
        <v>0.0</v>
      </c>
      <c r="I1716" s="11">
        <v>40.0</v>
      </c>
      <c r="J1716" s="11">
        <v>20.0</v>
      </c>
      <c r="K1716" s="11">
        <f t="shared" si="1"/>
        <v>99</v>
      </c>
      <c r="L1716" s="11">
        <f t="shared" si="2"/>
        <v>15</v>
      </c>
    </row>
    <row r="1717" ht="15.75" customHeight="1">
      <c r="A1717" s="10" t="s">
        <v>3559</v>
      </c>
      <c r="B1717" s="10" t="s">
        <v>3560</v>
      </c>
      <c r="C1717" s="11">
        <v>0.0</v>
      </c>
      <c r="D1717" s="11">
        <v>0.0</v>
      </c>
      <c r="E1717" s="11">
        <v>0.0</v>
      </c>
      <c r="F1717" s="11">
        <v>0.0</v>
      </c>
      <c r="G1717" s="11">
        <v>0.0</v>
      </c>
      <c r="H1717" s="11">
        <v>0.0</v>
      </c>
      <c r="I1717" s="11">
        <v>0.0</v>
      </c>
      <c r="J1717" s="11">
        <v>0.0</v>
      </c>
      <c r="K1717" s="11">
        <f t="shared" si="1"/>
        <v>0</v>
      </c>
      <c r="L1717" s="11">
        <f t="shared" si="2"/>
        <v>0</v>
      </c>
    </row>
    <row r="1718" ht="15.75" customHeight="1">
      <c r="A1718" s="10" t="s">
        <v>3561</v>
      </c>
      <c r="B1718" s="10" t="s">
        <v>3562</v>
      </c>
      <c r="C1718" s="11">
        <v>0.0</v>
      </c>
      <c r="D1718" s="11">
        <v>0.0</v>
      </c>
      <c r="E1718" s="11">
        <v>0.0</v>
      </c>
      <c r="F1718" s="11">
        <v>0.0</v>
      </c>
      <c r="G1718" s="11">
        <v>0.0</v>
      </c>
      <c r="H1718" s="11">
        <v>0.0</v>
      </c>
      <c r="I1718" s="11">
        <v>0.0</v>
      </c>
      <c r="J1718" s="11">
        <v>0.0</v>
      </c>
      <c r="K1718" s="11">
        <f t="shared" si="1"/>
        <v>0</v>
      </c>
      <c r="L1718" s="11">
        <f t="shared" si="2"/>
        <v>0</v>
      </c>
    </row>
    <row r="1719" ht="15.75" customHeight="1">
      <c r="A1719" s="10" t="s">
        <v>3563</v>
      </c>
      <c r="B1719" s="10" t="s">
        <v>3564</v>
      </c>
      <c r="C1719" s="11">
        <v>0.0</v>
      </c>
      <c r="D1719" s="11">
        <v>0.0</v>
      </c>
      <c r="E1719" s="11">
        <v>0.0</v>
      </c>
      <c r="F1719" s="11">
        <v>30.0</v>
      </c>
      <c r="G1719" s="11">
        <v>0.0</v>
      </c>
      <c r="H1719" s="11">
        <v>27.2</v>
      </c>
      <c r="I1719" s="11">
        <v>57.5</v>
      </c>
      <c r="J1719" s="11">
        <v>0.0</v>
      </c>
      <c r="K1719" s="11">
        <f t="shared" si="1"/>
        <v>114.7</v>
      </c>
      <c r="L1719" s="11">
        <f t="shared" si="2"/>
        <v>21.175</v>
      </c>
    </row>
    <row r="1720" ht="15.75" customHeight="1">
      <c r="A1720" s="10" t="s">
        <v>3565</v>
      </c>
      <c r="B1720" s="10" t="s">
        <v>3566</v>
      </c>
      <c r="C1720" s="11">
        <v>0.0</v>
      </c>
      <c r="D1720" s="11">
        <v>0.0</v>
      </c>
      <c r="E1720" s="11">
        <v>0.0</v>
      </c>
      <c r="F1720" s="11">
        <v>0.0</v>
      </c>
      <c r="G1720" s="11">
        <v>0.0</v>
      </c>
      <c r="H1720" s="11">
        <v>0.0</v>
      </c>
      <c r="I1720" s="11">
        <v>0.0</v>
      </c>
      <c r="J1720" s="11">
        <v>0.0</v>
      </c>
      <c r="K1720" s="11">
        <f t="shared" si="1"/>
        <v>0</v>
      </c>
      <c r="L1720" s="11">
        <f t="shared" si="2"/>
        <v>0</v>
      </c>
    </row>
    <row r="1721" ht="15.75" customHeight="1">
      <c r="A1721" s="10" t="s">
        <v>3567</v>
      </c>
      <c r="B1721" s="10" t="s">
        <v>3566</v>
      </c>
      <c r="C1721" s="11">
        <v>0.0</v>
      </c>
      <c r="D1721" s="11">
        <v>0.0</v>
      </c>
      <c r="E1721" s="11">
        <v>0.0</v>
      </c>
      <c r="F1721" s="11">
        <v>0.0</v>
      </c>
      <c r="G1721" s="11">
        <v>0.0</v>
      </c>
      <c r="H1721" s="11">
        <v>0.0</v>
      </c>
      <c r="I1721" s="11">
        <v>0.0</v>
      </c>
      <c r="J1721" s="11">
        <v>0.0</v>
      </c>
      <c r="K1721" s="11">
        <f t="shared" si="1"/>
        <v>0</v>
      </c>
      <c r="L1721" s="11">
        <f t="shared" si="2"/>
        <v>0</v>
      </c>
    </row>
    <row r="1722" ht="15.75" customHeight="1">
      <c r="A1722" s="10" t="s">
        <v>3568</v>
      </c>
      <c r="B1722" s="10" t="s">
        <v>3569</v>
      </c>
      <c r="C1722" s="11">
        <v>0.0</v>
      </c>
      <c r="D1722" s="11">
        <v>0.0</v>
      </c>
      <c r="E1722" s="11">
        <v>0.0</v>
      </c>
      <c r="F1722" s="11">
        <v>0.0</v>
      </c>
      <c r="G1722" s="11">
        <v>0.0</v>
      </c>
      <c r="H1722" s="11">
        <v>0.0</v>
      </c>
      <c r="I1722" s="11">
        <v>0.0</v>
      </c>
      <c r="J1722" s="11">
        <v>0.0</v>
      </c>
      <c r="K1722" s="11">
        <f t="shared" si="1"/>
        <v>0</v>
      </c>
      <c r="L1722" s="11">
        <f t="shared" si="2"/>
        <v>0</v>
      </c>
    </row>
    <row r="1723" ht="15.75" customHeight="1">
      <c r="A1723" s="10" t="s">
        <v>3570</v>
      </c>
      <c r="B1723" s="10" t="s">
        <v>3571</v>
      </c>
      <c r="C1723" s="11">
        <v>0.0</v>
      </c>
      <c r="D1723" s="11">
        <v>0.0</v>
      </c>
      <c r="E1723" s="11">
        <v>0.0</v>
      </c>
      <c r="F1723" s="11">
        <v>31.4</v>
      </c>
      <c r="G1723" s="11">
        <v>0.0</v>
      </c>
      <c r="H1723" s="11">
        <v>0.0</v>
      </c>
      <c r="I1723" s="11">
        <v>0.0</v>
      </c>
      <c r="J1723" s="11">
        <v>0.0</v>
      </c>
      <c r="K1723" s="11">
        <f t="shared" si="1"/>
        <v>31.4</v>
      </c>
      <c r="L1723" s="11">
        <f t="shared" si="2"/>
        <v>0</v>
      </c>
    </row>
    <row r="1724" ht="15.75" customHeight="1">
      <c r="A1724" s="10" t="s">
        <v>3572</v>
      </c>
      <c r="B1724" s="10" t="s">
        <v>3573</v>
      </c>
      <c r="C1724" s="11">
        <v>0.0</v>
      </c>
      <c r="D1724" s="11">
        <v>50.0</v>
      </c>
      <c r="E1724" s="11">
        <v>50.0</v>
      </c>
      <c r="F1724" s="11">
        <v>98.0</v>
      </c>
      <c r="G1724" s="11">
        <v>100.0</v>
      </c>
      <c r="H1724" s="11">
        <v>76.0</v>
      </c>
      <c r="I1724" s="11">
        <v>25.0</v>
      </c>
      <c r="J1724" s="11">
        <v>25.0</v>
      </c>
      <c r="K1724" s="11">
        <f t="shared" si="1"/>
        <v>424</v>
      </c>
      <c r="L1724" s="11">
        <f t="shared" si="2"/>
        <v>56.5</v>
      </c>
    </row>
    <row r="1725" ht="15.75" customHeight="1">
      <c r="A1725" s="10" t="s">
        <v>3574</v>
      </c>
      <c r="B1725" s="10" t="s">
        <v>3575</v>
      </c>
      <c r="C1725" s="11">
        <v>0.0</v>
      </c>
      <c r="D1725" s="11">
        <v>126.0</v>
      </c>
      <c r="E1725" s="11">
        <v>51.0</v>
      </c>
      <c r="F1725" s="11">
        <v>249.0</v>
      </c>
      <c r="G1725" s="11">
        <v>178.0</v>
      </c>
      <c r="H1725" s="11">
        <v>151.0</v>
      </c>
      <c r="I1725" s="11">
        <v>0.0</v>
      </c>
      <c r="J1725" s="11">
        <v>25.0</v>
      </c>
      <c r="K1725" s="11">
        <f t="shared" si="1"/>
        <v>780</v>
      </c>
      <c r="L1725" s="11">
        <f t="shared" si="2"/>
        <v>88.5</v>
      </c>
    </row>
    <row r="1726" ht="15.75" customHeight="1">
      <c r="A1726" s="10" t="s">
        <v>3576</v>
      </c>
      <c r="B1726" s="10" t="s">
        <v>3577</v>
      </c>
      <c r="C1726" s="11">
        <v>50.0</v>
      </c>
      <c r="D1726" s="11">
        <v>0.0</v>
      </c>
      <c r="E1726" s="11">
        <v>100.0</v>
      </c>
      <c r="F1726" s="11">
        <v>0.0</v>
      </c>
      <c r="G1726" s="11">
        <v>0.0</v>
      </c>
      <c r="H1726" s="11">
        <v>50.0</v>
      </c>
      <c r="I1726" s="11">
        <v>0.0</v>
      </c>
      <c r="J1726" s="11">
        <v>0.0</v>
      </c>
      <c r="K1726" s="11">
        <f t="shared" si="1"/>
        <v>200</v>
      </c>
      <c r="L1726" s="11">
        <f t="shared" si="2"/>
        <v>12.5</v>
      </c>
    </row>
    <row r="1727" ht="15.75" customHeight="1">
      <c r="A1727" s="10" t="s">
        <v>3578</v>
      </c>
      <c r="B1727" s="10" t="s">
        <v>3579</v>
      </c>
      <c r="C1727" s="11">
        <v>0.0</v>
      </c>
      <c r="D1727" s="11">
        <v>50.0</v>
      </c>
      <c r="E1727" s="11">
        <v>0.0</v>
      </c>
      <c r="F1727" s="11">
        <v>0.0</v>
      </c>
      <c r="G1727" s="11">
        <v>99.0</v>
      </c>
      <c r="H1727" s="11">
        <v>100.0</v>
      </c>
      <c r="I1727" s="11">
        <v>50.0</v>
      </c>
      <c r="J1727" s="11">
        <v>50.0</v>
      </c>
      <c r="K1727" s="11">
        <f t="shared" si="1"/>
        <v>349</v>
      </c>
      <c r="L1727" s="11">
        <f t="shared" si="2"/>
        <v>74.75</v>
      </c>
    </row>
    <row r="1728" ht="15.75" customHeight="1">
      <c r="A1728" s="10" t="s">
        <v>3580</v>
      </c>
      <c r="B1728" s="10" t="s">
        <v>3581</v>
      </c>
      <c r="C1728" s="11">
        <v>148.0</v>
      </c>
      <c r="D1728" s="11">
        <v>94.0</v>
      </c>
      <c r="E1728" s="11">
        <v>100.0</v>
      </c>
      <c r="F1728" s="11">
        <v>0.0</v>
      </c>
      <c r="G1728" s="11">
        <v>0.0</v>
      </c>
      <c r="H1728" s="11">
        <v>0.0</v>
      </c>
      <c r="I1728" s="11">
        <v>0.0</v>
      </c>
      <c r="J1728" s="11">
        <v>0.0</v>
      </c>
      <c r="K1728" s="11">
        <f t="shared" si="1"/>
        <v>342</v>
      </c>
      <c r="L1728" s="11">
        <f t="shared" si="2"/>
        <v>0</v>
      </c>
    </row>
    <row r="1729" ht="15.75" customHeight="1">
      <c r="A1729" s="10" t="s">
        <v>3582</v>
      </c>
      <c r="B1729" s="10" t="s">
        <v>3583</v>
      </c>
      <c r="C1729" s="11">
        <v>0.0</v>
      </c>
      <c r="D1729" s="11">
        <v>0.0</v>
      </c>
      <c r="E1729" s="11">
        <v>0.0</v>
      </c>
      <c r="F1729" s="11">
        <v>0.0</v>
      </c>
      <c r="G1729" s="11">
        <v>0.0</v>
      </c>
      <c r="H1729" s="11">
        <v>0.0</v>
      </c>
      <c r="I1729" s="11">
        <v>0.0</v>
      </c>
      <c r="J1729" s="11">
        <v>0.0</v>
      </c>
      <c r="K1729" s="11">
        <f t="shared" si="1"/>
        <v>0</v>
      </c>
      <c r="L1729" s="11">
        <f t="shared" si="2"/>
        <v>0</v>
      </c>
    </row>
    <row r="1730" ht="15.75" customHeight="1">
      <c r="A1730" s="10" t="s">
        <v>3584</v>
      </c>
      <c r="B1730" s="10" t="s">
        <v>3585</v>
      </c>
      <c r="C1730" s="11">
        <v>50.0</v>
      </c>
      <c r="D1730" s="11">
        <v>50.0</v>
      </c>
      <c r="E1730" s="11">
        <v>100.0</v>
      </c>
      <c r="F1730" s="11">
        <v>100.0</v>
      </c>
      <c r="G1730" s="11">
        <v>150.0</v>
      </c>
      <c r="H1730" s="11">
        <v>350.0</v>
      </c>
      <c r="I1730" s="11">
        <v>0.0</v>
      </c>
      <c r="J1730" s="11">
        <v>0.0</v>
      </c>
      <c r="K1730" s="11">
        <f t="shared" si="1"/>
        <v>800</v>
      </c>
      <c r="L1730" s="11">
        <f t="shared" si="2"/>
        <v>125</v>
      </c>
    </row>
    <row r="1731" ht="15.75" customHeight="1">
      <c r="A1731" s="10" t="s">
        <v>3586</v>
      </c>
      <c r="B1731" s="10" t="s">
        <v>3587</v>
      </c>
      <c r="C1731" s="11">
        <v>50.0</v>
      </c>
      <c r="D1731" s="11">
        <v>50.0</v>
      </c>
      <c r="E1731" s="11">
        <v>50.0</v>
      </c>
      <c r="F1731" s="11">
        <v>150.0</v>
      </c>
      <c r="G1731" s="11">
        <v>300.0</v>
      </c>
      <c r="H1731" s="11">
        <v>450.0</v>
      </c>
      <c r="I1731" s="11">
        <v>141.0</v>
      </c>
      <c r="J1731" s="11">
        <v>0.0</v>
      </c>
      <c r="K1731" s="11">
        <f t="shared" si="1"/>
        <v>1191</v>
      </c>
      <c r="L1731" s="11">
        <f t="shared" si="2"/>
        <v>222.75</v>
      </c>
    </row>
    <row r="1732" ht="15.75" customHeight="1">
      <c r="A1732" s="10" t="s">
        <v>3588</v>
      </c>
      <c r="B1732" s="10" t="s">
        <v>3589</v>
      </c>
      <c r="C1732" s="11">
        <v>0.0</v>
      </c>
      <c r="D1732" s="11">
        <v>50.0</v>
      </c>
      <c r="E1732" s="11">
        <v>1250.0</v>
      </c>
      <c r="F1732" s="11">
        <v>2111.0</v>
      </c>
      <c r="G1732" s="11">
        <v>650.0</v>
      </c>
      <c r="H1732" s="11">
        <v>0.0</v>
      </c>
      <c r="I1732" s="11">
        <v>0.0</v>
      </c>
      <c r="J1732" s="11">
        <v>0.0</v>
      </c>
      <c r="K1732" s="11">
        <f t="shared" si="1"/>
        <v>4061</v>
      </c>
      <c r="L1732" s="11">
        <f t="shared" si="2"/>
        <v>162.5</v>
      </c>
    </row>
    <row r="1733" ht="15.75" customHeight="1">
      <c r="A1733" s="10" t="s">
        <v>3590</v>
      </c>
      <c r="B1733" s="10" t="s">
        <v>3591</v>
      </c>
      <c r="C1733" s="11">
        <v>0.0</v>
      </c>
      <c r="D1733" s="11">
        <v>0.0</v>
      </c>
      <c r="E1733" s="11">
        <v>0.0</v>
      </c>
      <c r="F1733" s="11">
        <v>0.0</v>
      </c>
      <c r="G1733" s="11">
        <v>0.0</v>
      </c>
      <c r="H1733" s="11">
        <v>0.0</v>
      </c>
      <c r="I1733" s="11">
        <v>0.0</v>
      </c>
      <c r="J1733" s="11">
        <v>0.0</v>
      </c>
      <c r="K1733" s="11">
        <f t="shared" si="1"/>
        <v>0</v>
      </c>
      <c r="L1733" s="11">
        <f t="shared" si="2"/>
        <v>0</v>
      </c>
    </row>
    <row r="1734" ht="15.75" customHeight="1">
      <c r="A1734" s="10" t="s">
        <v>3592</v>
      </c>
      <c r="B1734" s="10" t="s">
        <v>3593</v>
      </c>
      <c r="C1734" s="11">
        <v>0.0</v>
      </c>
      <c r="D1734" s="11">
        <v>101.0</v>
      </c>
      <c r="E1734" s="11">
        <v>59.0</v>
      </c>
      <c r="F1734" s="11">
        <v>0.0</v>
      </c>
      <c r="G1734" s="11">
        <v>0.0</v>
      </c>
      <c r="H1734" s="11">
        <v>0.0</v>
      </c>
      <c r="I1734" s="11">
        <v>0.0</v>
      </c>
      <c r="J1734" s="11">
        <v>0.0</v>
      </c>
      <c r="K1734" s="11">
        <f t="shared" si="1"/>
        <v>160</v>
      </c>
      <c r="L1734" s="11">
        <f t="shared" si="2"/>
        <v>0</v>
      </c>
    </row>
    <row r="1735" ht="15.75" customHeight="1">
      <c r="A1735" s="10" t="s">
        <v>3594</v>
      </c>
      <c r="B1735" s="10" t="s">
        <v>3595</v>
      </c>
      <c r="C1735" s="11">
        <v>0.0</v>
      </c>
      <c r="D1735" s="11">
        <v>0.0</v>
      </c>
      <c r="E1735" s="11">
        <v>0.0</v>
      </c>
      <c r="F1735" s="11">
        <v>0.0</v>
      </c>
      <c r="G1735" s="11">
        <v>0.0</v>
      </c>
      <c r="H1735" s="11">
        <v>0.0</v>
      </c>
      <c r="I1735" s="11">
        <v>0.0</v>
      </c>
      <c r="J1735" s="11">
        <v>0.0</v>
      </c>
      <c r="K1735" s="11">
        <f t="shared" si="1"/>
        <v>0</v>
      </c>
      <c r="L1735" s="11">
        <f t="shared" si="2"/>
        <v>0</v>
      </c>
    </row>
    <row r="1736" ht="15.75" customHeight="1">
      <c r="A1736" s="10" t="s">
        <v>3596</v>
      </c>
      <c r="B1736" s="10" t="s">
        <v>3597</v>
      </c>
      <c r="C1736" s="11">
        <v>0.0</v>
      </c>
      <c r="D1736" s="11">
        <v>0.0</v>
      </c>
      <c r="E1736" s="11">
        <v>0.0</v>
      </c>
      <c r="F1736" s="11">
        <v>40.0</v>
      </c>
      <c r="G1736" s="11">
        <v>40.0</v>
      </c>
      <c r="H1736" s="11">
        <v>0.0</v>
      </c>
      <c r="I1736" s="11">
        <v>0.0</v>
      </c>
      <c r="J1736" s="11">
        <v>0.0</v>
      </c>
      <c r="K1736" s="11">
        <f t="shared" si="1"/>
        <v>80</v>
      </c>
      <c r="L1736" s="11">
        <f t="shared" si="2"/>
        <v>10</v>
      </c>
    </row>
    <row r="1737" ht="15.75" customHeight="1">
      <c r="A1737" s="10" t="s">
        <v>3598</v>
      </c>
      <c r="B1737" s="10" t="s">
        <v>3599</v>
      </c>
      <c r="C1737" s="11">
        <v>0.0</v>
      </c>
      <c r="D1737" s="11">
        <v>0.0</v>
      </c>
      <c r="E1737" s="11">
        <v>0.0</v>
      </c>
      <c r="F1737" s="11">
        <v>0.0</v>
      </c>
      <c r="G1737" s="11">
        <v>0.0</v>
      </c>
      <c r="H1737" s="11">
        <v>0.0</v>
      </c>
      <c r="I1737" s="11">
        <v>0.0</v>
      </c>
      <c r="J1737" s="11">
        <v>0.0</v>
      </c>
      <c r="K1737" s="11">
        <f t="shared" si="1"/>
        <v>0</v>
      </c>
      <c r="L1737" s="11">
        <f t="shared" si="2"/>
        <v>0</v>
      </c>
    </row>
    <row r="1738" ht="15.75" customHeight="1">
      <c r="A1738" s="10" t="s">
        <v>3600</v>
      </c>
      <c r="B1738" s="10" t="s">
        <v>3601</v>
      </c>
      <c r="C1738" s="11">
        <v>25.0</v>
      </c>
      <c r="D1738" s="11">
        <v>0.0</v>
      </c>
      <c r="E1738" s="11">
        <v>0.0</v>
      </c>
      <c r="F1738" s="11">
        <v>17.0</v>
      </c>
      <c r="G1738" s="11">
        <v>0.0</v>
      </c>
      <c r="H1738" s="11">
        <v>0.0</v>
      </c>
      <c r="I1738" s="11">
        <v>0.0</v>
      </c>
      <c r="J1738" s="11">
        <v>25.0</v>
      </c>
      <c r="K1738" s="11">
        <f t="shared" si="1"/>
        <v>67</v>
      </c>
      <c r="L1738" s="11">
        <f t="shared" si="2"/>
        <v>6.25</v>
      </c>
    </row>
    <row r="1739" ht="15.75" customHeight="1">
      <c r="A1739" s="10" t="s">
        <v>3602</v>
      </c>
      <c r="B1739" s="10" t="s">
        <v>3603</v>
      </c>
      <c r="C1739" s="11">
        <v>0.0</v>
      </c>
      <c r="D1739" s="11">
        <v>0.0</v>
      </c>
      <c r="E1739" s="11">
        <v>0.0</v>
      </c>
      <c r="F1739" s="11">
        <v>0.0</v>
      </c>
      <c r="G1739" s="11">
        <v>0.0</v>
      </c>
      <c r="H1739" s="11">
        <v>0.0</v>
      </c>
      <c r="I1739" s="11">
        <v>0.0</v>
      </c>
      <c r="J1739" s="11">
        <v>0.0</v>
      </c>
      <c r="K1739" s="11">
        <f t="shared" si="1"/>
        <v>0</v>
      </c>
      <c r="L1739" s="11">
        <f t="shared" si="2"/>
        <v>0</v>
      </c>
    </row>
    <row r="1740" ht="15.75" customHeight="1">
      <c r="A1740" s="10" t="s">
        <v>3604</v>
      </c>
      <c r="B1740" s="10" t="s">
        <v>3605</v>
      </c>
      <c r="C1740" s="11">
        <v>0.0</v>
      </c>
      <c r="D1740" s="11">
        <v>0.0</v>
      </c>
      <c r="E1740" s="11">
        <v>0.0</v>
      </c>
      <c r="F1740" s="11">
        <v>0.0</v>
      </c>
      <c r="G1740" s="11">
        <v>0.0</v>
      </c>
      <c r="H1740" s="11">
        <v>0.0</v>
      </c>
      <c r="I1740" s="11">
        <v>0.0</v>
      </c>
      <c r="J1740" s="11">
        <v>0.0</v>
      </c>
      <c r="K1740" s="11">
        <f t="shared" si="1"/>
        <v>0</v>
      </c>
      <c r="L1740" s="11">
        <f t="shared" si="2"/>
        <v>0</v>
      </c>
    </row>
    <row r="1741" ht="15.75" customHeight="1">
      <c r="A1741" s="10" t="s">
        <v>3606</v>
      </c>
      <c r="B1741" s="10" t="s">
        <v>3607</v>
      </c>
      <c r="C1741" s="11">
        <v>0.0</v>
      </c>
      <c r="D1741" s="11">
        <v>0.0</v>
      </c>
      <c r="E1741" s="11">
        <v>0.0</v>
      </c>
      <c r="F1741" s="11">
        <v>0.0</v>
      </c>
      <c r="G1741" s="11">
        <v>0.0</v>
      </c>
      <c r="H1741" s="11">
        <v>0.0</v>
      </c>
      <c r="I1741" s="11">
        <v>0.0</v>
      </c>
      <c r="J1741" s="11">
        <v>0.0</v>
      </c>
      <c r="K1741" s="11">
        <f t="shared" si="1"/>
        <v>0</v>
      </c>
      <c r="L1741" s="11">
        <f t="shared" si="2"/>
        <v>0</v>
      </c>
    </row>
    <row r="1742" ht="15.75" customHeight="1">
      <c r="A1742" s="10" t="s">
        <v>3608</v>
      </c>
      <c r="B1742" s="10" t="s">
        <v>3609</v>
      </c>
      <c r="C1742" s="11">
        <v>0.0</v>
      </c>
      <c r="D1742" s="11">
        <v>0.0</v>
      </c>
      <c r="E1742" s="11">
        <v>0.0</v>
      </c>
      <c r="F1742" s="11">
        <v>0.0</v>
      </c>
      <c r="G1742" s="11">
        <v>0.0</v>
      </c>
      <c r="H1742" s="11">
        <v>0.0</v>
      </c>
      <c r="I1742" s="11">
        <v>0.0</v>
      </c>
      <c r="J1742" s="11">
        <v>0.0</v>
      </c>
      <c r="K1742" s="11">
        <f t="shared" si="1"/>
        <v>0</v>
      </c>
      <c r="L1742" s="11">
        <f t="shared" si="2"/>
        <v>0</v>
      </c>
    </row>
    <row r="1743" ht="15.75" customHeight="1">
      <c r="A1743" s="10" t="s">
        <v>3610</v>
      </c>
      <c r="B1743" s="10" t="s">
        <v>3611</v>
      </c>
      <c r="C1743" s="11">
        <v>0.0</v>
      </c>
      <c r="D1743" s="11">
        <v>0.0</v>
      </c>
      <c r="E1743" s="11">
        <v>0.0</v>
      </c>
      <c r="F1743" s="11">
        <v>0.0</v>
      </c>
      <c r="G1743" s="11">
        <v>0.0</v>
      </c>
      <c r="H1743" s="11">
        <v>0.0</v>
      </c>
      <c r="I1743" s="11">
        <v>0.0</v>
      </c>
      <c r="J1743" s="11">
        <v>0.0</v>
      </c>
      <c r="K1743" s="11">
        <f t="shared" si="1"/>
        <v>0</v>
      </c>
      <c r="L1743" s="11">
        <f t="shared" si="2"/>
        <v>0</v>
      </c>
    </row>
    <row r="1744" ht="15.75" customHeight="1">
      <c r="A1744" s="10" t="s">
        <v>3612</v>
      </c>
      <c r="B1744" s="10" t="s">
        <v>3613</v>
      </c>
      <c r="C1744" s="11">
        <v>0.0</v>
      </c>
      <c r="D1744" s="11">
        <v>0.0</v>
      </c>
      <c r="E1744" s="11">
        <v>0.0</v>
      </c>
      <c r="F1744" s="11">
        <v>0.0</v>
      </c>
      <c r="G1744" s="11">
        <v>0.0</v>
      </c>
      <c r="H1744" s="11">
        <v>0.0</v>
      </c>
      <c r="I1744" s="11">
        <v>0.0</v>
      </c>
      <c r="J1744" s="11">
        <v>0.0</v>
      </c>
      <c r="K1744" s="11">
        <f t="shared" si="1"/>
        <v>0</v>
      </c>
      <c r="L1744" s="11">
        <f t="shared" si="2"/>
        <v>0</v>
      </c>
    </row>
    <row r="1745" ht="15.75" customHeight="1">
      <c r="A1745" s="10" t="s">
        <v>3614</v>
      </c>
      <c r="B1745" s="10" t="s">
        <v>3615</v>
      </c>
      <c r="C1745" s="11">
        <v>0.0</v>
      </c>
      <c r="D1745" s="11">
        <v>0.0</v>
      </c>
      <c r="E1745" s="11">
        <v>0.0</v>
      </c>
      <c r="F1745" s="11">
        <v>0.0</v>
      </c>
      <c r="G1745" s="11">
        <v>0.0</v>
      </c>
      <c r="H1745" s="11">
        <v>0.0</v>
      </c>
      <c r="I1745" s="11">
        <v>0.0</v>
      </c>
      <c r="J1745" s="11">
        <v>0.0</v>
      </c>
      <c r="K1745" s="11">
        <f t="shared" si="1"/>
        <v>0</v>
      </c>
      <c r="L1745" s="11">
        <f t="shared" si="2"/>
        <v>0</v>
      </c>
    </row>
    <row r="1746" ht="15.75" customHeight="1">
      <c r="A1746" s="10" t="s">
        <v>3616</v>
      </c>
      <c r="B1746" s="10" t="s">
        <v>3617</v>
      </c>
      <c r="C1746" s="11">
        <v>0.0</v>
      </c>
      <c r="D1746" s="11">
        <v>0.0</v>
      </c>
      <c r="E1746" s="11">
        <v>0.0</v>
      </c>
      <c r="F1746" s="11">
        <v>0.0</v>
      </c>
      <c r="G1746" s="11">
        <v>0.0</v>
      </c>
      <c r="H1746" s="11">
        <v>0.0</v>
      </c>
      <c r="I1746" s="11">
        <v>0.0</v>
      </c>
      <c r="J1746" s="11">
        <v>0.0</v>
      </c>
      <c r="K1746" s="11">
        <f t="shared" si="1"/>
        <v>0</v>
      </c>
      <c r="L1746" s="11">
        <f t="shared" si="2"/>
        <v>0</v>
      </c>
    </row>
    <row r="1747" ht="15.75" customHeight="1">
      <c r="A1747" s="10" t="s">
        <v>3618</v>
      </c>
      <c r="B1747" s="10" t="s">
        <v>3619</v>
      </c>
      <c r="C1747" s="11">
        <v>0.0</v>
      </c>
      <c r="D1747" s="11">
        <v>0.0</v>
      </c>
      <c r="E1747" s="11">
        <v>0.0</v>
      </c>
      <c r="F1747" s="11">
        <v>0.0</v>
      </c>
      <c r="G1747" s="11">
        <v>0.0</v>
      </c>
      <c r="H1747" s="11">
        <v>0.0</v>
      </c>
      <c r="I1747" s="11">
        <v>0.0</v>
      </c>
      <c r="J1747" s="11">
        <v>0.0</v>
      </c>
      <c r="K1747" s="11">
        <f t="shared" si="1"/>
        <v>0</v>
      </c>
      <c r="L1747" s="11">
        <f t="shared" si="2"/>
        <v>0</v>
      </c>
    </row>
    <row r="1748" ht="15.75" customHeight="1">
      <c r="A1748" s="10" t="s">
        <v>3620</v>
      </c>
      <c r="B1748" s="10" t="s">
        <v>3621</v>
      </c>
      <c r="C1748" s="11">
        <v>0.0</v>
      </c>
      <c r="D1748" s="11">
        <v>0.0</v>
      </c>
      <c r="E1748" s="11">
        <v>0.0</v>
      </c>
      <c r="F1748" s="11">
        <v>0.0</v>
      </c>
      <c r="G1748" s="11">
        <v>0.0</v>
      </c>
      <c r="H1748" s="11">
        <v>0.0</v>
      </c>
      <c r="I1748" s="11">
        <v>0.0</v>
      </c>
      <c r="J1748" s="11">
        <v>0.0</v>
      </c>
      <c r="K1748" s="11">
        <f t="shared" si="1"/>
        <v>0</v>
      </c>
      <c r="L1748" s="11">
        <f t="shared" si="2"/>
        <v>0</v>
      </c>
    </row>
    <row r="1749" ht="15.75" customHeight="1">
      <c r="A1749" s="10" t="s">
        <v>3622</v>
      </c>
      <c r="B1749" s="10" t="s">
        <v>3623</v>
      </c>
      <c r="C1749" s="11">
        <v>0.0</v>
      </c>
      <c r="D1749" s="11">
        <v>0.0</v>
      </c>
      <c r="E1749" s="11">
        <v>0.0</v>
      </c>
      <c r="F1749" s="11">
        <v>0.0</v>
      </c>
      <c r="G1749" s="11">
        <v>0.0</v>
      </c>
      <c r="H1749" s="11">
        <v>0.0</v>
      </c>
      <c r="I1749" s="11">
        <v>0.0</v>
      </c>
      <c r="J1749" s="11">
        <v>0.0</v>
      </c>
      <c r="K1749" s="11">
        <f t="shared" si="1"/>
        <v>0</v>
      </c>
      <c r="L1749" s="11">
        <f t="shared" si="2"/>
        <v>0</v>
      </c>
    </row>
  </sheetData>
  <printOptions/>
  <pageMargins bottom="1.0" footer="0.0" header="0.0" left="0.75" right="0.75" top="1.0"/>
  <pageSetup orientation="landscape"/>
  <drawing r:id="rId1"/>
</worksheet>
</file>